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ArchCModel\AOM\AOM-Research-2\aom\tools\convexhull_framework\bin\"/>
    </mc:Choice>
  </mc:AlternateContent>
  <xr:revisionPtr revIDLastSave="0" documentId="13_ncr:1_{C2CA5A6C-CF3F-4000-86DB-8B927FDEA3FB}" xr6:coauthVersionLast="45" xr6:coauthVersionMax="45" xr10:uidLastSave="{00000000-0000-0000-0000-000000000000}"/>
  <bookViews>
    <workbookView xWindow="-120" yWindow="-120" windowWidth="29040" windowHeight="15840" activeTab="3" xr2:uid="{AB7B5760-2D96-AF45-9729-777F41459029}"/>
  </bookViews>
  <sheets>
    <sheet name="Summary" sheetId="97" r:id="rId1"/>
    <sheet name="Intra" sheetId="98" r:id="rId2"/>
    <sheet name="RA" sheetId="99" r:id="rId3"/>
    <sheet name="LD" sheetId="100" r:id="rId4"/>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268" i="98" l="1" a="1"/>
  <c r="AG268" i="98" l="1"/>
  <c r="C26" i="97"/>
  <c r="C27" i="97"/>
  <c r="C28" i="97"/>
  <c r="C29" i="97"/>
  <c r="C30" i="97"/>
  <c r="C31" i="97"/>
  <c r="C16" i="97"/>
  <c r="C17" i="97"/>
  <c r="C18" i="97"/>
  <c r="C19" i="97"/>
  <c r="C20" i="97"/>
  <c r="C21" i="97"/>
  <c r="C22" i="97"/>
  <c r="C23" i="97"/>
  <c r="C24" i="97"/>
  <c r="Z345" i="100"/>
  <c r="O345" i="100"/>
  <c r="Z344" i="100"/>
  <c r="O344" i="100"/>
  <c r="Z343" i="100"/>
  <c r="O343" i="100"/>
  <c r="AD342" i="100"/>
  <c r="Z342" i="100"/>
  <c r="O342" i="100"/>
  <c r="Z334" i="100"/>
  <c r="O334" i="100"/>
  <c r="Z333" i="100"/>
  <c r="O333" i="100"/>
  <c r="Z332" i="100"/>
  <c r="O332" i="100"/>
  <c r="AD331" i="100"/>
  <c r="Z331" i="100"/>
  <c r="O331" i="100"/>
  <c r="Z325" i="100"/>
  <c r="O325" i="100"/>
  <c r="Z324" i="100"/>
  <c r="O324" i="100"/>
  <c r="Z323" i="100"/>
  <c r="O323" i="100"/>
  <c r="AD322" i="100"/>
  <c r="Z322" i="100"/>
  <c r="O322" i="100"/>
  <c r="Z316" i="100"/>
  <c r="O316" i="100"/>
  <c r="Z315" i="100"/>
  <c r="O315" i="100"/>
  <c r="Z314" i="100"/>
  <c r="O314" i="100"/>
  <c r="AD313" i="100"/>
  <c r="Z313" i="100"/>
  <c r="O313" i="100"/>
  <c r="Z307" i="100"/>
  <c r="O307" i="100"/>
  <c r="Z306" i="100"/>
  <c r="O306" i="100"/>
  <c r="Z305" i="100"/>
  <c r="O305" i="100"/>
  <c r="AD304" i="100"/>
  <c r="Z304" i="100"/>
  <c r="O304" i="100"/>
  <c r="Z298" i="100"/>
  <c r="O298" i="100"/>
  <c r="Z297" i="100"/>
  <c r="O297" i="100"/>
  <c r="Z296" i="100"/>
  <c r="O296" i="100"/>
  <c r="AD295" i="100"/>
  <c r="Z295" i="100"/>
  <c r="O295" i="100"/>
  <c r="AC291" i="100"/>
  <c r="AB291" i="100"/>
  <c r="AC290" i="100"/>
  <c r="AB290" i="100"/>
  <c r="AC289" i="100"/>
  <c r="AB289" i="100"/>
  <c r="AC288" i="100"/>
  <c r="AB288" i="100"/>
  <c r="AC287" i="100"/>
  <c r="AB287" i="100"/>
  <c r="AC286" i="100"/>
  <c r="AB286" i="100"/>
  <c r="AC285" i="100"/>
  <c r="AB285" i="100"/>
  <c r="AC284" i="100"/>
  <c r="AB284" i="100"/>
  <c r="AC283" i="100"/>
  <c r="AB283" i="100"/>
  <c r="AC282" i="100"/>
  <c r="AB282" i="100"/>
  <c r="AC281" i="100"/>
  <c r="AB281" i="100"/>
  <c r="AC280" i="100"/>
  <c r="AB280" i="100"/>
  <c r="AC279" i="100"/>
  <c r="AB279" i="100"/>
  <c r="AC278" i="100"/>
  <c r="AB278" i="100"/>
  <c r="AC277" i="100"/>
  <c r="AB277" i="100"/>
  <c r="AC276" i="100"/>
  <c r="AB276" i="100"/>
  <c r="AC275" i="100"/>
  <c r="AB275" i="100"/>
  <c r="AC274" i="100"/>
  <c r="AB274" i="100"/>
  <c r="AC273" i="100"/>
  <c r="AB273" i="100"/>
  <c r="AC272" i="100"/>
  <c r="AB272" i="100"/>
  <c r="AC271" i="100"/>
  <c r="AB271" i="100"/>
  <c r="AC270" i="100"/>
  <c r="AB270" i="100"/>
  <c r="AC269" i="100"/>
  <c r="AB269" i="100"/>
  <c r="AC268" i="100"/>
  <c r="AB268" i="100"/>
  <c r="AC267" i="100"/>
  <c r="AB267" i="100"/>
  <c r="AC266" i="100"/>
  <c r="AB266" i="100"/>
  <c r="AC265" i="100"/>
  <c r="AB265" i="100"/>
  <c r="AC264" i="100"/>
  <c r="AB264" i="100"/>
  <c r="AC263" i="100"/>
  <c r="AB263" i="100"/>
  <c r="AC262" i="100"/>
  <c r="AB262" i="100"/>
  <c r="AC261" i="100"/>
  <c r="AB261" i="100"/>
  <c r="AC260" i="100"/>
  <c r="AB260" i="100"/>
  <c r="AC259" i="100"/>
  <c r="AB259" i="100"/>
  <c r="AC258" i="100"/>
  <c r="AB258" i="100"/>
  <c r="AC257" i="100"/>
  <c r="AB257" i="100"/>
  <c r="AC256" i="100"/>
  <c r="AB256" i="100"/>
  <c r="AC255" i="100"/>
  <c r="AB255" i="100"/>
  <c r="AC254" i="100"/>
  <c r="AB254" i="100"/>
  <c r="AC253" i="100"/>
  <c r="AB253" i="100"/>
  <c r="AC252" i="100"/>
  <c r="AB252" i="100"/>
  <c r="AC251" i="100"/>
  <c r="AB251" i="100"/>
  <c r="AC250" i="100"/>
  <c r="AB250" i="100"/>
  <c r="AC249" i="100"/>
  <c r="AB249" i="100"/>
  <c r="AC248" i="100"/>
  <c r="AB248" i="100"/>
  <c r="AC247" i="100"/>
  <c r="AB247" i="100"/>
  <c r="AC246" i="100"/>
  <c r="AB246" i="100"/>
  <c r="AC245" i="100"/>
  <c r="AB245" i="100"/>
  <c r="AC244" i="100"/>
  <c r="AB244" i="100"/>
  <c r="AC243" i="100"/>
  <c r="AB243" i="100"/>
  <c r="AC242" i="100"/>
  <c r="AB242" i="100"/>
  <c r="AC241" i="100"/>
  <c r="AB241" i="100"/>
  <c r="AC240" i="100"/>
  <c r="AB240" i="100"/>
  <c r="AC239" i="100"/>
  <c r="AB239" i="100"/>
  <c r="AC238" i="100"/>
  <c r="AB238" i="100"/>
  <c r="AC237" i="100"/>
  <c r="AB237" i="100"/>
  <c r="AC236" i="100"/>
  <c r="AB236" i="100"/>
  <c r="AC235" i="100"/>
  <c r="AB235" i="100"/>
  <c r="AC234" i="100"/>
  <c r="AB234" i="100"/>
  <c r="AC233" i="100"/>
  <c r="AB233" i="100"/>
  <c r="AC232" i="100"/>
  <c r="AB232" i="100"/>
  <c r="AC231" i="100"/>
  <c r="AB231" i="100"/>
  <c r="AC230" i="100"/>
  <c r="AB230" i="100"/>
  <c r="AC229" i="100"/>
  <c r="AB229" i="100"/>
  <c r="AC228" i="100"/>
  <c r="AB228" i="100"/>
  <c r="AC227" i="100"/>
  <c r="AB227" i="100"/>
  <c r="AC226" i="100"/>
  <c r="AB226" i="100"/>
  <c r="AC225" i="100"/>
  <c r="AB225" i="100"/>
  <c r="AC224" i="100"/>
  <c r="AB224" i="100"/>
  <c r="AC223" i="100"/>
  <c r="AB223" i="100"/>
  <c r="AC222" i="100"/>
  <c r="AB222" i="100"/>
  <c r="AC221" i="100"/>
  <c r="AB221" i="100"/>
  <c r="AC220" i="100"/>
  <c r="AB220" i="100"/>
  <c r="AC219" i="100"/>
  <c r="AB219" i="100"/>
  <c r="AC218" i="100"/>
  <c r="AB218" i="100"/>
  <c r="AC217" i="100"/>
  <c r="AB217" i="100"/>
  <c r="AC216" i="100"/>
  <c r="AB216" i="100"/>
  <c r="AC215" i="100"/>
  <c r="AB215" i="100"/>
  <c r="AC214" i="100"/>
  <c r="AB214" i="100"/>
  <c r="AC213" i="100"/>
  <c r="AB213" i="100"/>
  <c r="AC212" i="100"/>
  <c r="AB212" i="100"/>
  <c r="AC211" i="100"/>
  <c r="AB211" i="100"/>
  <c r="AC210" i="100"/>
  <c r="AB210" i="100"/>
  <c r="AC209" i="100"/>
  <c r="AB209" i="100"/>
  <c r="AC208" i="100"/>
  <c r="AB208" i="100"/>
  <c r="AC207" i="100"/>
  <c r="AB207" i="100"/>
  <c r="AC206" i="100"/>
  <c r="AB206" i="100"/>
  <c r="AC205" i="100"/>
  <c r="AB205" i="100"/>
  <c r="AC204" i="100"/>
  <c r="AB204" i="100"/>
  <c r="AC203" i="100"/>
  <c r="AB203" i="100"/>
  <c r="AC202" i="100"/>
  <c r="AB202" i="100"/>
  <c r="AC201" i="100"/>
  <c r="AB201" i="100"/>
  <c r="AC200" i="100"/>
  <c r="AB200" i="100"/>
  <c r="AC199" i="100"/>
  <c r="AB199" i="100"/>
  <c r="AC198" i="100"/>
  <c r="AB198" i="100"/>
  <c r="AC197" i="100"/>
  <c r="AB197" i="100"/>
  <c r="AC196" i="100"/>
  <c r="AB196" i="100"/>
  <c r="AC195" i="100"/>
  <c r="AB195" i="100"/>
  <c r="AC194" i="100"/>
  <c r="AB194" i="100"/>
  <c r="AC193" i="100"/>
  <c r="AB193" i="100"/>
  <c r="AC192" i="100"/>
  <c r="AB192" i="100"/>
  <c r="AC191" i="100"/>
  <c r="AB191" i="100"/>
  <c r="AC190" i="100"/>
  <c r="AB190" i="100"/>
  <c r="AC189" i="100"/>
  <c r="AB189" i="100"/>
  <c r="AC188" i="100"/>
  <c r="AB188" i="100"/>
  <c r="AC187" i="100"/>
  <c r="AB187" i="100"/>
  <c r="AC186" i="100"/>
  <c r="AB186" i="100"/>
  <c r="AC185" i="100"/>
  <c r="AB185" i="100"/>
  <c r="AC184" i="100"/>
  <c r="AB184" i="100"/>
  <c r="AC183" i="100"/>
  <c r="AB183" i="100"/>
  <c r="AC182" i="100"/>
  <c r="AB182" i="100"/>
  <c r="AC181" i="100"/>
  <c r="AB181" i="100"/>
  <c r="AC180" i="100"/>
  <c r="AB180" i="100"/>
  <c r="AC179" i="100"/>
  <c r="AB179" i="100"/>
  <c r="AC178" i="100"/>
  <c r="AB178" i="100"/>
  <c r="AC177" i="100"/>
  <c r="AB177" i="100"/>
  <c r="AC176" i="100"/>
  <c r="AB176" i="100"/>
  <c r="AC175" i="100"/>
  <c r="AB175" i="100"/>
  <c r="AC174" i="100"/>
  <c r="AB174" i="100"/>
  <c r="AC173" i="100"/>
  <c r="AB173" i="100"/>
  <c r="AC172" i="100"/>
  <c r="AB172" i="100"/>
  <c r="AC171" i="100"/>
  <c r="AB171" i="100"/>
  <c r="AC170" i="100"/>
  <c r="AB170" i="100"/>
  <c r="AC169" i="100"/>
  <c r="AB169" i="100"/>
  <c r="AC168" i="100"/>
  <c r="AB168" i="100"/>
  <c r="AC167" i="100"/>
  <c r="AB167" i="100"/>
  <c r="AC166" i="100"/>
  <c r="AB166" i="100"/>
  <c r="AC165" i="100"/>
  <c r="AB165" i="100"/>
  <c r="AC164" i="100"/>
  <c r="AB164" i="100"/>
  <c r="AC163" i="100"/>
  <c r="AB163" i="100"/>
  <c r="AC162" i="100"/>
  <c r="AB162" i="100"/>
  <c r="AC161" i="100"/>
  <c r="AB161" i="100"/>
  <c r="AC160" i="100"/>
  <c r="AB160" i="100"/>
  <c r="AC159" i="100"/>
  <c r="AB159" i="100"/>
  <c r="AC158" i="100"/>
  <c r="AB158" i="100"/>
  <c r="AC157" i="100"/>
  <c r="AB157" i="100"/>
  <c r="AC156" i="100"/>
  <c r="AB156" i="100"/>
  <c r="AC155" i="100"/>
  <c r="AB155" i="100"/>
  <c r="AC154" i="100"/>
  <c r="AB154" i="100"/>
  <c r="AC153" i="100"/>
  <c r="AB153" i="100"/>
  <c r="AC152" i="100"/>
  <c r="AB152" i="100"/>
  <c r="AC151" i="100"/>
  <c r="AB151" i="100"/>
  <c r="AC150" i="100"/>
  <c r="AB150" i="100"/>
  <c r="AC149" i="100"/>
  <c r="AB149" i="100"/>
  <c r="AC148" i="100"/>
  <c r="AB148" i="100"/>
  <c r="AC147" i="100"/>
  <c r="AB147" i="100"/>
  <c r="AC146" i="100"/>
  <c r="AB146" i="100"/>
  <c r="AC145" i="100"/>
  <c r="AB145" i="100"/>
  <c r="AC144" i="100"/>
  <c r="AB144" i="100"/>
  <c r="AC143" i="100"/>
  <c r="AB143" i="100"/>
  <c r="AC142" i="100"/>
  <c r="AB142" i="100"/>
  <c r="AC141" i="100"/>
  <c r="AB141" i="100"/>
  <c r="AC140" i="100"/>
  <c r="AB140" i="100"/>
  <c r="AC139" i="100"/>
  <c r="AB139" i="100"/>
  <c r="AC138" i="100"/>
  <c r="AB138" i="100"/>
  <c r="AC137" i="100"/>
  <c r="AB137" i="100"/>
  <c r="AC136" i="100"/>
  <c r="AB136" i="100"/>
  <c r="AC135" i="100"/>
  <c r="AB135" i="100"/>
  <c r="AC134" i="100"/>
  <c r="AB134" i="100"/>
  <c r="AC133" i="100"/>
  <c r="AB133" i="100"/>
  <c r="AC132" i="100"/>
  <c r="AB132" i="100"/>
  <c r="AC131" i="100"/>
  <c r="AB131" i="100"/>
  <c r="AC130" i="100"/>
  <c r="AB130" i="100"/>
  <c r="AC129" i="100"/>
  <c r="AB129" i="100"/>
  <c r="AC128" i="100"/>
  <c r="AB128" i="100"/>
  <c r="AC127" i="100"/>
  <c r="AB127" i="100"/>
  <c r="AC126" i="100"/>
  <c r="AB126" i="100"/>
  <c r="AC125" i="100"/>
  <c r="AB125" i="100"/>
  <c r="AC124" i="100"/>
  <c r="AB124" i="100"/>
  <c r="AC123" i="100"/>
  <c r="AB123" i="100"/>
  <c r="AC122" i="100"/>
  <c r="AB122" i="100"/>
  <c r="AC121" i="100"/>
  <c r="AB121" i="100"/>
  <c r="AC120" i="100"/>
  <c r="AB120" i="100"/>
  <c r="AC119" i="100"/>
  <c r="AB119" i="100"/>
  <c r="AC118" i="100"/>
  <c r="AB118" i="100"/>
  <c r="AC117" i="100"/>
  <c r="AB117" i="100"/>
  <c r="AC116" i="100"/>
  <c r="AB116" i="100"/>
  <c r="AC115" i="100"/>
  <c r="AB115" i="100"/>
  <c r="AC114" i="100"/>
  <c r="AB114" i="100"/>
  <c r="AC113" i="100"/>
  <c r="AB113" i="100"/>
  <c r="AC112" i="100"/>
  <c r="AB112" i="100"/>
  <c r="AC111" i="100"/>
  <c r="AB111" i="100"/>
  <c r="AC110" i="100"/>
  <c r="AB110" i="100"/>
  <c r="AC109" i="100"/>
  <c r="AB109" i="100"/>
  <c r="AC108" i="100"/>
  <c r="AB108" i="100"/>
  <c r="AC107" i="100"/>
  <c r="AB107" i="100"/>
  <c r="AC106" i="100"/>
  <c r="AB106" i="100"/>
  <c r="AC105" i="100"/>
  <c r="AB105" i="100"/>
  <c r="AC104" i="100"/>
  <c r="AB104" i="100"/>
  <c r="AC103" i="100"/>
  <c r="AB103" i="100"/>
  <c r="AC102" i="100"/>
  <c r="AB102" i="100"/>
  <c r="AC101" i="100"/>
  <c r="AB101" i="100"/>
  <c r="AC100" i="100"/>
  <c r="AB100" i="100"/>
  <c r="AC99" i="100"/>
  <c r="AB99" i="100"/>
  <c r="AC98" i="100"/>
  <c r="AB98" i="100"/>
  <c r="AC97" i="100"/>
  <c r="AB97" i="100"/>
  <c r="AC96" i="100"/>
  <c r="AB96" i="100"/>
  <c r="AC95" i="100"/>
  <c r="AB95" i="100"/>
  <c r="AC94" i="100"/>
  <c r="AB94" i="100"/>
  <c r="AC93" i="100"/>
  <c r="AB93" i="100"/>
  <c r="AC92" i="100"/>
  <c r="AB92" i="100"/>
  <c r="AC91" i="100"/>
  <c r="AB91" i="100"/>
  <c r="AC90" i="100"/>
  <c r="AB90" i="100"/>
  <c r="AC89" i="100"/>
  <c r="AB89" i="100"/>
  <c r="AC88" i="100"/>
  <c r="AB88" i="100"/>
  <c r="AC87" i="100"/>
  <c r="AB87" i="100"/>
  <c r="AC86" i="100"/>
  <c r="AB86" i="100"/>
  <c r="AC85" i="100"/>
  <c r="AB85" i="100"/>
  <c r="AC84" i="100"/>
  <c r="AB84" i="100"/>
  <c r="AC83" i="100"/>
  <c r="AB83" i="100"/>
  <c r="AC82" i="100"/>
  <c r="AB82" i="100"/>
  <c r="AC81" i="100"/>
  <c r="AB81" i="100"/>
  <c r="AC80" i="100"/>
  <c r="AB80" i="100"/>
  <c r="AC79" i="100"/>
  <c r="AB79" i="100"/>
  <c r="AC78" i="100"/>
  <c r="AB78" i="100"/>
  <c r="AC77" i="100"/>
  <c r="AB77" i="100"/>
  <c r="AC76" i="100"/>
  <c r="AB76" i="100"/>
  <c r="AC75" i="100"/>
  <c r="AB75" i="100"/>
  <c r="AC74" i="100"/>
  <c r="AB74" i="100"/>
  <c r="AC73" i="100"/>
  <c r="AB73" i="100"/>
  <c r="AC72" i="100"/>
  <c r="AB72" i="100"/>
  <c r="AC71" i="100"/>
  <c r="AB71" i="100"/>
  <c r="AC70" i="100"/>
  <c r="AB70" i="100"/>
  <c r="AC69" i="100"/>
  <c r="AB69" i="100"/>
  <c r="AC68" i="100"/>
  <c r="AB68" i="100"/>
  <c r="AC67" i="100"/>
  <c r="AB67" i="100"/>
  <c r="AC66" i="100"/>
  <c r="AB66" i="100"/>
  <c r="AC65" i="100"/>
  <c r="AB65" i="100"/>
  <c r="AC64" i="100"/>
  <c r="AB64" i="100"/>
  <c r="AC63" i="100"/>
  <c r="AB63" i="100"/>
  <c r="AC62" i="100"/>
  <c r="AB62" i="100"/>
  <c r="AC61" i="100"/>
  <c r="AB61" i="100"/>
  <c r="AC60" i="100"/>
  <c r="AB60" i="100"/>
  <c r="AC59" i="100"/>
  <c r="AB59" i="100"/>
  <c r="AC58" i="100"/>
  <c r="AB58" i="100"/>
  <c r="AC57" i="100"/>
  <c r="AB57" i="100"/>
  <c r="AC56" i="100"/>
  <c r="AB56" i="100"/>
  <c r="AC55" i="100"/>
  <c r="AB55" i="100"/>
  <c r="AC54" i="100"/>
  <c r="AB54" i="100"/>
  <c r="AC53" i="100"/>
  <c r="AB53" i="100"/>
  <c r="AC52" i="100"/>
  <c r="AB52" i="100"/>
  <c r="AC51" i="100"/>
  <c r="AB51" i="100"/>
  <c r="AC50" i="100"/>
  <c r="AB50" i="100"/>
  <c r="AC49" i="100"/>
  <c r="AB49" i="100"/>
  <c r="AC48" i="100"/>
  <c r="AB48" i="100"/>
  <c r="AC47" i="100"/>
  <c r="AB47" i="100"/>
  <c r="AC46" i="100"/>
  <c r="AB46" i="100"/>
  <c r="AC45" i="100"/>
  <c r="AB45" i="100"/>
  <c r="AC44" i="100"/>
  <c r="AB44" i="100"/>
  <c r="AC43" i="100"/>
  <c r="AB43" i="100"/>
  <c r="AC42" i="100"/>
  <c r="AB42" i="100"/>
  <c r="AC41" i="100"/>
  <c r="AB41" i="100"/>
  <c r="AC40" i="100"/>
  <c r="AB40" i="100"/>
  <c r="AC39" i="100"/>
  <c r="AB39" i="100"/>
  <c r="AC38" i="100"/>
  <c r="AB38" i="100"/>
  <c r="AC37" i="100"/>
  <c r="AB37" i="100"/>
  <c r="AC36" i="100"/>
  <c r="AB36" i="100"/>
  <c r="AC35" i="100"/>
  <c r="AB35" i="100"/>
  <c r="AC34" i="100"/>
  <c r="AB34" i="100"/>
  <c r="AC33" i="100"/>
  <c r="AB33" i="100"/>
  <c r="AC32" i="100"/>
  <c r="AB32" i="100"/>
  <c r="AC31" i="100"/>
  <c r="AB31" i="100"/>
  <c r="AC30" i="100"/>
  <c r="AB30" i="100"/>
  <c r="AC29" i="100"/>
  <c r="AB29" i="100"/>
  <c r="AC28" i="100"/>
  <c r="AB28" i="100"/>
  <c r="AC27" i="100"/>
  <c r="AB27" i="100"/>
  <c r="AC26" i="100"/>
  <c r="AB26" i="100"/>
  <c r="AC25" i="100"/>
  <c r="AB25" i="100"/>
  <c r="AC24" i="100"/>
  <c r="AB24" i="100"/>
  <c r="AC23" i="100"/>
  <c r="AB23" i="100"/>
  <c r="AC22" i="100"/>
  <c r="AB22" i="100"/>
  <c r="AC21" i="100"/>
  <c r="AB21" i="100"/>
  <c r="AC20" i="100"/>
  <c r="AB20" i="100"/>
  <c r="AC19" i="100"/>
  <c r="AB19" i="100"/>
  <c r="AC18" i="100"/>
  <c r="AB18" i="100"/>
  <c r="AC17" i="100"/>
  <c r="AB17" i="100"/>
  <c r="AC16" i="100"/>
  <c r="AB16" i="100"/>
  <c r="AC15" i="100"/>
  <c r="AB15" i="100"/>
  <c r="AC14" i="100"/>
  <c r="AB14" i="100"/>
  <c r="AC13" i="100"/>
  <c r="AB13" i="100"/>
  <c r="AC12" i="100"/>
  <c r="AB12" i="100"/>
  <c r="AC11" i="100"/>
  <c r="AB11" i="100"/>
  <c r="AC10" i="100"/>
  <c r="AB10" i="100"/>
  <c r="AC9" i="100"/>
  <c r="AB9" i="100"/>
  <c r="AC8" i="100"/>
  <c r="AB8" i="100"/>
  <c r="AC7" i="100"/>
  <c r="AB7" i="100"/>
  <c r="AC6" i="100"/>
  <c r="AB6" i="100"/>
  <c r="AC5" i="100"/>
  <c r="AB5" i="100"/>
  <c r="AC4" i="100"/>
  <c r="AB4" i="100"/>
  <c r="Z486" i="99"/>
  <c r="O486" i="99"/>
  <c r="Z485" i="99"/>
  <c r="O485" i="99"/>
  <c r="Z484" i="99"/>
  <c r="O484" i="99"/>
  <c r="AD483" i="99"/>
  <c r="Z483" i="99"/>
  <c r="O483" i="99"/>
  <c r="Z475" i="99"/>
  <c r="O475" i="99"/>
  <c r="Z474" i="99"/>
  <c r="O474" i="99"/>
  <c r="Z473" i="99"/>
  <c r="O473" i="99"/>
  <c r="AD472" i="99"/>
  <c r="Z472" i="99"/>
  <c r="O472" i="99"/>
  <c r="Z466" i="99"/>
  <c r="O466" i="99"/>
  <c r="Z465" i="99"/>
  <c r="O465" i="99"/>
  <c r="Z464" i="99"/>
  <c r="O464" i="99"/>
  <c r="AD463" i="99"/>
  <c r="Z463" i="99"/>
  <c r="Z467" i="99" s="1"/>
  <c r="O463" i="99"/>
  <c r="Z457" i="99"/>
  <c r="O457" i="99"/>
  <c r="Z456" i="99"/>
  <c r="O456" i="99"/>
  <c r="Z455" i="99"/>
  <c r="O455" i="99"/>
  <c r="AD454" i="99"/>
  <c r="Z454" i="99"/>
  <c r="O454" i="99"/>
  <c r="Z448" i="99"/>
  <c r="O448" i="99"/>
  <c r="Z447" i="99"/>
  <c r="O447" i="99"/>
  <c r="Z446" i="99"/>
  <c r="O446" i="99"/>
  <c r="AD445" i="99"/>
  <c r="Z445" i="99"/>
  <c r="Z449" i="99" s="1"/>
  <c r="O445" i="99"/>
  <c r="Z439" i="99"/>
  <c r="O439" i="99"/>
  <c r="Z438" i="99"/>
  <c r="O438" i="99"/>
  <c r="Z437" i="99"/>
  <c r="O437" i="99"/>
  <c r="AD436" i="99"/>
  <c r="Z436" i="99"/>
  <c r="O436" i="99"/>
  <c r="Z430" i="99"/>
  <c r="O430" i="99"/>
  <c r="Z429" i="99"/>
  <c r="O429" i="99"/>
  <c r="Z428" i="99"/>
  <c r="O428" i="99"/>
  <c r="AD427" i="99"/>
  <c r="Z427" i="99"/>
  <c r="O427" i="99"/>
  <c r="Z421" i="99"/>
  <c r="O421" i="99"/>
  <c r="Z420" i="99"/>
  <c r="O420" i="99"/>
  <c r="Z419" i="99"/>
  <c r="O419" i="99"/>
  <c r="AD418" i="99"/>
  <c r="Z418" i="99"/>
  <c r="Z422" i="99" s="1"/>
  <c r="O418" i="99"/>
  <c r="Z412" i="99"/>
  <c r="O412" i="99"/>
  <c r="Z411" i="99"/>
  <c r="O411" i="99"/>
  <c r="Z410" i="99"/>
  <c r="O410" i="99"/>
  <c r="AD409" i="99"/>
  <c r="Z409" i="99"/>
  <c r="O409" i="99"/>
  <c r="Z413" i="99" s="1"/>
  <c r="AC405" i="99"/>
  <c r="AB405" i="99"/>
  <c r="AC404" i="99"/>
  <c r="AB404" i="99"/>
  <c r="AC403" i="99"/>
  <c r="AB403" i="99"/>
  <c r="AC402" i="99"/>
  <c r="AB402" i="99"/>
  <c r="AC401" i="99"/>
  <c r="AB401" i="99"/>
  <c r="AC400" i="99"/>
  <c r="AB400" i="99"/>
  <c r="AC399" i="99"/>
  <c r="AB399" i="99"/>
  <c r="AC398" i="99"/>
  <c r="AB398" i="99"/>
  <c r="AC397" i="99"/>
  <c r="AB397" i="99"/>
  <c r="AC396" i="99"/>
  <c r="AB396" i="99"/>
  <c r="AC395" i="99"/>
  <c r="AB395" i="99"/>
  <c r="AC394" i="99"/>
  <c r="AB394" i="99"/>
  <c r="AC393" i="99"/>
  <c r="AB393" i="99"/>
  <c r="AC392" i="99"/>
  <c r="AB392" i="99"/>
  <c r="AC391" i="99"/>
  <c r="AB391" i="99"/>
  <c r="AC390" i="99"/>
  <c r="AB390" i="99"/>
  <c r="AC389" i="99"/>
  <c r="AB389" i="99"/>
  <c r="AC388" i="99"/>
  <c r="AB388" i="99"/>
  <c r="AC387" i="99"/>
  <c r="AB387" i="99"/>
  <c r="AC386" i="99"/>
  <c r="AB386" i="99"/>
  <c r="AC385" i="99"/>
  <c r="AB385" i="99"/>
  <c r="AC384" i="99"/>
  <c r="AB384" i="99"/>
  <c r="AC383" i="99"/>
  <c r="AB383" i="99"/>
  <c r="AC382" i="99"/>
  <c r="AB382" i="99"/>
  <c r="AC381" i="99"/>
  <c r="AB381" i="99"/>
  <c r="AC380" i="99"/>
  <c r="AB380" i="99"/>
  <c r="AC379" i="99"/>
  <c r="AB379" i="99"/>
  <c r="AC378" i="99"/>
  <c r="AB378" i="99"/>
  <c r="AC377" i="99"/>
  <c r="AB377" i="99"/>
  <c r="AC376" i="99"/>
  <c r="AB376" i="99"/>
  <c r="AC375" i="99"/>
  <c r="AB375" i="99"/>
  <c r="AC374" i="99"/>
  <c r="AB374" i="99"/>
  <c r="AC373" i="99"/>
  <c r="AB373" i="99"/>
  <c r="AC372" i="99"/>
  <c r="AB372" i="99"/>
  <c r="AC371" i="99"/>
  <c r="AB371" i="99"/>
  <c r="AC370" i="99"/>
  <c r="AB370" i="99"/>
  <c r="AC369" i="99"/>
  <c r="AB369" i="99"/>
  <c r="AC368" i="99"/>
  <c r="AB368" i="99"/>
  <c r="AC367" i="99"/>
  <c r="AB367" i="99"/>
  <c r="AC366" i="99"/>
  <c r="AB366" i="99"/>
  <c r="AC365" i="99"/>
  <c r="AB365" i="99"/>
  <c r="AC364" i="99"/>
  <c r="AB364" i="99"/>
  <c r="AC363" i="99"/>
  <c r="AB363" i="99"/>
  <c r="AC362" i="99"/>
  <c r="AB362" i="99"/>
  <c r="AC361" i="99"/>
  <c r="AB361" i="99"/>
  <c r="AC360" i="99"/>
  <c r="AB360" i="99"/>
  <c r="AC359" i="99"/>
  <c r="AB359" i="99"/>
  <c r="AC358" i="99"/>
  <c r="AB358" i="99"/>
  <c r="AC357" i="99"/>
  <c r="AB357" i="99"/>
  <c r="AC356" i="99"/>
  <c r="AB356" i="99"/>
  <c r="AC355" i="99"/>
  <c r="AB355" i="99"/>
  <c r="AC354" i="99"/>
  <c r="AB354" i="99"/>
  <c r="AC353" i="99"/>
  <c r="AB353" i="99"/>
  <c r="AC352" i="99"/>
  <c r="AB352" i="99"/>
  <c r="AC351" i="99"/>
  <c r="AB351" i="99"/>
  <c r="AC350" i="99"/>
  <c r="AB350" i="99"/>
  <c r="AC349" i="99"/>
  <c r="AB349" i="99"/>
  <c r="AC348" i="99"/>
  <c r="AB348" i="99"/>
  <c r="AC347" i="99"/>
  <c r="AB347" i="99"/>
  <c r="AC346" i="99"/>
  <c r="AB346" i="99"/>
  <c r="AC345" i="99"/>
  <c r="AB345" i="99"/>
  <c r="AC344" i="99"/>
  <c r="AB344" i="99"/>
  <c r="AC343" i="99"/>
  <c r="AB343" i="99"/>
  <c r="AC342" i="99"/>
  <c r="AB342" i="99"/>
  <c r="AC341" i="99"/>
  <c r="AB341" i="99"/>
  <c r="AC340" i="99"/>
  <c r="AB340" i="99"/>
  <c r="AC339" i="99"/>
  <c r="AB339" i="99"/>
  <c r="AC338" i="99"/>
  <c r="AB338" i="99"/>
  <c r="AC337" i="99"/>
  <c r="AB337" i="99"/>
  <c r="AC336" i="99"/>
  <c r="AB336" i="99"/>
  <c r="AC335" i="99"/>
  <c r="AB335" i="99"/>
  <c r="AC334" i="99"/>
  <c r="AB334" i="99"/>
  <c r="AC333" i="99"/>
  <c r="AB333" i="99"/>
  <c r="AC332" i="99"/>
  <c r="AB332" i="99"/>
  <c r="AC331" i="99"/>
  <c r="AB331" i="99"/>
  <c r="AC330" i="99"/>
  <c r="AB330" i="99"/>
  <c r="AC329" i="99"/>
  <c r="AB329" i="99"/>
  <c r="AC328" i="99"/>
  <c r="AB328" i="99"/>
  <c r="AC327" i="99"/>
  <c r="AB327" i="99"/>
  <c r="AC326" i="99"/>
  <c r="AB326" i="99"/>
  <c r="AC325" i="99"/>
  <c r="AB325" i="99"/>
  <c r="AC324" i="99"/>
  <c r="AB324" i="99"/>
  <c r="AC323" i="99"/>
  <c r="AB323" i="99"/>
  <c r="AC322" i="99"/>
  <c r="AB322" i="99"/>
  <c r="AC321" i="99"/>
  <c r="AB321" i="99"/>
  <c r="AC320" i="99"/>
  <c r="AB320" i="99"/>
  <c r="AC319" i="99"/>
  <c r="AB319" i="99"/>
  <c r="AC318" i="99"/>
  <c r="AB318" i="99"/>
  <c r="AC317" i="99"/>
  <c r="AB317" i="99"/>
  <c r="AC316" i="99"/>
  <c r="AB316" i="99"/>
  <c r="AC315" i="99"/>
  <c r="AB315" i="99"/>
  <c r="AC314" i="99"/>
  <c r="AB314" i="99"/>
  <c r="AC313" i="99"/>
  <c r="AB313" i="99"/>
  <c r="AC312" i="99"/>
  <c r="AB312" i="99"/>
  <c r="AC311" i="99"/>
  <c r="AB311" i="99"/>
  <c r="AC310" i="99"/>
  <c r="AB310" i="99"/>
  <c r="AC309" i="99"/>
  <c r="AB309" i="99"/>
  <c r="AC308" i="99"/>
  <c r="AB308" i="99"/>
  <c r="AC307" i="99"/>
  <c r="AB307" i="99"/>
  <c r="AC306" i="99"/>
  <c r="AB306" i="99"/>
  <c r="AC305" i="99"/>
  <c r="AB305" i="99"/>
  <c r="AC304" i="99"/>
  <c r="AB304" i="99"/>
  <c r="AC303" i="99"/>
  <c r="AB303" i="99"/>
  <c r="AC302" i="99"/>
  <c r="AB302" i="99"/>
  <c r="AC301" i="99"/>
  <c r="AB301" i="99"/>
  <c r="AC300" i="99"/>
  <c r="AB300" i="99"/>
  <c r="AC299" i="99"/>
  <c r="AB299" i="99"/>
  <c r="AC298" i="99"/>
  <c r="AB298" i="99"/>
  <c r="AC297" i="99"/>
  <c r="AB297" i="99"/>
  <c r="AC296" i="99"/>
  <c r="AB296" i="99"/>
  <c r="AC295" i="99"/>
  <c r="AB295" i="99"/>
  <c r="AC294" i="99"/>
  <c r="AB294" i="99"/>
  <c r="AC293" i="99"/>
  <c r="AB293" i="99"/>
  <c r="AC292" i="99"/>
  <c r="AB292" i="99"/>
  <c r="AC291" i="99"/>
  <c r="AB291" i="99"/>
  <c r="AC290" i="99"/>
  <c r="AB290" i="99"/>
  <c r="AC289" i="99"/>
  <c r="AB289" i="99"/>
  <c r="AC288" i="99"/>
  <c r="AB288" i="99"/>
  <c r="AC287" i="99"/>
  <c r="AB287" i="99"/>
  <c r="AC286" i="99"/>
  <c r="AB286" i="99"/>
  <c r="AC285" i="99"/>
  <c r="AB285" i="99"/>
  <c r="AC284" i="99"/>
  <c r="AB284" i="99"/>
  <c r="AC283" i="99"/>
  <c r="AB283" i="99"/>
  <c r="AC282" i="99"/>
  <c r="AB282" i="99"/>
  <c r="AC281" i="99"/>
  <c r="AB281" i="99"/>
  <c r="AC280" i="99"/>
  <c r="AB280" i="99"/>
  <c r="AC279" i="99"/>
  <c r="AB279" i="99"/>
  <c r="AC278" i="99"/>
  <c r="AB278" i="99"/>
  <c r="AC277" i="99"/>
  <c r="AB277" i="99"/>
  <c r="AC276" i="99"/>
  <c r="AB276" i="99"/>
  <c r="AC275" i="99"/>
  <c r="AB275" i="99"/>
  <c r="AC274" i="99"/>
  <c r="AB274" i="99"/>
  <c r="AC273" i="99"/>
  <c r="AB273" i="99"/>
  <c r="AC272" i="99"/>
  <c r="AB272" i="99"/>
  <c r="AC271" i="99"/>
  <c r="AB271" i="99"/>
  <c r="AC270" i="99"/>
  <c r="AB270" i="99"/>
  <c r="AC269" i="99"/>
  <c r="AB269" i="99"/>
  <c r="AC268" i="99"/>
  <c r="AB268" i="99"/>
  <c r="AC267" i="99"/>
  <c r="AB267" i="99"/>
  <c r="AC266" i="99"/>
  <c r="AB266" i="99"/>
  <c r="AC265" i="99"/>
  <c r="AB265" i="99"/>
  <c r="AC264" i="99"/>
  <c r="AB264" i="99"/>
  <c r="AC263" i="99"/>
  <c r="AB263" i="99"/>
  <c r="AC262" i="99"/>
  <c r="AB262" i="99"/>
  <c r="AC261" i="99"/>
  <c r="AB261" i="99"/>
  <c r="AC260" i="99"/>
  <c r="AB260" i="99"/>
  <c r="AC259" i="99"/>
  <c r="AB259" i="99"/>
  <c r="AC258" i="99"/>
  <c r="AB258" i="99"/>
  <c r="AC257" i="99"/>
  <c r="AB257" i="99"/>
  <c r="AC256" i="99"/>
  <c r="AB256" i="99"/>
  <c r="AC255" i="99"/>
  <c r="AB255" i="99"/>
  <c r="AC254" i="99"/>
  <c r="AB254" i="99"/>
  <c r="AC253" i="99"/>
  <c r="AB253" i="99"/>
  <c r="AC252" i="99"/>
  <c r="AB252" i="99"/>
  <c r="AC251" i="99"/>
  <c r="AB251" i="99"/>
  <c r="AC250" i="99"/>
  <c r="AB250" i="99"/>
  <c r="AC249" i="99"/>
  <c r="AB249" i="99"/>
  <c r="AC248" i="99"/>
  <c r="AB248" i="99"/>
  <c r="AC247" i="99"/>
  <c r="AB247" i="99"/>
  <c r="AC246" i="99"/>
  <c r="AB246" i="99"/>
  <c r="AC245" i="99"/>
  <c r="AB245" i="99"/>
  <c r="AC244" i="99"/>
  <c r="AB244" i="99"/>
  <c r="AC243" i="99"/>
  <c r="AB243" i="99"/>
  <c r="AC242" i="99"/>
  <c r="AB242" i="99"/>
  <c r="AC241" i="99"/>
  <c r="AB241" i="99"/>
  <c r="AC240" i="99"/>
  <c r="AB240" i="99"/>
  <c r="AC239" i="99"/>
  <c r="AB239" i="99"/>
  <c r="AC238" i="99"/>
  <c r="AB238" i="99"/>
  <c r="AC237" i="99"/>
  <c r="AB237" i="99"/>
  <c r="AC236" i="99"/>
  <c r="AB236" i="99"/>
  <c r="AC235" i="99"/>
  <c r="AB235" i="99"/>
  <c r="AC234" i="99"/>
  <c r="AB234" i="99"/>
  <c r="AC233" i="99"/>
  <c r="AB233" i="99"/>
  <c r="AC232" i="99"/>
  <c r="AB232" i="99"/>
  <c r="AC231" i="99"/>
  <c r="AB231" i="99"/>
  <c r="AC230" i="99"/>
  <c r="AB230" i="99"/>
  <c r="AC229" i="99"/>
  <c r="AB229" i="99"/>
  <c r="AC228" i="99"/>
  <c r="AB228" i="99"/>
  <c r="AC227" i="99"/>
  <c r="AB227" i="99"/>
  <c r="AC226" i="99"/>
  <c r="AB226" i="99"/>
  <c r="AC225" i="99"/>
  <c r="AB225" i="99"/>
  <c r="AC224" i="99"/>
  <c r="AB224" i="99"/>
  <c r="AC223" i="99"/>
  <c r="AB223" i="99"/>
  <c r="AC222" i="99"/>
  <c r="AB222" i="99"/>
  <c r="AC221" i="99"/>
  <c r="AB221" i="99"/>
  <c r="AC220" i="99"/>
  <c r="AB220" i="99"/>
  <c r="AC219" i="99"/>
  <c r="AB219" i="99"/>
  <c r="AC218" i="99"/>
  <c r="AB218" i="99"/>
  <c r="AC217" i="99"/>
  <c r="AB217" i="99"/>
  <c r="AC216" i="99"/>
  <c r="AB216" i="99"/>
  <c r="AC215" i="99"/>
  <c r="AB215" i="99"/>
  <c r="AC214" i="99"/>
  <c r="AB214" i="99"/>
  <c r="AC213" i="99"/>
  <c r="AB213" i="99"/>
  <c r="AC212" i="99"/>
  <c r="AB212" i="99"/>
  <c r="AC211" i="99"/>
  <c r="AB211" i="99"/>
  <c r="AC210" i="99"/>
  <c r="AB210" i="99"/>
  <c r="AC209" i="99"/>
  <c r="AB209" i="99"/>
  <c r="AC208" i="99"/>
  <c r="AB208" i="99"/>
  <c r="AC207" i="99"/>
  <c r="AB207" i="99"/>
  <c r="AC206" i="99"/>
  <c r="AB206" i="99"/>
  <c r="AC205" i="99"/>
  <c r="AB205" i="99"/>
  <c r="AC204" i="99"/>
  <c r="AB204" i="99"/>
  <c r="AC203" i="99"/>
  <c r="AB203" i="99"/>
  <c r="AC202" i="99"/>
  <c r="AB202" i="99"/>
  <c r="AC201" i="99"/>
  <c r="AB201" i="99"/>
  <c r="AC200" i="99"/>
  <c r="AB200" i="99"/>
  <c r="AC199" i="99"/>
  <c r="AB199" i="99"/>
  <c r="AC198" i="99"/>
  <c r="AB198" i="99"/>
  <c r="AC197" i="99"/>
  <c r="AB197" i="99"/>
  <c r="AC196" i="99"/>
  <c r="AB196" i="99"/>
  <c r="AC195" i="99"/>
  <c r="AB195" i="99"/>
  <c r="AC194" i="99"/>
  <c r="AB194" i="99"/>
  <c r="AC193" i="99"/>
  <c r="AB193" i="99"/>
  <c r="AC192" i="99"/>
  <c r="AB192" i="99"/>
  <c r="AC191" i="99"/>
  <c r="AB191" i="99"/>
  <c r="AC190" i="99"/>
  <c r="AB190" i="99"/>
  <c r="AC189" i="99"/>
  <c r="AB189" i="99"/>
  <c r="AC188" i="99"/>
  <c r="AB188" i="99"/>
  <c r="AC187" i="99"/>
  <c r="AB187" i="99"/>
  <c r="AC186" i="99"/>
  <c r="AB186" i="99"/>
  <c r="AC185" i="99"/>
  <c r="AB185" i="99"/>
  <c r="AC184" i="99"/>
  <c r="AB184" i="99"/>
  <c r="AC183" i="99"/>
  <c r="AB183" i="99"/>
  <c r="AC182" i="99"/>
  <c r="AB182" i="99"/>
  <c r="AC181" i="99"/>
  <c r="AB181" i="99"/>
  <c r="AC180" i="99"/>
  <c r="AB180" i="99"/>
  <c r="AC179" i="99"/>
  <c r="AB179" i="99"/>
  <c r="AC178" i="99"/>
  <c r="AB178" i="99"/>
  <c r="AC177" i="99"/>
  <c r="AB177" i="99"/>
  <c r="AC176" i="99"/>
  <c r="AB176" i="99"/>
  <c r="AC175" i="99"/>
  <c r="AB175" i="99"/>
  <c r="AC174" i="99"/>
  <c r="AB174" i="99"/>
  <c r="AC173" i="99"/>
  <c r="AB173" i="99"/>
  <c r="AC172" i="99"/>
  <c r="AB172" i="99"/>
  <c r="AC171" i="99"/>
  <c r="AB171" i="99"/>
  <c r="AC170" i="99"/>
  <c r="AB170" i="99"/>
  <c r="AC169" i="99"/>
  <c r="AB169" i="99"/>
  <c r="AC168" i="99"/>
  <c r="AB168" i="99"/>
  <c r="AC167" i="99"/>
  <c r="AB167" i="99"/>
  <c r="AC166" i="99"/>
  <c r="AB166" i="99"/>
  <c r="AC165" i="99"/>
  <c r="AB165" i="99"/>
  <c r="AC164" i="99"/>
  <c r="AB164" i="99"/>
  <c r="AC163" i="99"/>
  <c r="AB163" i="99"/>
  <c r="AC162" i="99"/>
  <c r="AB162" i="99"/>
  <c r="AC161" i="99"/>
  <c r="AB161" i="99"/>
  <c r="AC160" i="99"/>
  <c r="AB160" i="99"/>
  <c r="AC159" i="99"/>
  <c r="AB159" i="99"/>
  <c r="AC158" i="99"/>
  <c r="AB158" i="99"/>
  <c r="AC157" i="99"/>
  <c r="AB157" i="99"/>
  <c r="AC156" i="99"/>
  <c r="AB156" i="99"/>
  <c r="AC155" i="99"/>
  <c r="AB155" i="99"/>
  <c r="AC154" i="99"/>
  <c r="AB154" i="99"/>
  <c r="AC153" i="99"/>
  <c r="AB153" i="99"/>
  <c r="AC152" i="99"/>
  <c r="AB152" i="99"/>
  <c r="AC151" i="99"/>
  <c r="AB151" i="99"/>
  <c r="AC150" i="99"/>
  <c r="AB150" i="99"/>
  <c r="AC149" i="99"/>
  <c r="AB149" i="99"/>
  <c r="AC148" i="99"/>
  <c r="AB148" i="99"/>
  <c r="AC147" i="99"/>
  <c r="AB147" i="99"/>
  <c r="AC146" i="99"/>
  <c r="AB146" i="99"/>
  <c r="AC145" i="99"/>
  <c r="AB145" i="99"/>
  <c r="AC144" i="99"/>
  <c r="AB144" i="99"/>
  <c r="AC143" i="99"/>
  <c r="AB143" i="99"/>
  <c r="AC142" i="99"/>
  <c r="AB142" i="99"/>
  <c r="AC141" i="99"/>
  <c r="AB141" i="99"/>
  <c r="AC140" i="99"/>
  <c r="AB140" i="99"/>
  <c r="AC139" i="99"/>
  <c r="AB139" i="99"/>
  <c r="AC138" i="99"/>
  <c r="AB138" i="99"/>
  <c r="AC137" i="99"/>
  <c r="AB137" i="99"/>
  <c r="AC136" i="99"/>
  <c r="AB136" i="99"/>
  <c r="AC135" i="99"/>
  <c r="AB135" i="99"/>
  <c r="AC134" i="99"/>
  <c r="AB134" i="99"/>
  <c r="AC133" i="99"/>
  <c r="AB133" i="99"/>
  <c r="AC132" i="99"/>
  <c r="AB132" i="99"/>
  <c r="AC131" i="99"/>
  <c r="AB131" i="99"/>
  <c r="AC130" i="99"/>
  <c r="AB130" i="99"/>
  <c r="AC129" i="99"/>
  <c r="AB129" i="99"/>
  <c r="AC128" i="99"/>
  <c r="AB128" i="99"/>
  <c r="AC127" i="99"/>
  <c r="AB127" i="99"/>
  <c r="AC126" i="99"/>
  <c r="AB126" i="99"/>
  <c r="AC125" i="99"/>
  <c r="AB125" i="99"/>
  <c r="AC124" i="99"/>
  <c r="AB124" i="99"/>
  <c r="AC123" i="99"/>
  <c r="AB123" i="99"/>
  <c r="AC122" i="99"/>
  <c r="AB122" i="99"/>
  <c r="AC121" i="99"/>
  <c r="AB121" i="99"/>
  <c r="AC120" i="99"/>
  <c r="AB120" i="99"/>
  <c r="AC119" i="99"/>
  <c r="AB119" i="99"/>
  <c r="AC118" i="99"/>
  <c r="AB118" i="99"/>
  <c r="AC117" i="99"/>
  <c r="AB117" i="99"/>
  <c r="AC116" i="99"/>
  <c r="AB116" i="99"/>
  <c r="AC115" i="99"/>
  <c r="AB115" i="99"/>
  <c r="AC114" i="99"/>
  <c r="AB114" i="99"/>
  <c r="AC113" i="99"/>
  <c r="AB113" i="99"/>
  <c r="AC112" i="99"/>
  <c r="AB112" i="99"/>
  <c r="AC111" i="99"/>
  <c r="AB111" i="99"/>
  <c r="AC110" i="99"/>
  <c r="AB110" i="99"/>
  <c r="AC109" i="99"/>
  <c r="AB109" i="99"/>
  <c r="AC108" i="99"/>
  <c r="AB108" i="99"/>
  <c r="AC107" i="99"/>
  <c r="AB107" i="99"/>
  <c r="AC106" i="99"/>
  <c r="AB106" i="99"/>
  <c r="AC105" i="99"/>
  <c r="AB105" i="99"/>
  <c r="AC104" i="99"/>
  <c r="AB104" i="99"/>
  <c r="AC103" i="99"/>
  <c r="AB103" i="99"/>
  <c r="AC102" i="99"/>
  <c r="AB102" i="99"/>
  <c r="AC101" i="99"/>
  <c r="AB101" i="99"/>
  <c r="AC100" i="99"/>
  <c r="AB100" i="99"/>
  <c r="AC99" i="99"/>
  <c r="AB99" i="99"/>
  <c r="AC98" i="99"/>
  <c r="AB98" i="99"/>
  <c r="AC97" i="99"/>
  <c r="AB97" i="99"/>
  <c r="AC96" i="99"/>
  <c r="AB96" i="99"/>
  <c r="AC95" i="99"/>
  <c r="AB95" i="99"/>
  <c r="AC94" i="99"/>
  <c r="AB94" i="99"/>
  <c r="AC93" i="99"/>
  <c r="AB93" i="99"/>
  <c r="AC92" i="99"/>
  <c r="AB92" i="99"/>
  <c r="AC91" i="99"/>
  <c r="AB91" i="99"/>
  <c r="AC90" i="99"/>
  <c r="AB90" i="99"/>
  <c r="AC89" i="99"/>
  <c r="AB89" i="99"/>
  <c r="AC88" i="99"/>
  <c r="AB88" i="99"/>
  <c r="AC87" i="99"/>
  <c r="AB87" i="99"/>
  <c r="AC86" i="99"/>
  <c r="AB86" i="99"/>
  <c r="AC85" i="99"/>
  <c r="AB85" i="99"/>
  <c r="AC84" i="99"/>
  <c r="AB84" i="99"/>
  <c r="AC83" i="99"/>
  <c r="AB83" i="99"/>
  <c r="AC82" i="99"/>
  <c r="AB82" i="99"/>
  <c r="AC81" i="99"/>
  <c r="AB81" i="99"/>
  <c r="AC80" i="99"/>
  <c r="AB80" i="99"/>
  <c r="AC79" i="99"/>
  <c r="AB79" i="99"/>
  <c r="AC78" i="99"/>
  <c r="AB78" i="99"/>
  <c r="AC77" i="99"/>
  <c r="AB77" i="99"/>
  <c r="AC76" i="99"/>
  <c r="AB76" i="99"/>
  <c r="AC75" i="99"/>
  <c r="AB75" i="99"/>
  <c r="AC74" i="99"/>
  <c r="AB74" i="99"/>
  <c r="AC73" i="99"/>
  <c r="AB73" i="99"/>
  <c r="AC72" i="99"/>
  <c r="AB72" i="99"/>
  <c r="AC71" i="99"/>
  <c r="AB71" i="99"/>
  <c r="AC70" i="99"/>
  <c r="AB70" i="99"/>
  <c r="AC69" i="99"/>
  <c r="AB69" i="99"/>
  <c r="AC68" i="99"/>
  <c r="AB68" i="99"/>
  <c r="AC67" i="99"/>
  <c r="AB67" i="99"/>
  <c r="AC66" i="99"/>
  <c r="AB66" i="99"/>
  <c r="AC65" i="99"/>
  <c r="AB65" i="99"/>
  <c r="AC64" i="99"/>
  <c r="AB64" i="99"/>
  <c r="AC63" i="99"/>
  <c r="AB63" i="99"/>
  <c r="AC62" i="99"/>
  <c r="AB62" i="99"/>
  <c r="AC61" i="99"/>
  <c r="AB61" i="99"/>
  <c r="AC60" i="99"/>
  <c r="AB60" i="99"/>
  <c r="AC59" i="99"/>
  <c r="AB59" i="99"/>
  <c r="AC58" i="99"/>
  <c r="AB58" i="99"/>
  <c r="AC57" i="99"/>
  <c r="AB57" i="99"/>
  <c r="AC56" i="99"/>
  <c r="AB56" i="99"/>
  <c r="AC55" i="99"/>
  <c r="AB55" i="99"/>
  <c r="AC54" i="99"/>
  <c r="AB54" i="99"/>
  <c r="AC53" i="99"/>
  <c r="AB53" i="99"/>
  <c r="AC52" i="99"/>
  <c r="AB52" i="99"/>
  <c r="AC51" i="99"/>
  <c r="AB51" i="99"/>
  <c r="AC50" i="99"/>
  <c r="AB50" i="99"/>
  <c r="AC49" i="99"/>
  <c r="AB49" i="99"/>
  <c r="AC48" i="99"/>
  <c r="AB48" i="99"/>
  <c r="AC47" i="99"/>
  <c r="AB47" i="99"/>
  <c r="AC46" i="99"/>
  <c r="AB46" i="99"/>
  <c r="AC45" i="99"/>
  <c r="AB45" i="99"/>
  <c r="AC44" i="99"/>
  <c r="AB44" i="99"/>
  <c r="AC43" i="99"/>
  <c r="AB43" i="99"/>
  <c r="AC42" i="99"/>
  <c r="AB42" i="99"/>
  <c r="AC41" i="99"/>
  <c r="AB41" i="99"/>
  <c r="AC40" i="99"/>
  <c r="AB40" i="99"/>
  <c r="AC39" i="99"/>
  <c r="AB39" i="99"/>
  <c r="AC38" i="99"/>
  <c r="AB38" i="99"/>
  <c r="AC37" i="99"/>
  <c r="AB37" i="99"/>
  <c r="AC36" i="99"/>
  <c r="AB36" i="99"/>
  <c r="AC35" i="99"/>
  <c r="AB35" i="99"/>
  <c r="AC34" i="99"/>
  <c r="AB34" i="99"/>
  <c r="AC33" i="99"/>
  <c r="AB33" i="99"/>
  <c r="AC32" i="99"/>
  <c r="AB32" i="99"/>
  <c r="AC31" i="99"/>
  <c r="AB31" i="99"/>
  <c r="AC30" i="99"/>
  <c r="AB30" i="99"/>
  <c r="AC29" i="99"/>
  <c r="AB29" i="99"/>
  <c r="AC28" i="99"/>
  <c r="AB28" i="99"/>
  <c r="AC27" i="99"/>
  <c r="AB27" i="99"/>
  <c r="AC26" i="99"/>
  <c r="AB26" i="99"/>
  <c r="AC25" i="99"/>
  <c r="AB25" i="99"/>
  <c r="AC24" i="99"/>
  <c r="AB24" i="99"/>
  <c r="AC23" i="99"/>
  <c r="AB23" i="99"/>
  <c r="AC22" i="99"/>
  <c r="AB22" i="99"/>
  <c r="AC21" i="99"/>
  <c r="AB21" i="99"/>
  <c r="AC20" i="99"/>
  <c r="AB20" i="99"/>
  <c r="AC19" i="99"/>
  <c r="AB19" i="99"/>
  <c r="AC18" i="99"/>
  <c r="AB18" i="99"/>
  <c r="AC17" i="99"/>
  <c r="AB17" i="99"/>
  <c r="AC16" i="99"/>
  <c r="AB16" i="99"/>
  <c r="AC15" i="99"/>
  <c r="AB15" i="99"/>
  <c r="AC14" i="99"/>
  <c r="AB14" i="99"/>
  <c r="AC13" i="99"/>
  <c r="AB13" i="99"/>
  <c r="AC12" i="99"/>
  <c r="AB12" i="99"/>
  <c r="AC11" i="99"/>
  <c r="AB11" i="99"/>
  <c r="AC10" i="99"/>
  <c r="AB10" i="99"/>
  <c r="AC9" i="99"/>
  <c r="AB9" i="99"/>
  <c r="AC8" i="99"/>
  <c r="AB8" i="99"/>
  <c r="AC7" i="99"/>
  <c r="AB7" i="99"/>
  <c r="AC6" i="99"/>
  <c r="AB6" i="99"/>
  <c r="AC5" i="99"/>
  <c r="AB5" i="99"/>
  <c r="AC4" i="99"/>
  <c r="AB4" i="99"/>
  <c r="C6" i="97"/>
  <c r="C7" i="97"/>
  <c r="C8" i="97"/>
  <c r="C9" i="97"/>
  <c r="C10" i="97"/>
  <c r="C11" i="97"/>
  <c r="C12" i="97"/>
  <c r="C13" i="97"/>
  <c r="C14" i="97"/>
  <c r="Z475" i="98"/>
  <c r="Z474" i="98"/>
  <c r="Z473" i="98"/>
  <c r="O475" i="98"/>
  <c r="O474" i="98"/>
  <c r="O473" i="98"/>
  <c r="Z466" i="98"/>
  <c r="Z465" i="98"/>
  <c r="Z464" i="98"/>
  <c r="O466" i="98"/>
  <c r="O465" i="98"/>
  <c r="O464" i="98"/>
  <c r="Z457" i="98"/>
  <c r="Z456" i="98"/>
  <c r="Z455" i="98"/>
  <c r="O457" i="98"/>
  <c r="O456" i="98"/>
  <c r="O455" i="98"/>
  <c r="Z448" i="98"/>
  <c r="Z447" i="98"/>
  <c r="Z446" i="98"/>
  <c r="O448" i="98"/>
  <c r="O447" i="98"/>
  <c r="O446" i="98"/>
  <c r="Z439" i="98"/>
  <c r="Z438" i="98"/>
  <c r="Z437" i="98"/>
  <c r="O439" i="98"/>
  <c r="O438" i="98"/>
  <c r="O437" i="98"/>
  <c r="Z430" i="98"/>
  <c r="Z429" i="98"/>
  <c r="Z428" i="98"/>
  <c r="O430" i="98"/>
  <c r="O429" i="98"/>
  <c r="O428" i="98"/>
  <c r="Z421" i="98"/>
  <c r="Z420" i="98"/>
  <c r="Z419" i="98"/>
  <c r="O421" i="98"/>
  <c r="O420" i="98"/>
  <c r="O419" i="98"/>
  <c r="Z486" i="98"/>
  <c r="Z485" i="98"/>
  <c r="Z484" i="98"/>
  <c r="O486" i="98"/>
  <c r="O485" i="98"/>
  <c r="O484" i="98"/>
  <c r="Z412" i="98"/>
  <c r="Z411" i="98"/>
  <c r="Z410" i="98"/>
  <c r="O412" i="98"/>
  <c r="O411" i="98"/>
  <c r="O410" i="98"/>
  <c r="Z483" i="98"/>
  <c r="O483" i="98"/>
  <c r="AD483" i="98"/>
  <c r="AD472" i="98"/>
  <c r="AD463" i="98"/>
  <c r="AD454" i="98"/>
  <c r="AD445" i="98"/>
  <c r="AD436" i="98"/>
  <c r="AD427" i="98"/>
  <c r="AD418" i="98"/>
  <c r="AD409" i="98"/>
  <c r="AC405" i="98"/>
  <c r="AB405" i="98"/>
  <c r="AC404" i="98"/>
  <c r="AB404" i="98"/>
  <c r="AC403" i="98"/>
  <c r="AB403" i="98"/>
  <c r="AC402" i="98"/>
  <c r="AB402" i="98"/>
  <c r="AC401" i="98"/>
  <c r="AB401" i="98"/>
  <c r="AC400" i="98"/>
  <c r="AB400" i="98"/>
  <c r="AC399" i="98"/>
  <c r="AB399" i="98"/>
  <c r="AC398" i="98"/>
  <c r="AB398" i="98"/>
  <c r="AC397" i="98"/>
  <c r="AB397" i="98"/>
  <c r="AC396" i="98"/>
  <c r="AB396" i="98"/>
  <c r="AC395" i="98"/>
  <c r="AB395" i="98"/>
  <c r="AC394" i="98"/>
  <c r="AB394" i="98"/>
  <c r="AC393" i="98"/>
  <c r="AB393" i="98"/>
  <c r="AC392" i="98"/>
  <c r="AB392" i="98"/>
  <c r="AC391" i="98"/>
  <c r="AB391" i="98"/>
  <c r="AC390" i="98"/>
  <c r="AB390" i="98"/>
  <c r="AC389" i="98"/>
  <c r="AB389" i="98"/>
  <c r="AC388" i="98"/>
  <c r="AB388" i="98"/>
  <c r="AC387" i="98"/>
  <c r="AB387" i="98"/>
  <c r="AC386" i="98"/>
  <c r="AB386" i="98"/>
  <c r="AC385" i="98"/>
  <c r="AB385" i="98"/>
  <c r="AC384" i="98"/>
  <c r="AB384" i="98"/>
  <c r="AC383" i="98"/>
  <c r="AB383" i="98"/>
  <c r="AC382" i="98"/>
  <c r="AB382" i="98"/>
  <c r="AC381" i="98"/>
  <c r="AB381" i="98"/>
  <c r="AC380" i="98"/>
  <c r="AB380" i="98"/>
  <c r="AC379" i="98"/>
  <c r="AB379" i="98"/>
  <c r="AC378" i="98"/>
  <c r="AB378" i="98"/>
  <c r="AC377" i="98"/>
  <c r="AB377" i="98"/>
  <c r="AC376" i="98"/>
  <c r="AB376" i="98"/>
  <c r="AC375" i="98"/>
  <c r="AB375" i="98"/>
  <c r="AC374" i="98"/>
  <c r="AB374" i="98"/>
  <c r="AC373" i="98"/>
  <c r="AB373" i="98"/>
  <c r="AC372" i="98"/>
  <c r="AB372" i="98"/>
  <c r="AC371" i="98"/>
  <c r="AB371" i="98"/>
  <c r="AC370" i="98"/>
  <c r="AB370" i="98"/>
  <c r="AC369" i="98"/>
  <c r="AB369" i="98"/>
  <c r="AC368" i="98"/>
  <c r="AB368" i="98"/>
  <c r="AC367" i="98"/>
  <c r="AB367" i="98"/>
  <c r="AC366" i="98"/>
  <c r="AB366" i="98"/>
  <c r="AC365" i="98"/>
  <c r="AB365" i="98"/>
  <c r="AC364" i="98"/>
  <c r="AB364" i="98"/>
  <c r="AC363" i="98"/>
  <c r="AB363" i="98"/>
  <c r="AC362" i="98"/>
  <c r="AB362" i="98"/>
  <c r="AC361" i="98"/>
  <c r="AB361" i="98"/>
  <c r="AC360" i="98"/>
  <c r="AB360" i="98"/>
  <c r="AC359" i="98"/>
  <c r="AB359" i="98"/>
  <c r="AC358" i="98"/>
  <c r="AB358" i="98"/>
  <c r="AC357" i="98"/>
  <c r="AB357" i="98"/>
  <c r="AC356" i="98"/>
  <c r="AB356" i="98"/>
  <c r="AC355" i="98"/>
  <c r="AB355" i="98"/>
  <c r="AC354" i="98"/>
  <c r="AB354" i="98"/>
  <c r="AC353" i="98"/>
  <c r="AB353" i="98"/>
  <c r="AC352" i="98"/>
  <c r="AB352" i="98"/>
  <c r="AC351" i="98"/>
  <c r="AB351" i="98"/>
  <c r="AC350" i="98"/>
  <c r="AB350" i="98"/>
  <c r="AC349" i="98"/>
  <c r="AB349" i="98"/>
  <c r="AC348" i="98"/>
  <c r="AB348" i="98"/>
  <c r="AC347" i="98"/>
  <c r="AB347" i="98"/>
  <c r="AC346" i="98"/>
  <c r="AB346" i="98"/>
  <c r="AC345" i="98"/>
  <c r="AB345" i="98"/>
  <c r="AC344" i="98"/>
  <c r="AB344" i="98"/>
  <c r="AC343" i="98"/>
  <c r="AB343" i="98"/>
  <c r="AC342" i="98"/>
  <c r="AB342" i="98"/>
  <c r="AC341" i="98"/>
  <c r="AB341" i="98"/>
  <c r="AC340" i="98"/>
  <c r="AB340" i="98"/>
  <c r="AC339" i="98"/>
  <c r="AB339" i="98"/>
  <c r="AC338" i="98"/>
  <c r="AB338" i="98"/>
  <c r="AC337" i="98"/>
  <c r="AB337" i="98"/>
  <c r="AC336" i="98"/>
  <c r="AB336" i="98"/>
  <c r="AC335" i="98"/>
  <c r="AB335" i="98"/>
  <c r="AC334" i="98"/>
  <c r="AB334" i="98"/>
  <c r="AC333" i="98"/>
  <c r="AB333" i="98"/>
  <c r="AC332" i="98"/>
  <c r="AB332" i="98"/>
  <c r="AC331" i="98"/>
  <c r="AB331" i="98"/>
  <c r="AC330" i="98"/>
  <c r="AB330" i="98"/>
  <c r="AC329" i="98"/>
  <c r="AB329" i="98"/>
  <c r="AC328" i="98"/>
  <c r="AB328" i="98"/>
  <c r="AC327" i="98"/>
  <c r="AB327" i="98"/>
  <c r="AC326" i="98"/>
  <c r="AB326" i="98"/>
  <c r="AC325" i="98"/>
  <c r="AB325" i="98"/>
  <c r="AC324" i="98"/>
  <c r="AB324" i="98"/>
  <c r="AC323" i="98"/>
  <c r="AB323" i="98"/>
  <c r="AC322" i="98"/>
  <c r="AB322" i="98"/>
  <c r="AC321" i="98"/>
  <c r="AB321" i="98"/>
  <c r="AC320" i="98"/>
  <c r="AB320" i="98"/>
  <c r="AC319" i="98"/>
  <c r="AB319" i="98"/>
  <c r="AC318" i="98"/>
  <c r="AB318" i="98"/>
  <c r="AC317" i="98"/>
  <c r="AB317" i="98"/>
  <c r="AC316" i="98"/>
  <c r="AB316" i="98"/>
  <c r="AC315" i="98"/>
  <c r="AB315" i="98"/>
  <c r="AC314" i="98"/>
  <c r="AB314" i="98"/>
  <c r="AC313" i="98"/>
  <c r="AB313" i="98"/>
  <c r="AC312" i="98"/>
  <c r="AB312" i="98"/>
  <c r="AC311" i="98"/>
  <c r="AB311" i="98"/>
  <c r="AC310" i="98"/>
  <c r="AB310" i="98"/>
  <c r="AC309" i="98"/>
  <c r="AB309" i="98"/>
  <c r="AC308" i="98"/>
  <c r="AB308" i="98"/>
  <c r="AC307" i="98"/>
  <c r="AB307" i="98"/>
  <c r="AC306" i="98"/>
  <c r="AB306" i="98"/>
  <c r="AC305" i="98"/>
  <c r="AB305" i="98"/>
  <c r="AC304" i="98"/>
  <c r="AB304" i="98"/>
  <c r="AC303" i="98"/>
  <c r="AB303" i="98"/>
  <c r="AC302" i="98"/>
  <c r="AB302" i="98"/>
  <c r="AC301" i="98"/>
  <c r="AB301" i="98"/>
  <c r="AC300" i="98"/>
  <c r="AB300" i="98"/>
  <c r="AC299" i="98"/>
  <c r="AB299" i="98"/>
  <c r="AC298" i="98"/>
  <c r="AB298" i="98"/>
  <c r="AC297" i="98"/>
  <c r="AB297" i="98"/>
  <c r="AC296" i="98"/>
  <c r="AB296" i="98"/>
  <c r="AC295" i="98"/>
  <c r="AB295" i="98"/>
  <c r="AC294" i="98"/>
  <c r="AB294" i="98"/>
  <c r="AC293" i="98"/>
  <c r="AB293" i="98"/>
  <c r="AC292" i="98"/>
  <c r="AB292" i="98"/>
  <c r="AC291" i="98"/>
  <c r="AB291" i="98"/>
  <c r="AC290" i="98"/>
  <c r="AB290" i="98"/>
  <c r="AC289" i="98"/>
  <c r="AB289" i="98"/>
  <c r="AC288" i="98"/>
  <c r="AB288" i="98"/>
  <c r="AC287" i="98"/>
  <c r="AB287" i="98"/>
  <c r="AC286" i="98"/>
  <c r="AB286" i="98"/>
  <c r="AC285" i="98"/>
  <c r="AB285" i="98"/>
  <c r="AC284" i="98"/>
  <c r="AB284" i="98"/>
  <c r="AC283" i="98"/>
  <c r="AB283" i="98"/>
  <c r="AC282" i="98"/>
  <c r="AB282" i="98"/>
  <c r="AC281" i="98"/>
  <c r="AB281" i="98"/>
  <c r="AC280" i="98"/>
  <c r="AB280" i="98"/>
  <c r="AC279" i="98"/>
  <c r="AB279" i="98"/>
  <c r="AC278" i="98"/>
  <c r="AB278" i="98"/>
  <c r="AC277" i="98"/>
  <c r="AB277" i="98"/>
  <c r="AC276" i="98"/>
  <c r="AB276" i="98"/>
  <c r="AC275" i="98"/>
  <c r="AB275" i="98"/>
  <c r="AC274" i="98"/>
  <c r="AB274" i="98"/>
  <c r="AC273" i="98"/>
  <c r="AB273" i="98"/>
  <c r="AC272" i="98"/>
  <c r="AB272" i="98"/>
  <c r="AC271" i="98"/>
  <c r="AB271" i="98"/>
  <c r="AC270" i="98"/>
  <c r="AB270" i="98"/>
  <c r="AC269" i="98"/>
  <c r="AB269" i="98"/>
  <c r="AC268" i="98"/>
  <c r="AB268" i="98"/>
  <c r="AC267" i="98"/>
  <c r="AB267" i="98"/>
  <c r="AC266" i="98"/>
  <c r="AB266" i="98"/>
  <c r="AC265" i="98"/>
  <c r="AB265" i="98"/>
  <c r="AC264" i="98"/>
  <c r="AB264" i="98"/>
  <c r="AC263" i="98"/>
  <c r="AB263" i="98"/>
  <c r="AC262" i="98"/>
  <c r="AB262" i="98"/>
  <c r="AC261" i="98"/>
  <c r="AB261" i="98"/>
  <c r="AC260" i="98"/>
  <c r="AB260" i="98"/>
  <c r="AC259" i="98"/>
  <c r="AB259" i="98"/>
  <c r="AC258" i="98"/>
  <c r="AB258" i="98"/>
  <c r="AC257" i="98"/>
  <c r="AB257" i="98"/>
  <c r="AC256" i="98"/>
  <c r="AB256" i="98"/>
  <c r="AC255" i="98"/>
  <c r="AB255" i="98"/>
  <c r="AC254" i="98"/>
  <c r="AB254" i="98"/>
  <c r="AC253" i="98"/>
  <c r="AB253" i="98"/>
  <c r="AC252" i="98"/>
  <c r="AB252" i="98"/>
  <c r="AC251" i="98"/>
  <c r="AB251" i="98"/>
  <c r="AC250" i="98"/>
  <c r="AB250" i="98"/>
  <c r="AC249" i="98"/>
  <c r="AB249" i="98"/>
  <c r="AC248" i="98"/>
  <c r="AB248" i="98"/>
  <c r="AC247" i="98"/>
  <c r="AB247" i="98"/>
  <c r="AC246" i="98"/>
  <c r="AB246" i="98"/>
  <c r="AC245" i="98"/>
  <c r="AB245" i="98"/>
  <c r="AC244" i="98"/>
  <c r="AB244" i="98"/>
  <c r="AC243" i="98"/>
  <c r="AB243" i="98"/>
  <c r="AC242" i="98"/>
  <c r="AB242" i="98"/>
  <c r="AC241" i="98"/>
  <c r="AB241" i="98"/>
  <c r="AC240" i="98"/>
  <c r="AB240" i="98"/>
  <c r="AC239" i="98"/>
  <c r="AB239" i="98"/>
  <c r="AC238" i="98"/>
  <c r="AB238" i="98"/>
  <c r="AC237" i="98"/>
  <c r="AB237" i="98"/>
  <c r="AC236" i="98"/>
  <c r="AB236" i="98"/>
  <c r="AC235" i="98"/>
  <c r="AB235" i="98"/>
  <c r="AC234" i="98"/>
  <c r="AB234" i="98"/>
  <c r="AC233" i="98"/>
  <c r="AB233" i="98"/>
  <c r="AC232" i="98"/>
  <c r="AB232" i="98"/>
  <c r="AC231" i="98"/>
  <c r="AB231" i="98"/>
  <c r="AC230" i="98"/>
  <c r="AB230" i="98"/>
  <c r="AC229" i="98"/>
  <c r="AB229" i="98"/>
  <c r="AC228" i="98"/>
  <c r="AB228" i="98"/>
  <c r="AC227" i="98"/>
  <c r="AB227" i="98"/>
  <c r="AC226" i="98"/>
  <c r="AB226" i="98"/>
  <c r="AC225" i="98"/>
  <c r="AB225" i="98"/>
  <c r="AC224" i="98"/>
  <c r="AB224" i="98"/>
  <c r="AC223" i="98"/>
  <c r="AB223" i="98"/>
  <c r="AC222" i="98"/>
  <c r="AB222" i="98"/>
  <c r="AC221" i="98"/>
  <c r="AB221" i="98"/>
  <c r="AC220" i="98"/>
  <c r="AB220" i="98"/>
  <c r="AC219" i="98"/>
  <c r="AB219" i="98"/>
  <c r="AC218" i="98"/>
  <c r="AB218" i="98"/>
  <c r="AC217" i="98"/>
  <c r="AB217" i="98"/>
  <c r="AC216" i="98"/>
  <c r="AB216" i="98"/>
  <c r="AC215" i="98"/>
  <c r="AB215" i="98"/>
  <c r="AC214" i="98"/>
  <c r="AB214" i="98"/>
  <c r="AC213" i="98"/>
  <c r="AB213" i="98"/>
  <c r="AC212" i="98"/>
  <c r="AB212" i="98"/>
  <c r="AC211" i="98"/>
  <c r="AB211" i="98"/>
  <c r="AC210" i="98"/>
  <c r="AB210" i="98"/>
  <c r="AC209" i="98"/>
  <c r="AB209" i="98"/>
  <c r="AC208" i="98"/>
  <c r="AB208" i="98"/>
  <c r="AC207" i="98"/>
  <c r="AB207" i="98"/>
  <c r="AC206" i="98"/>
  <c r="AB206" i="98"/>
  <c r="AC205" i="98"/>
  <c r="AB205" i="98"/>
  <c r="AC204" i="98"/>
  <c r="AB204" i="98"/>
  <c r="AC203" i="98"/>
  <c r="AB203" i="98"/>
  <c r="AC202" i="98"/>
  <c r="AB202" i="98"/>
  <c r="AC201" i="98"/>
  <c r="AB201" i="98"/>
  <c r="AC200" i="98"/>
  <c r="AB200" i="98"/>
  <c r="AC199" i="98"/>
  <c r="AB199" i="98"/>
  <c r="AC198" i="98"/>
  <c r="AB198" i="98"/>
  <c r="AC197" i="98"/>
  <c r="AB197" i="98"/>
  <c r="AC196" i="98"/>
  <c r="AB196" i="98"/>
  <c r="AC195" i="98"/>
  <c r="AB195" i="98"/>
  <c r="AC194" i="98"/>
  <c r="AB194" i="98"/>
  <c r="AC193" i="98"/>
  <c r="AB193" i="98"/>
  <c r="AC192" i="98"/>
  <c r="AB192" i="98"/>
  <c r="AC191" i="98"/>
  <c r="AB191" i="98"/>
  <c r="AC190" i="98"/>
  <c r="AB190" i="98"/>
  <c r="AC189" i="98"/>
  <c r="AB189" i="98"/>
  <c r="AC188" i="98"/>
  <c r="AB188" i="98"/>
  <c r="AC187" i="98"/>
  <c r="AB187" i="98"/>
  <c r="AC186" i="98"/>
  <c r="AB186" i="98"/>
  <c r="AC185" i="98"/>
  <c r="AB185" i="98"/>
  <c r="AC184" i="98"/>
  <c r="AB184" i="98"/>
  <c r="AC183" i="98"/>
  <c r="AB183" i="98"/>
  <c r="AC182" i="98"/>
  <c r="AB182" i="98"/>
  <c r="AC181" i="98"/>
  <c r="AB181" i="98"/>
  <c r="AC180" i="98"/>
  <c r="AB180" i="98"/>
  <c r="AC179" i="98"/>
  <c r="AB179" i="98"/>
  <c r="AC178" i="98"/>
  <c r="AB178" i="98"/>
  <c r="AC177" i="98"/>
  <c r="AB177" i="98"/>
  <c r="AC176" i="98"/>
  <c r="AB176" i="98"/>
  <c r="AC175" i="98"/>
  <c r="AB175" i="98"/>
  <c r="AC174" i="98"/>
  <c r="AB174" i="98"/>
  <c r="AC173" i="98"/>
  <c r="AB173" i="98"/>
  <c r="AC172" i="98"/>
  <c r="AB172" i="98"/>
  <c r="AC171" i="98"/>
  <c r="AB171" i="98"/>
  <c r="AC170" i="98"/>
  <c r="AB170" i="98"/>
  <c r="AC169" i="98"/>
  <c r="AB169" i="98"/>
  <c r="AC168" i="98"/>
  <c r="AB168" i="98"/>
  <c r="AC167" i="98"/>
  <c r="AB167" i="98"/>
  <c r="AC166" i="98"/>
  <c r="AB166" i="98"/>
  <c r="AC165" i="98"/>
  <c r="AB165" i="98"/>
  <c r="AC164" i="98"/>
  <c r="AB164" i="98"/>
  <c r="AC163" i="98"/>
  <c r="AB163" i="98"/>
  <c r="AC162" i="98"/>
  <c r="AB162" i="98"/>
  <c r="AC161" i="98"/>
  <c r="AB161" i="98"/>
  <c r="AC160" i="98"/>
  <c r="AB160" i="98"/>
  <c r="AC159" i="98"/>
  <c r="AB159" i="98"/>
  <c r="AC158" i="98"/>
  <c r="AB158" i="98"/>
  <c r="AC157" i="98"/>
  <c r="AB157" i="98"/>
  <c r="AC156" i="98"/>
  <c r="AB156" i="98"/>
  <c r="AC155" i="98"/>
  <c r="AB155" i="98"/>
  <c r="AC154" i="98"/>
  <c r="AB154" i="98"/>
  <c r="AC153" i="98"/>
  <c r="AB153" i="98"/>
  <c r="AC152" i="98"/>
  <c r="AB152" i="98"/>
  <c r="AC151" i="98"/>
  <c r="AB151" i="98"/>
  <c r="AC150" i="98"/>
  <c r="AB150" i="98"/>
  <c r="AC149" i="98"/>
  <c r="AB149" i="98"/>
  <c r="AC148" i="98"/>
  <c r="AB148" i="98"/>
  <c r="AC147" i="98"/>
  <c r="AB147" i="98"/>
  <c r="AC146" i="98"/>
  <c r="AB146" i="98"/>
  <c r="AC145" i="98"/>
  <c r="AB145" i="98"/>
  <c r="AC144" i="98"/>
  <c r="AB144" i="98"/>
  <c r="AC143" i="98"/>
  <c r="AB143" i="98"/>
  <c r="AC142" i="98"/>
  <c r="AB142" i="98"/>
  <c r="AC141" i="98"/>
  <c r="AB141" i="98"/>
  <c r="AC140" i="98"/>
  <c r="AB140" i="98"/>
  <c r="AC139" i="98"/>
  <c r="AB139" i="98"/>
  <c r="AC138" i="98"/>
  <c r="AB138" i="98"/>
  <c r="AC137" i="98"/>
  <c r="AB137" i="98"/>
  <c r="AC136" i="98"/>
  <c r="AB136" i="98"/>
  <c r="AC135" i="98"/>
  <c r="AB135" i="98"/>
  <c r="AC134" i="98"/>
  <c r="AB134" i="98"/>
  <c r="AC133" i="98"/>
  <c r="AB133" i="98"/>
  <c r="AC132" i="98"/>
  <c r="AB132" i="98"/>
  <c r="AC131" i="98"/>
  <c r="AB131" i="98"/>
  <c r="AC130" i="98"/>
  <c r="AB130" i="98"/>
  <c r="AC129" i="98"/>
  <c r="AB129" i="98"/>
  <c r="AC128" i="98"/>
  <c r="AB128" i="98"/>
  <c r="AC127" i="98"/>
  <c r="AB127" i="98"/>
  <c r="AC126" i="98"/>
  <c r="AB126" i="98"/>
  <c r="AC125" i="98"/>
  <c r="AB125" i="98"/>
  <c r="AC124" i="98"/>
  <c r="AB124" i="98"/>
  <c r="AC123" i="98"/>
  <c r="AB123" i="98"/>
  <c r="AC122" i="98"/>
  <c r="AB122" i="98"/>
  <c r="AC121" i="98"/>
  <c r="AB121" i="98"/>
  <c r="AC120" i="98"/>
  <c r="AB120" i="98"/>
  <c r="AC119" i="98"/>
  <c r="AB119" i="98"/>
  <c r="AC118" i="98"/>
  <c r="AB118" i="98"/>
  <c r="AC117" i="98"/>
  <c r="AB117" i="98"/>
  <c r="AC116" i="98"/>
  <c r="AB116" i="98"/>
  <c r="AC115" i="98"/>
  <c r="AB115" i="98"/>
  <c r="AC114" i="98"/>
  <c r="AB114" i="98"/>
  <c r="AC113" i="98"/>
  <c r="AB113" i="98"/>
  <c r="AC112" i="98"/>
  <c r="AB112" i="98"/>
  <c r="AC111" i="98"/>
  <c r="AB111" i="98"/>
  <c r="AC110" i="98"/>
  <c r="AB110" i="98"/>
  <c r="AC109" i="98"/>
  <c r="AB109" i="98"/>
  <c r="AC108" i="98"/>
  <c r="AB108" i="98"/>
  <c r="AC107" i="98"/>
  <c r="AB107" i="98"/>
  <c r="AC106" i="98"/>
  <c r="AB106" i="98"/>
  <c r="AC105" i="98"/>
  <c r="AB105" i="98"/>
  <c r="AC104" i="98"/>
  <c r="AB104" i="98"/>
  <c r="AC103" i="98"/>
  <c r="AB103" i="98"/>
  <c r="AC102" i="98"/>
  <c r="AB102" i="98"/>
  <c r="AC101" i="98"/>
  <c r="AB101" i="98"/>
  <c r="AC100" i="98"/>
  <c r="AB100" i="98"/>
  <c r="AC99" i="98"/>
  <c r="AB99" i="98"/>
  <c r="AC98" i="98"/>
  <c r="AB98" i="98"/>
  <c r="AC97" i="98"/>
  <c r="AB97" i="98"/>
  <c r="AC96" i="98"/>
  <c r="AB96" i="98"/>
  <c r="AC95" i="98"/>
  <c r="AB95" i="98"/>
  <c r="AC94" i="98"/>
  <c r="AB94" i="98"/>
  <c r="AC93" i="98"/>
  <c r="AB93" i="98"/>
  <c r="AC92" i="98"/>
  <c r="AB92" i="98"/>
  <c r="AC91" i="98"/>
  <c r="AB91" i="98"/>
  <c r="AC90" i="98"/>
  <c r="AB90" i="98"/>
  <c r="AC89" i="98"/>
  <c r="AB89" i="98"/>
  <c r="AC88" i="98"/>
  <c r="AB88" i="98"/>
  <c r="AC87" i="98"/>
  <c r="AB87" i="98"/>
  <c r="AC86" i="98"/>
  <c r="AB86" i="98"/>
  <c r="AC85" i="98"/>
  <c r="AB85" i="98"/>
  <c r="AC84" i="98"/>
  <c r="AB84" i="98"/>
  <c r="AC83" i="98"/>
  <c r="AB83" i="98"/>
  <c r="AC82" i="98"/>
  <c r="AB82" i="98"/>
  <c r="AC81" i="98"/>
  <c r="AB81" i="98"/>
  <c r="AC80" i="98"/>
  <c r="AB80" i="98"/>
  <c r="AC79" i="98"/>
  <c r="AB79" i="98"/>
  <c r="AC78" i="98"/>
  <c r="AB78" i="98"/>
  <c r="AC77" i="98"/>
  <c r="AB77" i="98"/>
  <c r="AC76" i="98"/>
  <c r="AB76" i="98"/>
  <c r="AC75" i="98"/>
  <c r="AB75" i="98"/>
  <c r="AC74" i="98"/>
  <c r="AB74" i="98"/>
  <c r="AC73" i="98"/>
  <c r="AB73" i="98"/>
  <c r="AC72" i="98"/>
  <c r="AB72" i="98"/>
  <c r="AC71" i="98"/>
  <c r="AB71" i="98"/>
  <c r="AC70" i="98"/>
  <c r="AB70" i="98"/>
  <c r="AC69" i="98"/>
  <c r="AB69" i="98"/>
  <c r="AC68" i="98"/>
  <c r="AB68" i="98"/>
  <c r="AC67" i="98"/>
  <c r="AB67" i="98"/>
  <c r="AC66" i="98"/>
  <c r="AB66" i="98"/>
  <c r="AC65" i="98"/>
  <c r="AB65" i="98"/>
  <c r="AC64" i="98"/>
  <c r="AB64" i="98"/>
  <c r="AC63" i="98"/>
  <c r="AB63" i="98"/>
  <c r="AC62" i="98"/>
  <c r="AB62" i="98"/>
  <c r="AC61" i="98"/>
  <c r="AB61" i="98"/>
  <c r="AC60" i="98"/>
  <c r="AB60" i="98"/>
  <c r="AC59" i="98"/>
  <c r="AB59" i="98"/>
  <c r="AC58" i="98"/>
  <c r="AB58" i="98"/>
  <c r="AC57" i="98"/>
  <c r="AB57" i="98"/>
  <c r="AC56" i="98"/>
  <c r="AB56" i="98"/>
  <c r="AC55" i="98"/>
  <c r="AB55" i="98"/>
  <c r="AC54" i="98"/>
  <c r="AB54" i="98"/>
  <c r="AC53" i="98"/>
  <c r="AB53" i="98"/>
  <c r="AC52" i="98"/>
  <c r="AB52" i="98"/>
  <c r="AC51" i="98"/>
  <c r="AB51" i="98"/>
  <c r="AC50" i="98"/>
  <c r="AB50" i="98"/>
  <c r="AC49" i="98"/>
  <c r="AB49" i="98"/>
  <c r="AC48" i="98"/>
  <c r="AB48" i="98"/>
  <c r="AC47" i="98"/>
  <c r="AB47" i="98"/>
  <c r="AC46" i="98"/>
  <c r="AB46" i="98"/>
  <c r="AC45" i="98"/>
  <c r="AB45" i="98"/>
  <c r="AC44" i="98"/>
  <c r="AB44" i="98"/>
  <c r="AC43" i="98"/>
  <c r="AB43" i="98"/>
  <c r="AC42" i="98"/>
  <c r="AB42" i="98"/>
  <c r="AC41" i="98"/>
  <c r="AB41" i="98"/>
  <c r="AC40" i="98"/>
  <c r="AB40" i="98"/>
  <c r="AC39" i="98"/>
  <c r="AB39" i="98"/>
  <c r="AC38" i="98"/>
  <c r="AB38" i="98"/>
  <c r="AC37" i="98"/>
  <c r="AB37" i="98"/>
  <c r="AC36" i="98"/>
  <c r="AB36" i="98"/>
  <c r="AC35" i="98"/>
  <c r="AB35" i="98"/>
  <c r="AC34" i="98"/>
  <c r="AB34" i="98"/>
  <c r="AC33" i="98"/>
  <c r="AB33" i="98"/>
  <c r="AC32" i="98"/>
  <c r="AB32" i="98"/>
  <c r="AC31" i="98"/>
  <c r="AB31" i="98"/>
  <c r="AC30" i="98"/>
  <c r="AB30" i="98"/>
  <c r="AC29" i="98"/>
  <c r="AB29" i="98"/>
  <c r="AC28" i="98"/>
  <c r="AB28" i="98"/>
  <c r="AC27" i="98"/>
  <c r="AB27" i="98"/>
  <c r="AC26" i="98"/>
  <c r="AB26" i="98"/>
  <c r="AC25" i="98"/>
  <c r="AB25" i="98"/>
  <c r="AC24" i="98"/>
  <c r="AB24" i="98"/>
  <c r="AC23" i="98"/>
  <c r="AB23" i="98"/>
  <c r="AC22" i="98"/>
  <c r="AB22" i="98"/>
  <c r="AC21" i="98"/>
  <c r="AB21" i="98"/>
  <c r="AC20" i="98"/>
  <c r="AB20" i="98"/>
  <c r="AC19" i="98"/>
  <c r="AB19" i="98"/>
  <c r="AC18" i="98"/>
  <c r="AB18" i="98"/>
  <c r="AC17" i="98"/>
  <c r="AB17" i="98"/>
  <c r="AC16" i="98"/>
  <c r="AB16" i="98"/>
  <c r="AC15" i="98"/>
  <c r="AB15" i="98"/>
  <c r="AC14" i="98"/>
  <c r="AB14" i="98"/>
  <c r="AC13" i="98"/>
  <c r="AB13" i="98"/>
  <c r="AC12" i="98"/>
  <c r="AB12" i="98"/>
  <c r="AC11" i="98"/>
  <c r="AB11" i="98"/>
  <c r="AC10" i="98"/>
  <c r="AB10" i="98"/>
  <c r="Z472" i="98"/>
  <c r="Z463" i="98"/>
  <c r="Z454" i="98"/>
  <c r="Z445" i="98"/>
  <c r="Z436" i="98"/>
  <c r="Z440" i="98" s="1"/>
  <c r="Z427" i="98"/>
  <c r="Z418" i="98"/>
  <c r="Z409" i="98"/>
  <c r="AC7" i="98"/>
  <c r="AB7" i="98"/>
  <c r="AC6" i="98"/>
  <c r="AB6" i="98"/>
  <c r="O472" i="98"/>
  <c r="O463" i="98"/>
  <c r="O454" i="98"/>
  <c r="O445" i="98"/>
  <c r="O436" i="98"/>
  <c r="O427" i="98"/>
  <c r="O418" i="98"/>
  <c r="O409" i="98"/>
  <c r="AP388" i="99" a="1"/>
  <c r="AO366" i="99" a="1"/>
  <c r="AO344" i="99" a="1"/>
  <c r="AI394" i="99" a="1"/>
  <c r="AK376" i="99" a="1"/>
  <c r="AM358" i="99" a="1"/>
  <c r="AG336" i="99" a="1"/>
  <c r="AK390" i="99" a="1"/>
  <c r="AG390" i="99" a="1"/>
  <c r="AG402" i="99" a="1"/>
  <c r="AM372" i="99" a="1"/>
  <c r="AG332" i="99" a="1"/>
  <c r="AG398" i="99" a="1"/>
  <c r="AK304" i="99" a="1"/>
  <c r="AM282" i="99" a="1"/>
  <c r="AI238" i="99" a="1"/>
  <c r="AK220" i="99" a="1"/>
  <c r="AM202" i="99" a="1"/>
  <c r="AG180" i="99" a="1"/>
  <c r="AK372" i="99" a="1"/>
  <c r="AL328" i="99" a="1"/>
  <c r="AP346" i="99" a="1"/>
  <c r="AM302" i="99" a="1"/>
  <c r="AK282" i="99" a="1"/>
  <c r="AH238" i="99" a="1"/>
  <c r="AP214" i="99" a="1"/>
  <c r="AO192" i="99" a="1"/>
  <c r="AK374" i="99" a="1"/>
  <c r="AO348" i="99" a="1"/>
  <c r="AO336" i="99" a="1"/>
  <c r="AJ352" i="99" a="1"/>
  <c r="AK342" i="99" a="1"/>
  <c r="AO338" i="99" a="1"/>
  <c r="AM346" i="99" a="1"/>
  <c r="AG348" i="99" a="1"/>
  <c r="AL394" i="99" a="1"/>
  <c r="AP400" i="99" a="1"/>
  <c r="AK358" i="99" a="1"/>
  <c r="AG344" i="99" a="1"/>
  <c r="AO376" i="99" a="1"/>
  <c r="AK398" i="99" a="1"/>
  <c r="AG308" i="99" a="1"/>
  <c r="AL166" i="99" a="1"/>
  <c r="AL316" i="99" a="1"/>
  <c r="AO238" i="99" a="1"/>
  <c r="AK208" i="99" a="1"/>
  <c r="AI184" i="99" a="1"/>
  <c r="AJ154" i="99" a="1"/>
  <c r="AL136" i="99" a="1"/>
  <c r="AN118" i="99" a="1"/>
  <c r="AK96" i="99" a="1"/>
  <c r="AK74" i="99" a="1"/>
  <c r="AK166" i="99" a="1"/>
  <c r="AG292" i="99" a="1"/>
  <c r="AO228" i="99" a="1"/>
  <c r="AM206" i="99" a="1"/>
  <c r="AM174" i="99" a="1"/>
  <c r="AG146" i="99" a="1"/>
  <c r="AG124" i="99" a="1"/>
  <c r="AJ166" i="99" a="1"/>
  <c r="AN298" i="99" a="1"/>
  <c r="AG312" i="99" a="1"/>
  <c r="AN328" i="99" a="1"/>
  <c r="AM306" i="99" a="1"/>
  <c r="AK330" i="99" a="1"/>
  <c r="AG300" i="99" a="1"/>
  <c r="AI208" i="99" a="1"/>
  <c r="AO138" i="99" a="1"/>
  <c r="AM98" i="99" a="1"/>
  <c r="AM56" i="99" a="1"/>
  <c r="AO224" i="99" a="1"/>
  <c r="AM190" i="99" a="1"/>
  <c r="AL106" i="99" a="1"/>
  <c r="AN64" i="99" a="1"/>
  <c r="AG36" i="99" a="1"/>
  <c r="AG14" i="99" a="1"/>
  <c r="AO180" i="99" a="1"/>
  <c r="AO136" i="99" a="1"/>
  <c r="AO88" i="99" a="1"/>
  <c r="AN196" i="99" a="1"/>
  <c r="AK148" i="99" a="1"/>
  <c r="AG66" i="99" a="1"/>
  <c r="AL34" i="99" a="1"/>
  <c r="AN16" i="99" a="1"/>
  <c r="AK228" i="99" a="1"/>
  <c r="AO158" i="99" a="1"/>
  <c r="AO122" i="99" a="1"/>
  <c r="AK92" i="99" a="1"/>
  <c r="AK52" i="99" a="1"/>
  <c r="AP232" i="99" a="1"/>
  <c r="AM196" i="99" a="1"/>
  <c r="AH106" i="99" a="1"/>
  <c r="AM40" i="99" a="1"/>
  <c r="AG18" i="99" a="1"/>
  <c r="AM184" i="99" a="1"/>
  <c r="AM136" i="99" a="1"/>
  <c r="AO112" i="99" a="1"/>
  <c r="AO62" i="99" a="1"/>
  <c r="AO214" i="99" a="1"/>
  <c r="AK152" i="99" a="1"/>
  <c r="AO82" i="99" a="1"/>
  <c r="AJ34" i="99" a="1"/>
  <c r="AL16" i="99" a="1"/>
  <c r="AO186" i="99" a="1"/>
  <c r="AN130" i="99" a="1"/>
  <c r="AJ88" i="99" a="1"/>
  <c r="AO320" i="99" a="1"/>
  <c r="AN214" i="99" a="1"/>
  <c r="AP142" i="99" a="1"/>
  <c r="AL76" i="99" a="1"/>
  <c r="AI34" i="99" a="1"/>
  <c r="AK16" i="99" a="1"/>
  <c r="AK184" i="99" a="1"/>
  <c r="AG118" i="99" a="1"/>
  <c r="AO74" i="99" a="1"/>
  <c r="AH388" i="99" a="1"/>
  <c r="AP364" i="99" a="1"/>
  <c r="AO342" i="99" a="1"/>
  <c r="AM392" i="99" a="1"/>
  <c r="AI370" i="99" a="1"/>
  <c r="AK352" i="99" a="1"/>
  <c r="AM334" i="99" a="1"/>
  <c r="AN388" i="99" a="1"/>
  <c r="AM388" i="99" a="1"/>
  <c r="AM400" i="99" a="1"/>
  <c r="AN370" i="99" a="1"/>
  <c r="AG330" i="99" a="1"/>
  <c r="AI388" i="99" a="1"/>
  <c r="AO302" i="99" a="1"/>
  <c r="AO280" i="99" a="1"/>
  <c r="AM236" i="99" a="1"/>
  <c r="AI214" i="99" a="1"/>
  <c r="AK196" i="99" a="1"/>
  <c r="AM178" i="99" a="1"/>
  <c r="AM370" i="99" a="1"/>
  <c r="AO324" i="99" a="1"/>
  <c r="AN340" i="99" a="1"/>
  <c r="AM300" i="99" a="1"/>
  <c r="AN280" i="99" a="1"/>
  <c r="AK236" i="99" a="1"/>
  <c r="AH214" i="99" a="1"/>
  <c r="AP190" i="99" a="1"/>
  <c r="AG372" i="99" a="1"/>
  <c r="AO334" i="99" a="1"/>
  <c r="AM326" i="99" a="1"/>
  <c r="AM348" i="99" a="1"/>
  <c r="AL340" i="99" a="1"/>
  <c r="AK334" i="99" a="1"/>
  <c r="AG342" i="99" a="1"/>
  <c r="AM338" i="99" a="1"/>
  <c r="AL388" i="99" a="1"/>
  <c r="AO386" i="99" a="1"/>
  <c r="AG352" i="99" a="1"/>
  <c r="AI340" i="99" a="1"/>
  <c r="AO370" i="99" a="1"/>
  <c r="AJ388" i="99" a="1"/>
  <c r="AG306" i="99" a="1"/>
  <c r="AO162" i="99" a="1"/>
  <c r="AI298" i="99" a="1"/>
  <c r="AM232" i="99" a="1"/>
  <c r="AO206" i="99" a="1"/>
  <c r="AK182" i="99" a="1"/>
  <c r="AO152" i="99" a="1"/>
  <c r="AJ130" i="99" a="1"/>
  <c r="AL112" i="99" a="1"/>
  <c r="AN94" i="99" a="1"/>
  <c r="AK72" i="99" a="1"/>
  <c r="AO164" i="99" a="1"/>
  <c r="AJ286" i="99" a="1"/>
  <c r="AG248" i="99" a="1"/>
  <c r="AO226" i="99" a="1"/>
  <c r="AK204" i="99" a="1"/>
  <c r="AO172" i="99" a="1"/>
  <c r="AG144" i="99" a="1"/>
  <c r="AG122" i="99" a="1"/>
  <c r="AK164" i="99" a="1"/>
  <c r="AO292" i="99" a="1"/>
  <c r="AJ310" i="99" a="1"/>
  <c r="AP316" i="99" a="1"/>
  <c r="AO304" i="99" a="1"/>
  <c r="AH328" i="99" a="1"/>
  <c r="AL322" i="99" a="1"/>
  <c r="AO198" i="99" a="1"/>
  <c r="AP136" i="99" a="1"/>
  <c r="AJ94" i="99" a="1"/>
  <c r="AK54" i="99" a="1"/>
  <c r="AO222" i="99" a="1"/>
  <c r="AH166" i="99" a="1"/>
  <c r="AK104" i="99" a="1"/>
  <c r="AJ58" i="99" a="1"/>
  <c r="AM34" i="99" a="1"/>
  <c r="AG12" i="99" a="1"/>
  <c r="AO178" i="99" a="1"/>
  <c r="AM124" i="99" a="1"/>
  <c r="AI58" i="99" a="1"/>
  <c r="AK240" i="99" a="1"/>
  <c r="AM194" i="99" a="1"/>
  <c r="AM146" i="99" a="1"/>
  <c r="AM64" i="99" a="1"/>
  <c r="AJ28" i="99" a="1"/>
  <c r="AL10" i="99" a="1"/>
  <c r="AI202" i="99" a="1"/>
  <c r="AG150" i="99" a="1"/>
  <c r="AJ118" i="99" a="1"/>
  <c r="AK90" i="99" a="1"/>
  <c r="AO50" i="99" a="1"/>
  <c r="AO230" i="99" a="1"/>
  <c r="AK194" i="99" a="1"/>
  <c r="AP82" i="99" a="1"/>
  <c r="AK34" i="99" a="1"/>
  <c r="AM16" i="99" a="1"/>
  <c r="AO182" i="99" a="1"/>
  <c r="AO134" i="99" a="1"/>
  <c r="AG94" i="99" a="1"/>
  <c r="AO60" i="99" a="1"/>
  <c r="AG212" i="99" a="1"/>
  <c r="AI148" i="99" a="1"/>
  <c r="AM76" i="99" a="1"/>
  <c r="AO32" i="99" a="1"/>
  <c r="AJ10" i="99" a="1"/>
  <c r="AL184" i="99" a="1"/>
  <c r="AJ124" i="99" a="1"/>
  <c r="AM84" i="99" a="1"/>
  <c r="AK386" i="99" a="1"/>
  <c r="AH364" i="99" a="1"/>
  <c r="AP340" i="99" a="1"/>
  <c r="AM390" i="99" a="1"/>
  <c r="AM368" i="99" a="1"/>
  <c r="AI346" i="99" a="1"/>
  <c r="AJ400" i="99" a="1"/>
  <c r="AI400" i="99" a="1"/>
  <c r="AK382" i="99" a="1"/>
  <c r="AO404" i="99" a="1"/>
  <c r="AJ364" i="99" a="1"/>
  <c r="AM328" i="99" a="1"/>
  <c r="AO374" i="99" a="1"/>
  <c r="AO300" i="99" a="1"/>
  <c r="AG280" i="99" a="1"/>
  <c r="AM234" i="99" a="1"/>
  <c r="AM212" i="99" a="1"/>
  <c r="AI190" i="99" a="1"/>
  <c r="AM404" i="99" a="1"/>
  <c r="AI364" i="99" a="1"/>
  <c r="AM314" i="99" a="1"/>
  <c r="AK328" i="99" a="1"/>
  <c r="AO298" i="99" a="1"/>
  <c r="AL274" i="99" a="1"/>
  <c r="AK234" i="99" a="1"/>
  <c r="AK212" i="99" a="1"/>
  <c r="AH190" i="99" a="1"/>
  <c r="AL370" i="99" a="1"/>
  <c r="AJ328" i="99" a="1"/>
  <c r="AN322" i="99" a="1"/>
  <c r="AL334" i="99" a="1"/>
  <c r="AM336" i="99" a="1"/>
  <c r="AM394" i="99" a="1"/>
  <c r="AK340" i="99" a="1"/>
  <c r="AJ334" i="99" a="1"/>
  <c r="AM384" i="99" a="1"/>
  <c r="AJ382" i="99" a="1"/>
  <c r="AG396" i="99" a="1"/>
  <c r="AO402" i="99" a="1"/>
  <c r="AK366" i="99" a="1"/>
  <c r="AO372" i="99" a="1"/>
  <c r="AM304" i="99" a="1"/>
  <c r="AN160" i="99" a="1"/>
  <c r="AG290" i="99" a="1"/>
  <c r="AP226" i="99" a="1"/>
  <c r="AM204" i="99" a="1"/>
  <c r="AJ178" i="99" a="1"/>
  <c r="AO150" i="99" a="1"/>
  <c r="AO128" i="99" a="1"/>
  <c r="AJ106" i="99" a="1"/>
  <c r="AL88" i="99" a="1"/>
  <c r="AN70" i="99" a="1"/>
  <c r="AK162" i="99" a="1"/>
  <c r="AH280" i="99" a="1"/>
  <c r="AG246" i="99" a="1"/>
  <c r="AI220" i="99" a="1"/>
  <c r="AK202" i="99" a="1"/>
  <c r="AM164" i="99" a="1"/>
  <c r="AM142" i="99" a="1"/>
  <c r="AG120" i="99" a="1"/>
  <c r="AG162" i="99" a="1"/>
  <c r="AL310" i="99" a="1"/>
  <c r="AO328" i="99" a="1"/>
  <c r="AO308" i="99" a="1"/>
  <c r="AM288" i="99" a="1"/>
  <c r="AM322" i="99" a="1"/>
  <c r="AM318" i="99" a="1"/>
  <c r="AO282" i="99" a="1"/>
  <c r="AP178" i="99" a="1"/>
  <c r="AN124" i="99" a="1"/>
  <c r="AO92" i="99" a="1"/>
  <c r="AM52" i="99" a="1"/>
  <c r="AP220" i="99" a="1"/>
  <c r="AO160" i="99" a="1"/>
  <c r="AJ100" i="99" a="1"/>
  <c r="AI46" i="99" a="1"/>
  <c r="AK28" i="99" a="1"/>
  <c r="AM10" i="99" a="1"/>
  <c r="AK238" i="99" a="1"/>
  <c r="AK176" i="99" a="1"/>
  <c r="AM120" i="99" a="1"/>
  <c r="AK56" i="99" a="1"/>
  <c r="AI226" i="99" a="1"/>
  <c r="AG192" i="99" a="1"/>
  <c r="AK106" i="99" a="1"/>
  <c r="AO48" i="99" a="1"/>
  <c r="AO26" i="99" a="1"/>
  <c r="AJ4" i="99" a="1"/>
  <c r="AK198" i="99" a="1"/>
  <c r="AH142" i="99" a="1"/>
  <c r="AO116" i="99" a="1"/>
  <c r="AN88" i="99" a="1"/>
  <c r="AO290" i="99" a="1"/>
  <c r="AH226" i="99" a="1"/>
  <c r="AJ160" i="99" a="1"/>
  <c r="AN76" i="99" a="1"/>
  <c r="AI28" i="99" a="1"/>
  <c r="AK10" i="99" a="1"/>
  <c r="AO244" i="99" a="1"/>
  <c r="AK180" i="99" a="1"/>
  <c r="AO130" i="99" a="1"/>
  <c r="AG92" i="99" a="1"/>
  <c r="AP58" i="99" a="1"/>
  <c r="AL244" i="99" a="1"/>
  <c r="AG200" i="99" a="1"/>
  <c r="AJ136" i="99" a="1"/>
  <c r="AO72" i="99" a="1"/>
  <c r="AO30" i="99" a="1"/>
  <c r="AO8" i="99" a="1"/>
  <c r="AM182" i="99" a="1"/>
  <c r="AH118" i="99" a="1"/>
  <c r="AM78" i="99" a="1"/>
  <c r="AK276" i="99" a="1"/>
  <c r="AG178" i="99" a="1"/>
  <c r="AK132" i="99" a="1"/>
  <c r="AL70" i="99" a="1"/>
  <c r="AM30" i="99" a="1"/>
  <c r="AK384" i="99" a="1"/>
  <c r="AK362" i="99" a="1"/>
  <c r="AH340" i="99" a="1"/>
  <c r="AO388" i="99" a="1"/>
  <c r="AM366" i="99" a="1"/>
  <c r="AM344" i="99" a="1"/>
  <c r="AO398" i="99" a="1"/>
  <c r="AM398" i="99" a="1"/>
  <c r="AI376" i="99" a="1"/>
  <c r="AM402" i="99" a="1"/>
  <c r="AI358" i="99" a="1"/>
  <c r="AO314" i="99" a="1"/>
  <c r="AG346" i="99" a="1"/>
  <c r="AP298" i="99" a="1"/>
  <c r="AG278" i="99" a="1"/>
  <c r="AO232" i="99" a="1"/>
  <c r="AM210" i="99" a="1"/>
  <c r="AM188" i="99" a="1"/>
  <c r="AG382" i="99" a="1"/>
  <c r="AH358" i="99" a="1"/>
  <c r="AN310" i="99" a="1"/>
  <c r="AO326" i="99" a="1"/>
  <c r="AK292" i="99" a="1"/>
  <c r="AN232" i="99" a="1"/>
  <c r="AK210" i="99" a="1"/>
  <c r="AK188" i="99" a="1"/>
  <c r="AG368" i="99" a="1"/>
  <c r="AM324" i="99" a="1"/>
  <c r="AH316" i="99" a="1"/>
  <c r="AI328" i="99" a="1"/>
  <c r="AO382" i="99" a="1"/>
  <c r="AO384" i="99" a="1"/>
  <c r="AG326" i="99" a="1"/>
  <c r="AO332" i="99" a="1"/>
  <c r="AL358" i="99" a="1"/>
  <c r="AO380" i="99" a="1"/>
  <c r="AK394" i="99" a="1"/>
  <c r="AO400" i="99" a="1"/>
  <c r="AK364" i="99" a="1"/>
  <c r="AG366" i="99" a="1"/>
  <c r="AK302" i="99" a="1"/>
  <c r="AK332" i="99" a="1"/>
  <c r="AK286" i="99" a="1"/>
  <c r="AL220" i="99" a="1"/>
  <c r="AN202" i="99" a="1"/>
  <c r="AO176" i="99" a="1"/>
  <c r="AP148" i="99" a="1"/>
  <c r="AO126" i="99" a="1"/>
  <c r="AO104" i="99" a="1"/>
  <c r="AJ82" i="99" a="1"/>
  <c r="AL64" i="99" a="1"/>
  <c r="AM160" i="99" a="1"/>
  <c r="AI274" i="99" a="1"/>
  <c r="AM244" i="99" a="1"/>
  <c r="AK218" i="99" a="1"/>
  <c r="AG196" i="99" a="1"/>
  <c r="AI154" i="99" a="1"/>
  <c r="AK136" i="99" a="1"/>
  <c r="AH334" i="99" a="1"/>
  <c r="AL160" i="99" a="1"/>
  <c r="AG304" i="99" a="1"/>
  <c r="AO312" i="99" a="1"/>
  <c r="AO306" i="99" a="1"/>
  <c r="AN286" i="99" a="1"/>
  <c r="AO318" i="99" a="1"/>
  <c r="AK314" i="99" a="1"/>
  <c r="AI172" i="99" a="1"/>
  <c r="AO120" i="99" a="1"/>
  <c r="AO90" i="99" a="1"/>
  <c r="AK294" i="99" a="1"/>
  <c r="AO210" i="99" a="1"/>
  <c r="AP154" i="99" a="1"/>
  <c r="AG98" i="99" a="1"/>
  <c r="AM44" i="99" a="1"/>
  <c r="AI22" i="99" a="1"/>
  <c r="AK4" i="99" a="1"/>
  <c r="AG236" i="99" a="1"/>
  <c r="AH172" i="99" a="1"/>
  <c r="AK118" i="99" a="1"/>
  <c r="AG54" i="99" a="1"/>
  <c r="AM224" i="99" a="1"/>
  <c r="AL190" i="99" a="1"/>
  <c r="AG104" i="99" a="1"/>
  <c r="AP46" i="99" a="1"/>
  <c r="AO24" i="99" a="1"/>
  <c r="AG314" i="99" a="1"/>
  <c r="AG190" i="99" a="1"/>
  <c r="AK140" i="99" a="1"/>
  <c r="AO114" i="99" a="1"/>
  <c r="AO76" i="99" a="1"/>
  <c r="AO276" i="99" a="1"/>
  <c r="AK224" i="99" a="1"/>
  <c r="AM156" i="99" a="1"/>
  <c r="AM48" i="99" a="1"/>
  <c r="AM26" i="99" a="1"/>
  <c r="AI4" i="99" a="1"/>
  <c r="AM242" i="99" a="1"/>
  <c r="AK178" i="99" a="1"/>
  <c r="AK124" i="99" a="1"/>
  <c r="AG90" i="99" a="1"/>
  <c r="AG58" i="99" a="1"/>
  <c r="AM230" i="99" a="1"/>
  <c r="AL196" i="99" a="1"/>
  <c r="AM132" i="99" a="1"/>
  <c r="AM70" i="99" a="1"/>
  <c r="AP28" i="99" a="1"/>
  <c r="AO6" i="99" a="1"/>
  <c r="AO246" i="99" a="1"/>
  <c r="AN172" i="99" a="1"/>
  <c r="AK116" i="99" a="1"/>
  <c r="AI64" i="99" a="1"/>
  <c r="AG274" i="99" a="1"/>
  <c r="AO168" i="99" a="1"/>
  <c r="AP106" i="99" a="1"/>
  <c r="AH52" i="99" a="1"/>
  <c r="AO28" i="99" a="1"/>
  <c r="AM6" i="99" a="1"/>
  <c r="AG242" i="99" a="1"/>
  <c r="AG160" i="99" a="1"/>
  <c r="AM112" i="99" a="1"/>
  <c r="AK62" i="99" a="1"/>
  <c r="AL400" i="99" a="1"/>
  <c r="AN382" i="99" a="1"/>
  <c r="AK360" i="99" a="1"/>
  <c r="AK338" i="99" a="1"/>
  <c r="AG388" i="99" a="1"/>
  <c r="AO364" i="99" a="1"/>
  <c r="AM342" i="99" a="1"/>
  <c r="AO396" i="99" a="1"/>
  <c r="AM396" i="99" a="1"/>
  <c r="AK404" i="99" a="1"/>
  <c r="AH382" i="99" a="1"/>
  <c r="AM356" i="99" a="1"/>
  <c r="AO310" i="99" a="1"/>
  <c r="AP322" i="99" a="1"/>
  <c r="AG296" i="99" a="1"/>
  <c r="AG276" i="99" a="1"/>
  <c r="AG232" i="99" a="1"/>
  <c r="AO208" i="99" a="1"/>
  <c r="AM186" i="99" a="1"/>
  <c r="AG380" i="99" a="1"/>
  <c r="AK356" i="99" a="1"/>
  <c r="AJ304" i="99" a="1"/>
  <c r="AO322" i="99" a="1"/>
  <c r="AO288" i="99" a="1"/>
  <c r="AJ244" i="99" a="1"/>
  <c r="AL226" i="99" a="1"/>
  <c r="AN208" i="99" a="1"/>
  <c r="AK186" i="99" a="1"/>
  <c r="AG358" i="99" a="1"/>
  <c r="AG400" i="99" a="1"/>
  <c r="AP382" i="99" a="1"/>
  <c r="AN394" i="99" a="1"/>
  <c r="AG376" i="99" a="1"/>
  <c r="AG370" i="99" a="1"/>
  <c r="AL382" i="99" a="1"/>
  <c r="AO330" i="99" a="1"/>
  <c r="AG350" i="99" a="1"/>
  <c r="AO378" i="99" a="1"/>
  <c r="AK388" i="99" a="1"/>
  <c r="AM386" i="99" a="1"/>
  <c r="AJ358" i="99" a="1"/>
  <c r="AM362" i="99" a="1"/>
  <c r="AJ298" i="99" a="1"/>
  <c r="AK324" i="99" a="1"/>
  <c r="AG284" i="99" a="1"/>
  <c r="AM218" i="99" a="1"/>
  <c r="AH196" i="99" a="1"/>
  <c r="AO174" i="99" a="1"/>
  <c r="AH148" i="99" a="1"/>
  <c r="AP124" i="99" a="1"/>
  <c r="AO102" i="99" a="1"/>
  <c r="AO80" i="99" a="1"/>
  <c r="AI334" i="99" a="1"/>
  <c r="AG324" i="99" a="1"/>
  <c r="AM240" i="99" a="1"/>
  <c r="AG216" i="99" a="1"/>
  <c r="AJ190" i="99" a="1"/>
  <c r="AM152" i="99" a="1"/>
  <c r="AI130" i="99" a="1"/>
  <c r="AI322" i="99" a="1"/>
  <c r="AH322" i="99" a="1"/>
  <c r="AK326" i="99" a="1"/>
  <c r="AO294" i="99" a="1"/>
  <c r="AP304" i="99" a="1"/>
  <c r="AM330" i="99" a="1"/>
  <c r="AN316" i="99" a="1"/>
  <c r="AH310" i="99" a="1"/>
  <c r="AI166" i="99" a="1"/>
  <c r="AL118" i="99" a="1"/>
  <c r="AP88" i="99" a="1"/>
  <c r="AO202" i="99" a="1"/>
  <c r="AL148" i="99" a="1"/>
  <c r="AH82" i="99" a="1"/>
  <c r="AM42" i="99" a="1"/>
  <c r="AM20" i="99" a="1"/>
  <c r="AK318" i="99" a="1"/>
  <c r="AM228" i="99" a="1"/>
  <c r="AK150" i="99" a="1"/>
  <c r="AG112" i="99" a="1"/>
  <c r="AL52" i="99" a="1"/>
  <c r="AM222" i="99" a="1"/>
  <c r="AG166" i="99" a="1"/>
  <c r="AI100" i="99" a="1"/>
  <c r="AH46" i="99" a="1"/>
  <c r="AP22" i="99" a="1"/>
  <c r="AO274" i="99" a="1"/>
  <c r="AP184" i="99" a="1"/>
  <c r="AK138" i="99" a="1"/>
  <c r="AP112" i="99" a="1"/>
  <c r="AP70" i="99" a="1"/>
  <c r="AK222" i="99" a="1"/>
  <c r="AN154" i="99" a="1"/>
  <c r="AO46" i="99" a="1"/>
  <c r="AM24" i="99" a="1"/>
  <c r="AM332" i="99" a="1"/>
  <c r="AG238" i="99" a="1"/>
  <c r="AM158" i="99" a="1"/>
  <c r="AM122" i="99" a="1"/>
  <c r="AM88" i="99" a="1"/>
  <c r="AJ52" i="99" a="1"/>
  <c r="AG226" i="99" a="1"/>
  <c r="AH178" i="99" a="1"/>
  <c r="AG126" i="99" a="1"/>
  <c r="AK50" i="99" a="1"/>
  <c r="AH28" i="99" a="1"/>
  <c r="AP4" i="99" a="1"/>
  <c r="AK242" i="99" a="1"/>
  <c r="AP166" i="99" a="1"/>
  <c r="AK114" i="99" a="1"/>
  <c r="AM62" i="99" a="1"/>
  <c r="AH160" i="99" a="1"/>
  <c r="AN100" i="99" a="1"/>
  <c r="AG50" i="99" a="1"/>
  <c r="AG28" i="99" a="1"/>
  <c r="AJ394" i="99" a="1"/>
  <c r="AL376" i="99" a="1"/>
  <c r="AN358" i="99" a="1"/>
  <c r="AK336" i="99" a="1"/>
  <c r="AG386" i="99" a="1"/>
  <c r="AG364" i="99" a="1"/>
  <c r="AO340" i="99" a="1"/>
  <c r="AP394" i="99" a="1"/>
  <c r="AO394" i="99" a="1"/>
  <c r="AK402" i="99" a="1"/>
  <c r="AK380" i="99" a="1"/>
  <c r="AM354" i="99" a="1"/>
  <c r="AL304" i="99" a="1"/>
  <c r="AG322" i="99" a="1"/>
  <c r="AL292" i="99" a="1"/>
  <c r="AM274" i="99" a="1"/>
  <c r="AG230" i="99" a="1"/>
  <c r="AG208" i="99" a="1"/>
  <c r="AO184" i="99" a="1"/>
  <c r="AG378" i="99" a="1"/>
  <c r="AK354" i="99" a="1"/>
  <c r="AG298" i="99" a="1"/>
  <c r="AI316" i="99" a="1"/>
  <c r="AP286" i="99" a="1"/>
  <c r="AO242" i="99" a="1"/>
  <c r="AJ220" i="99" a="1"/>
  <c r="AL202" i="99" a="1"/>
  <c r="AN184" i="99" a="1"/>
  <c r="AG356" i="99" a="1"/>
  <c r="AO350" i="99" a="1"/>
  <c r="AH376" i="99" a="1"/>
  <c r="AP358" i="99" a="1"/>
  <c r="AH370" i="99" a="1"/>
  <c r="AN364" i="99" a="1"/>
  <c r="AM364" i="99" a="1"/>
  <c r="AP328" i="99" a="1"/>
  <c r="AL346" i="99" a="1"/>
  <c r="AP376" i="99" a="1"/>
  <c r="AP370" i="99" a="1"/>
  <c r="AI382" i="99" a="1"/>
  <c r="AO356" i="99" a="1"/>
  <c r="AH346" i="99" a="1"/>
  <c r="AI292" i="99" a="1"/>
  <c r="AK322" i="99" a="1"/>
  <c r="AI280" i="99" a="1"/>
  <c r="AK248" i="99" a="1"/>
  <c r="AK216" i="99" a="1"/>
  <c r="AG194" i="99" a="1"/>
  <c r="AP172" i="99" a="1"/>
  <c r="AK146" i="99" a="1"/>
  <c r="AH124" i="99" a="1"/>
  <c r="AP100" i="99" a="1"/>
  <c r="AO78" i="99" a="1"/>
  <c r="AI304" i="99" a="1"/>
  <c r="AJ322" i="99" a="1"/>
  <c r="AN238" i="99" a="1"/>
  <c r="AL214" i="99" a="1"/>
  <c r="AH184" i="99" a="1"/>
  <c r="AM150" i="99" a="1"/>
  <c r="AM128" i="99" a="1"/>
  <c r="AG316" i="99" a="1"/>
  <c r="AG286" i="99" a="1"/>
  <c r="AP292" i="99" a="1"/>
  <c r="AO286" i="99" a="1"/>
  <c r="AM298" i="99" a="1"/>
  <c r="AO316" i="99" a="1"/>
  <c r="AM296" i="99" a="1"/>
  <c r="AK308" i="99" a="1"/>
  <c r="AP160" i="99" a="1"/>
  <c r="AH112" i="99" a="1"/>
  <c r="AI82" i="99" a="1"/>
  <c r="AO200" i="99" a="1"/>
  <c r="AO146" i="99" a="1"/>
  <c r="AH70" i="99" a="1"/>
  <c r="AO40" i="99" a="1"/>
  <c r="AM18" i="99" a="1"/>
  <c r="AK300" i="99" a="1"/>
  <c r="AH208" i="99" a="1"/>
  <c r="AI142" i="99" a="1"/>
  <c r="AI94" i="99" a="1"/>
  <c r="AO220" i="99" a="1"/>
  <c r="AK160" i="99" a="1"/>
  <c r="AG82" i="99" a="1"/>
  <c r="AK44" i="99" a="1"/>
  <c r="AH22" i="99" a="1"/>
  <c r="AM180" i="99" a="1"/>
  <c r="AN136" i="99" a="1"/>
  <c r="AI106" i="99" a="1"/>
  <c r="AK64" i="99" a="1"/>
  <c r="AN220" i="99" a="1"/>
  <c r="AJ148" i="99" a="1"/>
  <c r="AG46" i="99" a="1"/>
  <c r="AO22" i="99" a="1"/>
  <c r="AO296" i="99" a="1"/>
  <c r="AK232" i="99" a="1"/>
  <c r="AG142" i="99" a="1"/>
  <c r="AI118" i="99" a="1"/>
  <c r="AO84" i="99" a="1"/>
  <c r="AM50" i="99" a="1"/>
  <c r="AG224" i="99" a="1"/>
  <c r="AI160" i="99" a="1"/>
  <c r="AG106" i="99" a="1"/>
  <c r="AK48" i="99" a="1"/>
  <c r="AK26" i="99" a="1"/>
  <c r="AH4" i="99" a="1"/>
  <c r="AJ232" i="99" a="1"/>
  <c r="AK158" i="99" a="1"/>
  <c r="AN112" i="99" a="1"/>
  <c r="AO392" i="99" a="1"/>
  <c r="AJ370" i="99" a="1"/>
  <c r="AL352" i="99" a="1"/>
  <c r="AN334" i="99" a="1"/>
  <c r="AG384" i="99" a="1"/>
  <c r="AG362" i="99" a="1"/>
  <c r="AG340" i="99" a="1"/>
  <c r="AH394" i="99" a="1"/>
  <c r="AG394" i="99" a="1"/>
  <c r="AN400" i="99" a="1"/>
  <c r="AK378" i="99" a="1"/>
  <c r="AO352" i="99" a="1"/>
  <c r="AH298" i="99" a="1"/>
  <c r="AJ316" i="99" a="1"/>
  <c r="AI286" i="99" a="1"/>
  <c r="AG228" i="99" a="1"/>
  <c r="AG206" i="99" a="1"/>
  <c r="AG184" i="99" a="1"/>
  <c r="AM376" i="99" a="1"/>
  <c r="AN352" i="99" a="1"/>
  <c r="AH400" i="99" a="1"/>
  <c r="AK312" i="99" a="1"/>
  <c r="AH286" i="99" a="1"/>
  <c r="AO240" i="99" a="1"/>
  <c r="AO218" i="99" a="1"/>
  <c r="AJ196" i="99" a="1"/>
  <c r="AL178" i="99" a="1"/>
  <c r="AG354" i="99" a="1"/>
  <c r="AO346" i="99" a="1"/>
  <c r="AG374" i="99" a="1"/>
  <c r="AM350" i="99" a="1"/>
  <c r="AI352" i="99" a="1"/>
  <c r="AO358" i="99" a="1"/>
  <c r="AO360" i="99" a="1"/>
  <c r="AG328" i="99" a="1"/>
  <c r="AK344" i="99" a="1"/>
  <c r="AL364" i="99" a="1"/>
  <c r="AO362" i="99" a="1"/>
  <c r="AM380" i="99" a="1"/>
  <c r="AO354" i="99" a="1"/>
  <c r="AM320" i="99" a="1"/>
  <c r="AK290" i="99" a="1"/>
  <c r="AK320" i="99" a="1"/>
  <c r="AK278" i="99" a="1"/>
  <c r="AK246" i="99" a="1"/>
  <c r="AM214" i="99" a="1"/>
  <c r="AK190" i="99" a="1"/>
  <c r="AG172" i="99" a="1"/>
  <c r="AK144" i="99" a="1"/>
  <c r="AK122" i="99" a="1"/>
  <c r="AH100" i="99" a="1"/>
  <c r="AP76" i="99" a="1"/>
  <c r="AG302" i="99" a="1"/>
  <c r="AG320" i="99" a="1"/>
  <c r="AO234" i="99" a="1"/>
  <c r="AO212" i="99" a="1"/>
  <c r="AI178" i="99" a="1"/>
  <c r="AO148" i="99" a="1"/>
  <c r="AM126" i="99" a="1"/>
  <c r="AP310" i="99" a="1"/>
  <c r="AH274" i="99" a="1"/>
  <c r="AP280" i="99" a="1"/>
  <c r="AM280" i="99" a="1"/>
  <c r="AM294" i="99" a="1"/>
  <c r="AI310" i="99" a="1"/>
  <c r="AK288" i="99" a="1"/>
  <c r="AK306" i="99" a="1"/>
  <c r="AL238" i="99" a="1"/>
  <c r="AJ142" i="99" a="1"/>
  <c r="AG108" i="99" a="1"/>
  <c r="AG76" i="99" a="1"/>
  <c r="AO196" i="99" a="1"/>
  <c r="AG130" i="99" a="1"/>
  <c r="AK68" i="99" a="1"/>
  <c r="AG40" i="99" a="1"/>
  <c r="AO16" i="99" a="1"/>
  <c r="AG288" i="99" a="1"/>
  <c r="AJ202" i="99" a="1"/>
  <c r="AM140" i="99" a="1"/>
  <c r="AM92" i="99" a="1"/>
  <c r="AG218" i="99" a="1"/>
  <c r="AO156" i="99" a="1"/>
  <c r="AG70" i="99" a="1"/>
  <c r="AK42" i="99" a="1"/>
  <c r="AK20" i="99" a="1"/>
  <c r="AP244" i="99" a="1"/>
  <c r="AN178" i="99" a="1"/>
  <c r="AP130" i="99" a="1"/>
  <c r="AG100" i="99" a="1"/>
  <c r="AH58" i="99" a="1"/>
  <c r="AO204" i="99" a="1"/>
  <c r="AO132" i="99" a="1"/>
  <c r="AG44" i="99" a="1"/>
  <c r="AG22" i="99" a="1"/>
  <c r="AM290" i="99" a="1"/>
  <c r="AH202" i="99" a="1"/>
  <c r="AG140" i="99" a="1"/>
  <c r="AM116" i="99" a="1"/>
  <c r="AO70" i="99" a="1"/>
  <c r="AO284" i="99" a="1"/>
  <c r="AG222" i="99" a="1"/>
  <c r="AK156" i="99" a="1"/>
  <c r="AK88" i="99" a="1"/>
  <c r="AN46" i="99" a="1"/>
  <c r="AK24" i="99" a="1"/>
  <c r="AK296" i="99" a="1"/>
  <c r="AH220" i="99" a="1"/>
  <c r="AG156" i="99" a="1"/>
  <c r="AO100" i="99" a="1"/>
  <c r="AO58" i="99" a="1"/>
  <c r="AG360" i="99" a="1"/>
  <c r="AM312" i="99" a="1"/>
  <c r="AP334" i="99" a="1"/>
  <c r="AJ376" i="99" a="1"/>
  <c r="AK396" i="99" a="1"/>
  <c r="AG318" i="99" a="1"/>
  <c r="AK98" i="99" a="1"/>
  <c r="AG148" i="99" a="1"/>
  <c r="AM286" i="99" a="1"/>
  <c r="AG110" i="99" a="1"/>
  <c r="AL124" i="99" a="1"/>
  <c r="AN274" i="99" a="1"/>
  <c r="AO86" i="99" a="1"/>
  <c r="AI52" i="99" a="1"/>
  <c r="AG152" i="99" a="1"/>
  <c r="AK40" i="99" a="1"/>
  <c r="AG4" i="99" a="1"/>
  <c r="AG186" i="99" a="1"/>
  <c r="AG114" i="99" a="1"/>
  <c r="AN58" i="99" a="1"/>
  <c r="AK154" i="99" a="1"/>
  <c r="AO96" i="99" a="1"/>
  <c r="AL46" i="99" a="1"/>
  <c r="AN28" i="99" a="1"/>
  <c r="AK6" i="99" a="1"/>
  <c r="AJ184" i="99" a="1"/>
  <c r="AP118" i="99" a="1"/>
  <c r="AM74" i="99" a="1"/>
  <c r="AK174" i="99" a="1"/>
  <c r="AM110" i="99" a="1"/>
  <c r="AJ76" i="99" a="1"/>
  <c r="AI40" i="99" a="1"/>
  <c r="AK22" i="99" a="1"/>
  <c r="AM4" i="99" a="1"/>
  <c r="AM166" i="99" a="1"/>
  <c r="AG96" i="99" a="1"/>
  <c r="AM106" i="99" a="1"/>
  <c r="AM192" i="99" a="1"/>
  <c r="AJ280" i="99" a="1"/>
  <c r="AP202" i="99" a="1"/>
  <c r="AN190" i="99" a="1"/>
  <c r="AG174" i="99" a="1"/>
  <c r="AG64" i="99" a="1"/>
  <c r="AN106" i="99" a="1"/>
  <c r="AM38" i="99" a="1"/>
  <c r="AK94" i="99" a="1"/>
  <c r="AJ46" i="99" a="1"/>
  <c r="AG168" i="99" a="1"/>
  <c r="AM148" i="99" a="1"/>
  <c r="AO216" i="99" a="1"/>
  <c r="AJ226" i="99" a="1"/>
  <c r="AG158" i="99" a="1"/>
  <c r="AH64" i="99" a="1"/>
  <c r="AH10" i="99" a="1"/>
  <c r="AO144" i="99" a="1"/>
  <c r="AO188" i="99" a="1"/>
  <c r="AH16" i="99" a="1"/>
  <c r="AG294" i="99" a="1"/>
  <c r="AM176" i="99" a="1"/>
  <c r="AM154" i="99" a="1"/>
  <c r="AK214" i="99" a="1"/>
  <c r="AM100" i="99" a="1"/>
  <c r="AM80" i="99" a="1"/>
  <c r="AG6" i="99" a="1"/>
  <c r="AG338" i="99" a="1"/>
  <c r="AM284" i="99" a="1"/>
  <c r="AK368" i="99" a="1"/>
  <c r="AM352" i="99" a="1"/>
  <c r="AJ340" i="99" a="1"/>
  <c r="AJ274" i="99" a="1"/>
  <c r="AH76" i="99" a="1"/>
  <c r="AO124" i="99" a="1"/>
  <c r="AN304" i="99" a="1"/>
  <c r="AK66" i="99" a="1"/>
  <c r="AM200" i="99" a="1"/>
  <c r="AH94" i="99" a="1"/>
  <c r="AG198" i="99" a="1"/>
  <c r="AL40" i="99" a="1"/>
  <c r="AO278" i="99" a="1"/>
  <c r="AI136" i="99" a="1"/>
  <c r="AM32" i="99" a="1"/>
  <c r="AM292" i="99" a="1"/>
  <c r="AM172" i="99" a="1"/>
  <c r="AO108" i="99" a="1"/>
  <c r="AG52" i="99" a="1"/>
  <c r="AO142" i="99" a="1"/>
  <c r="AM94" i="99" a="1"/>
  <c r="AJ40" i="99" a="1"/>
  <c r="AL22" i="99" a="1"/>
  <c r="AN4" i="99" a="1"/>
  <c r="AL172" i="99" a="1"/>
  <c r="AJ112" i="99" a="1"/>
  <c r="AK172" i="99" a="1"/>
  <c r="AG74" i="99" a="1"/>
  <c r="AI16" i="99" a="1"/>
  <c r="AG154" i="99" a="1"/>
  <c r="AG102" i="99" a="1"/>
  <c r="AK226" i="99" a="1"/>
  <c r="AK110" i="99" a="1"/>
  <c r="AK350" i="99" a="1"/>
  <c r="AM138" i="99" a="1"/>
  <c r="AM8" i="99" a="1"/>
  <c r="AO106" i="99" a="1"/>
  <c r="AL286" i="99" a="1"/>
  <c r="AG8" i="99" a="1"/>
  <c r="AM144" i="99" a="1"/>
  <c r="AO194" i="99" a="1"/>
  <c r="AK192" i="99" a="1"/>
  <c r="AL154" i="99" a="1"/>
  <c r="AJ214" i="99" a="1"/>
  <c r="AK46" i="99" a="1"/>
  <c r="AI76" i="99" a="1"/>
  <c r="AK392" i="99" a="1"/>
  <c r="AM310" i="99" a="1"/>
  <c r="AM340" i="99" a="1"/>
  <c r="AM360" i="99" a="1"/>
  <c r="AN244" i="99" a="1"/>
  <c r="AH292" i="99" a="1"/>
  <c r="AH304" i="99" a="1"/>
  <c r="AO236" i="99" a="1"/>
  <c r="AG38" i="99" a="1"/>
  <c r="AO154" i="99" a="1"/>
  <c r="AG56" i="99" a="1"/>
  <c r="AG138" i="99" a="1"/>
  <c r="AN22" i="99" a="1"/>
  <c r="AM86" i="99" a="1"/>
  <c r="AG26" i="99" a="1"/>
  <c r="AO166" i="99" a="1"/>
  <c r="AO94" i="99" a="1"/>
  <c r="AM316" i="99" a="1"/>
  <c r="AH244" i="99" a="1"/>
  <c r="AH136" i="99" a="1"/>
  <c r="AK86" i="99" a="1"/>
  <c r="AO38" i="99" a="1"/>
  <c r="AJ16" i="99" a="1"/>
  <c r="AK298" i="99" a="1"/>
  <c r="AN166" i="99" a="1"/>
  <c r="AM108" i="99" a="1"/>
  <c r="AG62" i="99" a="1"/>
  <c r="AM170" i="99" a="1"/>
  <c r="AK102" i="99" a="1"/>
  <c r="AJ70" i="99" a="1"/>
  <c r="AM36" i="99" a="1"/>
  <c r="AM14" i="99" a="1"/>
  <c r="AK142" i="99" a="1"/>
  <c r="AG88" i="99" a="1"/>
  <c r="AG80" i="99" a="1"/>
  <c r="AL28" i="99" a="1"/>
  <c r="AP16" i="99" a="1"/>
  <c r="AH130" i="99" a="1"/>
  <c r="AM118" i="99" a="1"/>
  <c r="AP40" i="99" a="1"/>
  <c r="AK100" i="99" a="1"/>
  <c r="AO18" i="99" a="1"/>
  <c r="AK400" i="99" a="1"/>
  <c r="AJ208" i="99" a="1"/>
  <c r="AM220" i="99" a="1"/>
  <c r="AI124" i="99" a="1"/>
  <c r="AH232" i="99" a="1"/>
  <c r="AL82" i="99" a="1"/>
  <c r="AL208" i="99" a="1"/>
  <c r="AH352" i="99" a="1"/>
  <c r="AM90" i="99" a="1"/>
  <c r="AO4" i="99" a="1"/>
  <c r="AP52" i="99" a="1"/>
  <c r="AK280" i="99" a="1"/>
  <c r="AO98" i="99" a="1"/>
  <c r="AM66" i="99" a="1"/>
  <c r="AO390" i="99" a="1"/>
  <c r="AG392" i="99" a="1"/>
  <c r="AK244" i="99" a="1"/>
  <c r="AK284" i="99" a="1"/>
  <c r="AK370" i="99" a="1"/>
  <c r="AK346" i="99" a="1"/>
  <c r="AG210" i="99" a="1"/>
  <c r="AK316" i="99" a="1"/>
  <c r="AO140" i="99" a="1"/>
  <c r="AG16" i="99" a="1"/>
  <c r="AG68" i="99" a="1"/>
  <c r="AG240" i="99" a="1"/>
  <c r="AM114" i="99" a="1"/>
  <c r="AK274" i="99" a="1"/>
  <c r="AI244" i="99" a="1"/>
  <c r="AN82" i="99" a="1"/>
  <c r="AG24" i="99" a="1"/>
  <c r="AK134" i="99" a="1"/>
  <c r="AI88" i="99" a="1"/>
  <c r="AL298" i="99" a="1"/>
  <c r="AG234" i="99" a="1"/>
  <c r="AG132" i="99" a="1"/>
  <c r="AM82" i="99" a="1"/>
  <c r="AO36" i="99" a="1"/>
  <c r="AO14" i="99" a="1"/>
  <c r="AH154" i="99" a="1"/>
  <c r="AM102" i="99" a="1"/>
  <c r="AG60" i="99" a="1"/>
  <c r="AG244" i="99" a="1"/>
  <c r="AK168" i="99" a="1"/>
  <c r="AL100" i="99" a="1"/>
  <c r="AO68" i="99" a="1"/>
  <c r="AO34" i="99" a="1"/>
  <c r="AM12" i="99" a="1"/>
  <c r="AM248" i="99" a="1"/>
  <c r="AK130" i="99" a="1"/>
  <c r="AL58" i="99" a="1"/>
  <c r="AK36" i="99" a="1"/>
  <c r="AN10" i="99" a="1"/>
  <c r="AK82" i="99" a="1"/>
  <c r="AO44" i="99" a="1"/>
  <c r="AG182" i="99" a="1"/>
  <c r="AK70" i="99" a="1"/>
  <c r="AK80" i="99" a="1"/>
  <c r="AO368" i="99" a="1"/>
  <c r="AG404" i="99" a="1"/>
  <c r="AM226" i="99" a="1"/>
  <c r="AN346" i="99" a="1"/>
  <c r="AM378" i="99" a="1"/>
  <c r="AG188" i="99" a="1"/>
  <c r="AK310" i="99" a="1"/>
  <c r="AM104" i="99" a="1"/>
  <c r="AG282" i="99" a="1"/>
  <c r="AN40" i="99" a="1"/>
  <c r="AK200" i="99" a="1"/>
  <c r="AJ64" i="99" a="1"/>
  <c r="AG202" i="99" a="1"/>
  <c r="AK230" i="99" a="1"/>
  <c r="AK78" i="99" a="1"/>
  <c r="AM22" i="99" a="1"/>
  <c r="AM246" i="99" a="1"/>
  <c r="AM130" i="99" a="1"/>
  <c r="AK84" i="99" a="1"/>
  <c r="AJ292" i="99" a="1"/>
  <c r="AP208" i="99" a="1"/>
  <c r="AK112" i="99" a="1"/>
  <c r="AG78" i="99" a="1"/>
  <c r="AP34" i="99" a="1"/>
  <c r="AO12" i="99" a="1"/>
  <c r="AL142" i="99" a="1"/>
  <c r="AL94" i="99" a="1"/>
  <c r="AM58" i="99" a="1"/>
  <c r="AN226" i="99" a="1"/>
  <c r="AG164" i="99" a="1"/>
  <c r="AM96" i="99" a="1"/>
  <c r="AO66" i="99" a="1"/>
  <c r="AG34" i="99" a="1"/>
  <c r="AO10" i="99" a="1"/>
  <c r="AM238" i="99" a="1"/>
  <c r="AO118" i="99" a="1"/>
  <c r="AM54" i="99" a="1"/>
  <c r="AK14" i="99" a="1"/>
  <c r="AM68" i="99" a="1"/>
  <c r="AO56" i="99" a="1"/>
  <c r="AN34" i="99" a="1"/>
  <c r="AJ22" i="99" a="1"/>
  <c r="AH40" i="99" a="1"/>
  <c r="AK38" i="99" a="1"/>
  <c r="AL4" i="99" a="1"/>
  <c r="AN142" i="99" a="1"/>
  <c r="AJ238" i="99" a="1"/>
  <c r="AG48" i="99" a="1"/>
  <c r="AO170" i="99" a="1"/>
  <c r="AG84" i="99" a="1"/>
  <c r="AG30" i="99" a="1"/>
  <c r="AP196" i="99" a="1"/>
  <c r="AM382" i="99" a="1"/>
  <c r="AK120" i="99" a="1"/>
  <c r="AG176" i="99" a="1"/>
  <c r="AM46" i="99" a="1"/>
  <c r="AM168" i="99" a="1"/>
  <c r="AG128" i="99" a="1"/>
  <c r="AM28" i="99" a="1"/>
  <c r="AO64" i="99" a="1"/>
  <c r="AJ346" i="99" a="1"/>
  <c r="AN376" i="99" a="1"/>
  <c r="AG204" i="99" a="1"/>
  <c r="AP238" i="99" a="1"/>
  <c r="AK348" i="99" a="1"/>
  <c r="AP352" i="99" a="1"/>
  <c r="AM162" i="99" a="1"/>
  <c r="AL232" i="99" a="1"/>
  <c r="AP274" i="99" a="1"/>
  <c r="AK58" i="99" a="1"/>
  <c r="AM198" i="99" a="1"/>
  <c r="AK18" i="99" a="1"/>
  <c r="AK126" i="99" a="1"/>
  <c r="AM276" i="99" a="1"/>
  <c r="AM134" i="99" a="1"/>
  <c r="AI196" i="99" a="1"/>
  <c r="AM72" i="99" a="1"/>
  <c r="AI10" i="99" a="1"/>
  <c r="AI232" i="99" a="1"/>
  <c r="AK128" i="99" a="1"/>
  <c r="AG72" i="99" a="1"/>
  <c r="AL280" i="99" a="1"/>
  <c r="AK206" i="99" a="1"/>
  <c r="AO110" i="99" a="1"/>
  <c r="AK76" i="99" a="1"/>
  <c r="AH34" i="99" a="1"/>
  <c r="AP10" i="99" a="1"/>
  <c r="AO248" i="99" a="1"/>
  <c r="AG134" i="99" a="1"/>
  <c r="AH88" i="99" a="1"/>
  <c r="AO52" i="99" a="1"/>
  <c r="AM216" i="99" a="1"/>
  <c r="AN148" i="99" a="1"/>
  <c r="AG86" i="99" a="1"/>
  <c r="AP64" i="99" a="1"/>
  <c r="AG32" i="99" a="1"/>
  <c r="AG10" i="99" a="1"/>
  <c r="AG214" i="99" a="1"/>
  <c r="AI112" i="99" a="1"/>
  <c r="AN52" i="99" a="1"/>
  <c r="AO42" i="99" a="1"/>
  <c r="AK12" i="99" a="1"/>
  <c r="AG334" i="99" a="1"/>
  <c r="AN292" i="99" a="1"/>
  <c r="AP94" i="99" a="1"/>
  <c r="AM278" i="99" a="1"/>
  <c r="AL130" i="99" a="1"/>
  <c r="AO54" i="99" a="1"/>
  <c r="AO20" i="99" a="1"/>
  <c r="AG170" i="99" a="1"/>
  <c r="AG20" i="99" a="1"/>
  <c r="AK60" i="99" a="1"/>
  <c r="AK8" i="99" a="1"/>
  <c r="AG136" i="99" a="1"/>
  <c r="AK170" i="99" a="1"/>
  <c r="AG310" i="99" a="1"/>
  <c r="AG42" i="99" a="1"/>
  <c r="AG220" i="99" a="1"/>
  <c r="AK32" i="99" a="1"/>
  <c r="AM208" i="99" a="1"/>
  <c r="AK108" i="99" a="1"/>
  <c r="AM374" i="99" a="1"/>
  <c r="AM308" i="99" a="1"/>
  <c r="AM60" i="99" a="1"/>
  <c r="AG116" i="99" a="1"/>
  <c r="AK30" i="99" a="1"/>
  <c r="AO190" i="99" a="1"/>
  <c r="AJ172" i="99" a="1"/>
  <c r="AI70" i="99" a="1"/>
  <c r="AG212" i="98" a="1"/>
  <c r="AG172" i="98" a="1"/>
  <c r="AG372" i="98" a="1"/>
  <c r="AG244" i="98" a="1"/>
  <c r="AG36" i="98" a="1"/>
  <c r="AG118" i="98" a="1"/>
  <c r="AG50" i="98" a="1"/>
  <c r="AG402" i="98" a="1"/>
  <c r="AG96" i="98" a="1"/>
  <c r="AG28" i="98" a="1"/>
  <c r="AG224" i="98" a="1"/>
  <c r="AG220" i="98" a="1"/>
  <c r="AG158" i="98" a="1"/>
  <c r="AG348" i="98" a="1"/>
  <c r="AG56" i="98" a="1"/>
  <c r="AG342" i="98" a="1"/>
  <c r="AG282" i="98" a="1"/>
  <c r="AG148" i="98" a="1"/>
  <c r="AG234" i="98" a="1"/>
  <c r="AG356" i="98" a="1"/>
  <c r="AG228" i="98" a="1"/>
  <c r="AG18" i="98" a="1"/>
  <c r="AG290" i="98" a="1"/>
  <c r="AG62" i="98" a="1"/>
  <c r="AG386" i="98" a="1"/>
  <c r="AG242" i="98" a="1"/>
  <c r="AG218" i="98" a="1"/>
  <c r="AG80" i="98" a="1"/>
  <c r="AG106" i="98" a="1"/>
  <c r="AG352" i="98" a="1"/>
  <c r="AG208" i="98" a="1"/>
  <c r="AG60" i="98" a="1"/>
  <c r="AG350" i="98" a="1"/>
  <c r="AG110" i="98" a="1"/>
  <c r="AG92" i="98" a="1"/>
  <c r="AG332" i="98" a="1"/>
  <c r="AG54" i="98" a="1"/>
  <c r="AG376" i="98" a="1"/>
  <c r="AG100" i="98" a="1"/>
  <c r="AG90" i="98" a="1"/>
  <c r="AG340" i="98" a="1"/>
  <c r="AG196" i="98" a="1"/>
  <c r="AG46" i="98" a="1"/>
  <c r="AG226" i="98" a="1"/>
  <c r="AG156" i="98" a="1"/>
  <c r="AG370" i="98" a="1"/>
  <c r="AG210" i="98" a="1"/>
  <c r="AG216" i="98" a="1"/>
  <c r="AG64" i="98" a="1"/>
  <c r="AG26" i="98" a="1"/>
  <c r="AG336" i="98" a="1"/>
  <c r="AG192" i="98" a="1"/>
  <c r="AG222" i="98" a="1"/>
  <c r="AG186" i="98" a="1"/>
  <c r="AG334" i="98" a="1"/>
  <c r="AG204" i="98" a="1"/>
  <c r="AG328" i="98" a="1"/>
  <c r="AG316" i="98" a="1"/>
  <c r="AG42" i="98" a="1"/>
  <c r="AG394" i="98" a="1"/>
  <c r="AG360" i="98" a="1"/>
  <c r="AG310" i="98" a="1"/>
  <c r="AG362" i="98" a="1"/>
  <c r="AG278" i="98" a="1"/>
  <c r="AG276" i="98" a="1"/>
  <c r="AG114" i="98" a="1"/>
  <c r="AG78" i="98" a="1"/>
  <c r="AG70" i="98" a="1"/>
  <c r="AG200" i="98" a="1"/>
  <c r="AG246" i="98" a="1"/>
  <c r="AG68" i="98" a="1"/>
  <c r="AG324" i="98" a="1"/>
  <c r="AG180" i="98" a="1"/>
  <c r="AG124" i="98" a="1"/>
  <c r="AG194" i="98" a="1"/>
  <c r="AG76" i="98" a="1"/>
  <c r="AG354" i="98" a="1"/>
  <c r="AG178" i="98" a="1"/>
  <c r="AG152" i="98" a="1"/>
  <c r="AG48" i="98" a="1"/>
  <c r="AG168" i="98" a="1"/>
  <c r="AG320" i="98" a="1"/>
  <c r="AG160" i="98" a="1"/>
  <c r="AG190" i="98" a="1"/>
  <c r="AG74" i="98" a="1"/>
  <c r="AG318" i="98" a="1"/>
  <c r="AG44" i="98" a="1"/>
  <c r="AG8" i="98" a="1"/>
  <c r="AG300" i="98" a="1"/>
  <c r="AG280" i="98" a="1"/>
  <c r="AG378" i="98" a="1"/>
  <c r="AG138" i="98" a="1"/>
  <c r="AG248" i="98" a="1"/>
  <c r="AG294" i="98" a="1"/>
  <c r="AG122" i="98" a="1"/>
  <c r="AG88" i="98" a="1"/>
  <c r="AG232" i="98" a="1"/>
  <c r="AG34" i="98" a="1"/>
  <c r="AG184" i="98" a="1"/>
  <c r="AG176" i="98" a="1"/>
  <c r="AG126" i="98" a="1"/>
  <c r="AG380" i="98" a="1"/>
  <c r="AG150" i="98" a="1"/>
  <c r="AG52" i="98" a="1"/>
  <c r="AG120" i="98" a="1"/>
  <c r="AG308" i="98" a="1"/>
  <c r="AG164" i="98" a="1"/>
  <c r="AG12" i="98" a="1"/>
  <c r="AG162" i="98" a="1"/>
  <c r="AG202" i="98" a="1"/>
  <c r="AG338" i="98" a="1"/>
  <c r="AG146" i="98" a="1"/>
  <c r="AG134" i="98" a="1"/>
  <c r="AG32" i="98" a="1"/>
  <c r="AG40" i="98" a="1"/>
  <c r="AG304" i="98" a="1"/>
  <c r="AG144" i="98" a="1"/>
  <c r="AG174" i="98" a="1"/>
  <c r="AG312" i="98" a="1"/>
  <c r="AG302" i="98" a="1"/>
  <c r="AG38" i="98" a="1"/>
  <c r="AG284" i="98" a="1"/>
  <c r="AG6" i="98" a="1"/>
  <c r="AG116" i="98" a="1"/>
  <c r="AG306" i="98" a="1"/>
  <c r="AG238" i="98" a="1"/>
  <c r="AG330" i="98" a="1"/>
  <c r="AG20" i="98" a="1"/>
  <c r="AG102" i="98" a="1"/>
  <c r="AG292" i="98" a="1"/>
  <c r="AG132" i="98" a="1"/>
  <c r="AG154" i="98" a="1"/>
  <c r="AG130" i="98" a="1"/>
  <c r="AG58" i="98" a="1"/>
  <c r="AG322" i="98" a="1"/>
  <c r="AG98" i="98" a="1"/>
  <c r="AG240" i="98" a="1"/>
  <c r="AG16" i="98" a="1"/>
  <c r="AG230" i="98" a="1"/>
  <c r="AG288" i="98" a="1"/>
  <c r="AG112" i="98" a="1"/>
  <c r="AG142" i="98" a="1"/>
  <c r="AG24" i="98" a="1"/>
  <c r="AG10" i="98" a="1"/>
  <c r="AG396" i="98" a="1"/>
  <c r="AG86" i="98" a="1"/>
  <c r="AG346" i="98" a="1"/>
  <c r="AG136" i="98" a="1"/>
  <c r="AG390" i="98" a="1"/>
  <c r="AG404" i="98" a="1"/>
  <c r="AG344" i="98" a="1"/>
  <c r="AG66" i="98" a="1"/>
  <c r="AG400" i="98" a="1"/>
  <c r="AG22" i="98" a="1"/>
  <c r="AG374" i="98" a="1"/>
  <c r="AG94" i="98" a="1"/>
  <c r="AG388" i="98" a="1"/>
  <c r="AG84" i="98" a="1"/>
  <c r="AG72" i="98" a="1"/>
  <c r="AG82" i="98" a="1"/>
  <c r="AG166" i="98" a="1"/>
  <c r="AG274" i="98" a="1"/>
  <c r="AG14" i="98" a="1"/>
  <c r="AG128" i="98" a="1"/>
  <c r="AG188" i="98" a="1"/>
  <c r="AG384" i="98" a="1"/>
  <c r="AG366" i="98" a="1"/>
  <c r="AG30" i="98" a="1"/>
  <c r="AG398" i="98" a="1"/>
  <c r="AG206" i="98" a="1"/>
  <c r="AG104" i="98" a="1"/>
  <c r="AG364" i="98" a="1"/>
  <c r="AG236" i="98" a="1"/>
  <c r="AG296" i="98" a="1"/>
  <c r="AG314" i="98" a="1"/>
  <c r="AG182" i="98" a="1"/>
  <c r="AG358" i="98" a="1"/>
  <c r="AG214" i="98" a="1"/>
  <c r="AG140" i="98" a="1"/>
  <c r="AG368" i="98" a="1"/>
  <c r="AG286" i="98" a="1"/>
  <c r="AG382" i="98" a="1"/>
  <c r="AG198" i="98" a="1"/>
  <c r="AG108" i="98" a="1"/>
  <c r="AG298" i="98" a="1"/>
  <c r="AG392" i="98" a="1"/>
  <c r="AG4" i="98" a="1"/>
  <c r="AG170" i="98" a="1"/>
  <c r="AG326" i="98" a="1"/>
  <c r="AK396" i="98" a="1"/>
  <c r="AH376" i="98" a="1"/>
  <c r="AP352" i="98" a="1"/>
  <c r="AO332" i="98" a="1"/>
  <c r="AN310" i="98" a="1"/>
  <c r="AM380" i="98" a="1"/>
  <c r="AI346" i="98" a="1"/>
  <c r="AK316" i="98" a="1"/>
  <c r="AO384" i="98" a="1"/>
  <c r="AJ364" i="98" a="1"/>
  <c r="AK342" i="98" a="1"/>
  <c r="AO394" i="98" a="1"/>
  <c r="AL400" i="98" a="1"/>
  <c r="AO378" i="98" a="1"/>
  <c r="AJ400" i="98" a="1"/>
  <c r="AK394" i="98" a="1"/>
  <c r="AP334" i="98" a="1"/>
  <c r="AH274" i="98" a="1"/>
  <c r="AJ214" i="98" a="1"/>
  <c r="AK370" i="98" a="1"/>
  <c r="AI310" i="98" a="1"/>
  <c r="AO204" i="98" a="1"/>
  <c r="AM160" i="98" a="1"/>
  <c r="AO130" i="98" a="1"/>
  <c r="AM96" i="98" a="1"/>
  <c r="AM64" i="98" a="1"/>
  <c r="AO34" i="98" a="1"/>
  <c r="AO368" i="98" a="1"/>
  <c r="AM292" i="98" a="1"/>
  <c r="AO232" i="98" a="1"/>
  <c r="AM182" i="98" a="1"/>
  <c r="AN316" i="98" a="1"/>
  <c r="AP274" i="98" a="1"/>
  <c r="AP220" i="98" a="1"/>
  <c r="AO176" i="98" a="1"/>
  <c r="AN154" i="98" a="1"/>
  <c r="AM350" i="98" a="1"/>
  <c r="AK282" i="98" a="1"/>
  <c r="AO236" i="98" a="1"/>
  <c r="AO340" i="98" a="1"/>
  <c r="AO220" i="98" a="1"/>
  <c r="AL298" i="98" a="1"/>
  <c r="AP244" i="98" a="1"/>
  <c r="AI358" i="98" a="1"/>
  <c r="AI292" i="98" a="1"/>
  <c r="AN238" i="98" a="1"/>
  <c r="AL304" i="98" a="1"/>
  <c r="AM330" i="98" a="1"/>
  <c r="AM274" i="98" a="1"/>
  <c r="AK374" i="98" a="1"/>
  <c r="AP286" i="98" a="1"/>
  <c r="AO234" i="98" a="1"/>
  <c r="AM300" i="98" a="1"/>
  <c r="AM248" i="98" a="1"/>
  <c r="AL346" i="98" a="1"/>
  <c r="AP292" i="98" a="1"/>
  <c r="AM244" i="98" a="1"/>
  <c r="AK310" i="98" a="1"/>
  <c r="AI304" i="98" a="1"/>
  <c r="AM314" i="98" a="1"/>
  <c r="AI274" i="98" a="1"/>
  <c r="AJ220" i="98" a="1"/>
  <c r="AK154" i="98" a="1"/>
  <c r="AK186" i="98" a="1"/>
  <c r="AM114" i="98" a="1"/>
  <c r="AK90" i="98" a="1"/>
  <c r="AH58" i="98" a="1"/>
  <c r="AO20" i="98" a="1"/>
  <c r="AO174" i="98" a="1"/>
  <c r="AO146" i="98" a="1"/>
  <c r="AK204" i="98" a="1"/>
  <c r="AJ124" i="98" a="1"/>
  <c r="AH100" i="98" a="1"/>
  <c r="AO56" i="98" a="1"/>
  <c r="AM32" i="98" a="1"/>
  <c r="AK218" i="98" a="1"/>
  <c r="AM156" i="98" a="1"/>
  <c r="AO228" i="98" a="1"/>
  <c r="AH118" i="98" a="1"/>
  <c r="AO76" i="98" a="1"/>
  <c r="AN52" i="98" a="1"/>
  <c r="AM28" i="98" a="1"/>
  <c r="AO212" i="98" a="1"/>
  <c r="AK164" i="98" a="1"/>
  <c r="AK132" i="98" a="1"/>
  <c r="AI136" i="98" a="1"/>
  <c r="AO98" i="98" a="1"/>
  <c r="AM74" i="98" a="1"/>
  <c r="AK50" i="98" a="1"/>
  <c r="AK16" i="98" a="1"/>
  <c r="AL184" i="98" a="1"/>
  <c r="AM148" i="98" a="1"/>
  <c r="AO128" i="98" a="1"/>
  <c r="AM104" i="98" a="1"/>
  <c r="AK80" i="98" a="1"/>
  <c r="AL46" i="98" a="1"/>
  <c r="AJ22" i="98" a="1"/>
  <c r="AM216" i="98" a="1"/>
  <c r="AK170" i="98" a="1"/>
  <c r="AP130" i="98" a="1"/>
  <c r="AM122" i="98" a="1"/>
  <c r="AK98" i="98" a="1"/>
  <c r="AK64" i="98" a="1"/>
  <c r="AJ40" i="98" a="1"/>
  <c r="AI16" i="98" a="1"/>
  <c r="AH196" i="98" a="1"/>
  <c r="AL220" i="98" a="1"/>
  <c r="AK128" i="98" a="1"/>
  <c r="AL94" i="98" a="1"/>
  <c r="AJ70" i="98" a="1"/>
  <c r="AI46" i="98" a="1"/>
  <c r="AH16" i="98" a="1"/>
  <c r="AP178" i="98" a="1"/>
  <c r="AO150" i="98" a="1"/>
  <c r="AM186" i="98" a="1"/>
  <c r="AO108" i="98" a="1"/>
  <c r="AM84" i="98" a="1"/>
  <c r="AK60" i="98" a="1"/>
  <c r="AP22" i="98" a="1"/>
  <c r="AM6" i="98" a="1"/>
  <c r="AM18" i="98" a="1"/>
  <c r="AM94" i="98" a="1"/>
  <c r="AJ394" i="98" a="1"/>
  <c r="AK372" i="98" a="1"/>
  <c r="AH352" i="98" a="1"/>
  <c r="AP328" i="98" a="1"/>
  <c r="AO308" i="98" a="1"/>
  <c r="AO376" i="98" a="1"/>
  <c r="AM342" i="98" a="1"/>
  <c r="AK404" i="98" a="1"/>
  <c r="AL382" i="98" a="1"/>
  <c r="AO360" i="98" a="1"/>
  <c r="AJ340" i="98" a="1"/>
  <c r="AI388" i="98" a="1"/>
  <c r="AK398" i="98" a="1"/>
  <c r="AL376" i="98" a="1"/>
  <c r="AO396" i="98" a="1"/>
  <c r="AM388" i="98" a="1"/>
  <c r="AI328" i="98" a="1"/>
  <c r="AK208" i="98" a="1"/>
  <c r="AK360" i="98" a="1"/>
  <c r="AO302" i="98" a="1"/>
  <c r="AM246" i="98" a="1"/>
  <c r="AL196" i="98" a="1"/>
  <c r="AM158" i="98" a="1"/>
  <c r="AI124" i="98" a="1"/>
  <c r="AK94" i="98" a="1"/>
  <c r="AM62" i="98" a="1"/>
  <c r="AI28" i="98" a="1"/>
  <c r="AJ352" i="98" a="1"/>
  <c r="AO288" i="98" a="1"/>
  <c r="AO230" i="98" a="1"/>
  <c r="AH382" i="98" a="1"/>
  <c r="AH310" i="98" a="1"/>
  <c r="AK210" i="98" a="1"/>
  <c r="AP172" i="98" a="1"/>
  <c r="AO152" i="98" a="1"/>
  <c r="AP340" i="98" a="1"/>
  <c r="AH280" i="98" a="1"/>
  <c r="AM230" i="98" a="1"/>
  <c r="AH334" i="98" a="1"/>
  <c r="AP214" i="98" a="1"/>
  <c r="AO294" i="98" a="1"/>
  <c r="AO238" i="98" a="1"/>
  <c r="AO348" i="98" a="1"/>
  <c r="AH286" i="98" a="1"/>
  <c r="AJ376" i="98" a="1"/>
  <c r="AK298" i="98" a="1"/>
  <c r="AM324" i="98" a="1"/>
  <c r="AM364" i="98" a="1"/>
  <c r="AO284" i="98" a="1"/>
  <c r="AI364" i="98" a="1"/>
  <c r="AH298" i="98" a="1"/>
  <c r="AK238" i="98" a="1"/>
  <c r="AM338" i="98" a="1"/>
  <c r="AO286" i="98" a="1"/>
  <c r="AO240" i="98" a="1"/>
  <c r="AM306" i="98" a="1"/>
  <c r="AK248" i="98" a="1"/>
  <c r="AP298" i="98" a="1"/>
  <c r="AK244" i="98" a="1"/>
  <c r="AJ310" i="98" a="1"/>
  <c r="AK206" i="98" a="1"/>
  <c r="AM150" i="98" a="1"/>
  <c r="AM140" i="98" a="1"/>
  <c r="AJ112" i="98" a="1"/>
  <c r="AI88" i="98" a="1"/>
  <c r="AP52" i="98" a="1"/>
  <c r="AO16" i="98" a="1"/>
  <c r="AJ172" i="98" a="1"/>
  <c r="AN142" i="98" a="1"/>
  <c r="AO196" i="98" a="1"/>
  <c r="AK120" i="98" a="1"/>
  <c r="AH94" i="98" a="1"/>
  <c r="AO52" i="98" a="1"/>
  <c r="AN28" i="98" a="1"/>
  <c r="AI190" i="98" a="1"/>
  <c r="AI154" i="98" a="1"/>
  <c r="AM208" i="98" a="1"/>
  <c r="AH112" i="98" a="1"/>
  <c r="AO74" i="98" a="1"/>
  <c r="AM50" i="98" a="1"/>
  <c r="AK26" i="98" a="1"/>
  <c r="AO200" i="98" a="1"/>
  <c r="AJ160" i="98" a="1"/>
  <c r="AK228" i="98" a="1"/>
  <c r="AH130" i="98" a="1"/>
  <c r="AO94" i="98" a="1"/>
  <c r="AN70" i="98" a="1"/>
  <c r="AM46" i="98" a="1"/>
  <c r="AO12" i="98" a="1"/>
  <c r="AI178" i="98" a="1"/>
  <c r="AK138" i="98" a="1"/>
  <c r="AO124" i="98" a="1"/>
  <c r="AN100" i="98" a="1"/>
  <c r="AM76" i="98" a="1"/>
  <c r="AO42" i="98" a="1"/>
  <c r="AK212" i="98" a="1"/>
  <c r="AL166" i="98" a="1"/>
  <c r="AN202" i="98" a="1"/>
  <c r="AN118" i="98" a="1"/>
  <c r="AO60" i="98" a="1"/>
  <c r="AM36" i="98" a="1"/>
  <c r="AO390" i="98" a="1"/>
  <c r="AJ370" i="98" a="1"/>
  <c r="AK348" i="98" a="1"/>
  <c r="AH328" i="98" a="1"/>
  <c r="AM404" i="98" a="1"/>
  <c r="AI370" i="98" a="1"/>
  <c r="AK340" i="98" a="1"/>
  <c r="AN400" i="98" a="1"/>
  <c r="AK380" i="98" a="1"/>
  <c r="AL358" i="98" a="1"/>
  <c r="AO336" i="98" a="1"/>
  <c r="AM384" i="98" a="1"/>
  <c r="AN394" i="98" a="1"/>
  <c r="AM402" i="98" a="1"/>
  <c r="AL394" i="98" a="1"/>
  <c r="AM386" i="98" a="1"/>
  <c r="AL322" i="98" a="1"/>
  <c r="AL202" i="98" a="1"/>
  <c r="AK352" i="98" a="1"/>
  <c r="AM296" i="98" a="1"/>
  <c r="AI244" i="98" a="1"/>
  <c r="AM190" i="98" a="1"/>
  <c r="AO154" i="98" a="1"/>
  <c r="AM120" i="98" a="1"/>
  <c r="AM88" i="98" a="1"/>
  <c r="AO58" i="98" a="1"/>
  <c r="AM24" i="98" a="1"/>
  <c r="AK334" i="98" a="1"/>
  <c r="AM282" i="98" a="1"/>
  <c r="AH220" i="98" a="1"/>
  <c r="AM368" i="98" a="1"/>
  <c r="AO304" i="98" a="1"/>
  <c r="AM204" i="98" a="1"/>
  <c r="AH172" i="98" a="1"/>
  <c r="AP148" i="98" a="1"/>
  <c r="AI334" i="98" a="1"/>
  <c r="AO224" i="98" a="1"/>
  <c r="AO320" i="98" a="1"/>
  <c r="AH208" i="98" a="1"/>
  <c r="AK288" i="98" a="1"/>
  <c r="AK236" i="98" a="1"/>
  <c r="AM340" i="98" a="1"/>
  <c r="AP280" i="98" a="1"/>
  <c r="AO364" i="98" a="1"/>
  <c r="AK294" i="98" a="1"/>
  <c r="AO244" i="98" a="1"/>
  <c r="AK320" i="98" a="1"/>
  <c r="AN346" i="98" a="1"/>
  <c r="AK278" i="98" a="1"/>
  <c r="AO354" i="98" a="1"/>
  <c r="AM284" i="98" a="1"/>
  <c r="AJ232" i="98" a="1"/>
  <c r="AM328" i="98" a="1"/>
  <c r="AK284" i="98" a="1"/>
  <c r="AM372" i="98" a="1"/>
  <c r="AO290" i="98" a="1"/>
  <c r="AL244" i="98" a="1"/>
  <c r="AO292" i="98" a="1"/>
  <c r="AM370" i="98" a="1"/>
  <c r="AK306" i="98" a="1"/>
  <c r="AI202" i="98" a="1"/>
  <c r="AO142" i="98" a="1"/>
  <c r="AL136" i="98" a="1"/>
  <c r="AM108" i="98" a="1"/>
  <c r="AK84" i="98" a="1"/>
  <c r="AP46" i="98" a="1"/>
  <c r="AO14" i="98" a="1"/>
  <c r="AP166" i="98" a="1"/>
  <c r="AO132" i="98" a="1"/>
  <c r="AO192" i="98" a="1"/>
  <c r="AI118" i="98" a="1"/>
  <c r="AH88" i="98" a="1"/>
  <c r="AO50" i="98" a="1"/>
  <c r="AM26" i="98" a="1"/>
  <c r="AP184" i="98" a="1"/>
  <c r="AO148" i="98" a="1"/>
  <c r="AN196" i="98" a="1"/>
  <c r="AH106" i="98" a="1"/>
  <c r="AO70" i="98" a="1"/>
  <c r="AN46" i="98" a="1"/>
  <c r="AM22" i="98" a="1"/>
  <c r="AH190" i="98" a="1"/>
  <c r="AK156" i="98" a="1"/>
  <c r="AM222" i="98" a="1"/>
  <c r="AP124" i="98" a="1"/>
  <c r="AO92" i="98" a="1"/>
  <c r="AM68" i="98" a="1"/>
  <c r="AK44" i="98" a="1"/>
  <c r="AK10" i="98" a="1"/>
  <c r="AO172" i="98" a="1"/>
  <c r="AK222" i="98" a="1"/>
  <c r="AO122" i="98" a="1"/>
  <c r="AM98" i="98" a="1"/>
  <c r="AK74" i="98" a="1"/>
  <c r="AK40" i="98" a="1"/>
  <c r="AJ16" i="98" a="1"/>
  <c r="AK200" i="98" a="1"/>
  <c r="AK162" i="98" a="1"/>
  <c r="AM198" i="98" a="1"/>
  <c r="AM116" i="98" a="1"/>
  <c r="AK92" i="98" a="1"/>
  <c r="AK58" i="98" a="1"/>
  <c r="AJ34" i="98" a="1"/>
  <c r="AI10" i="98" a="1"/>
  <c r="AM176" i="98" a="1"/>
  <c r="AM202" i="98" a="1"/>
  <c r="AK122" i="98" a="1"/>
  <c r="AK88" i="98" a="1"/>
  <c r="AJ64" i="98" a="1"/>
  <c r="AI40" i="98" a="1"/>
  <c r="AJ226" i="98" a="1"/>
  <c r="AL172" i="98" a="1"/>
  <c r="AP142" i="98" a="1"/>
  <c r="AL388" i="98" a="1"/>
  <c r="AO366" i="98" a="1"/>
  <c r="AJ346" i="98" a="1"/>
  <c r="AK324" i="98" a="1"/>
  <c r="AO400" i="98" a="1"/>
  <c r="AM366" i="98" a="1"/>
  <c r="AM334" i="98" a="1"/>
  <c r="AO398" i="98" a="1"/>
  <c r="AN376" i="98" a="1"/>
  <c r="AK356" i="98" a="1"/>
  <c r="AL334" i="98" a="1"/>
  <c r="AK382" i="98" a="1"/>
  <c r="AO392" i="98" a="1"/>
  <c r="AK400" i="98" a="1"/>
  <c r="AK392" i="98" a="1"/>
  <c r="AO382" i="98" a="1"/>
  <c r="AO298" i="98" a="1"/>
  <c r="AM196" i="98" a="1"/>
  <c r="AK344" i="98" a="1"/>
  <c r="AK286" i="98" a="1"/>
  <c r="AH238" i="98" a="1"/>
  <c r="AN184" i="98" a="1"/>
  <c r="AI148" i="98" a="1"/>
  <c r="AK118" i="98" a="1"/>
  <c r="AM86" i="98" a="1"/>
  <c r="AI52" i="98" a="1"/>
  <c r="AK22" i="98" a="1"/>
  <c r="AM326" i="98" a="1"/>
  <c r="AI214" i="98" a="1"/>
  <c r="AP358" i="98" a="1"/>
  <c r="AM302" i="98" a="1"/>
  <c r="AJ202" i="98" a="1"/>
  <c r="AK168" i="98" a="1"/>
  <c r="AH148" i="98" a="1"/>
  <c r="AK312" i="98" a="1"/>
  <c r="AH214" i="98" a="1"/>
  <c r="AM316" i="98" a="1"/>
  <c r="AJ358" i="98" a="1"/>
  <c r="AO278" i="98" a="1"/>
  <c r="AK230" i="98" a="1"/>
  <c r="AO324" i="98" a="1"/>
  <c r="AN274" i="98" a="1"/>
  <c r="AH358" i="98" a="1"/>
  <c r="AO280" i="98" a="1"/>
  <c r="AM238" i="98" a="1"/>
  <c r="AH316" i="98" a="1"/>
  <c r="AK330" i="98" a="1"/>
  <c r="AM346" i="98" a="1"/>
  <c r="AM280" i="98" a="1"/>
  <c r="AK386" i="98" a="1"/>
  <c r="AL364" i="98" a="1"/>
  <c r="AO342" i="98" a="1"/>
  <c r="AJ322" i="98" a="1"/>
  <c r="AI394" i="98" a="1"/>
  <c r="AK364" i="98" a="1"/>
  <c r="AM332" i="98" a="1"/>
  <c r="AP394" i="98" a="1"/>
  <c r="AO374" i="98" a="1"/>
  <c r="AN352" i="98" a="1"/>
  <c r="AK332" i="98" a="1"/>
  <c r="AM376" i="98" a="1"/>
  <c r="AP388" i="98" a="1"/>
  <c r="AM394" i="98" a="1"/>
  <c r="AN388" i="98" a="1"/>
  <c r="AL370" i="98" a="1"/>
  <c r="AN292" i="98" a="1"/>
  <c r="AO246" i="98" a="1"/>
  <c r="AK194" i="98" a="1"/>
  <c r="AO334" i="98" a="1"/>
  <c r="AJ280" i="98" a="1"/>
  <c r="AP232" i="98" a="1"/>
  <c r="AO178" i="98" a="1"/>
  <c r="AM144" i="98" a="1"/>
  <c r="AM112" i="98" a="1"/>
  <c r="AO82" i="98" a="1"/>
  <c r="AM48" i="98" a="1"/>
  <c r="AM16" i="98" a="1"/>
  <c r="AK322" i="98" a="1"/>
  <c r="AJ208" i="98" a="1"/>
  <c r="AI352" i="98" a="1"/>
  <c r="AK296" i="98" a="1"/>
  <c r="AK196" i="98" a="1"/>
  <c r="AJ166" i="98" a="1"/>
  <c r="AK144" i="98" a="1"/>
  <c r="AN304" i="98" a="1"/>
  <c r="AI208" i="98" a="1"/>
  <c r="AK302" i="98" a="1"/>
  <c r="AN340" i="98" a="1"/>
  <c r="AM224" i="98" a="1"/>
  <c r="AM320" i="98" a="1"/>
  <c r="AM348" i="98" a="1"/>
  <c r="AM278" i="98" a="1"/>
  <c r="AI376" i="98" a="1"/>
  <c r="AO300" i="98" a="1"/>
  <c r="AP322" i="98" a="1"/>
  <c r="AO338" i="98" a="1"/>
  <c r="AL274" i="98" a="1"/>
  <c r="AO222" i="98" a="1"/>
  <c r="AK318" i="98" a="1"/>
  <c r="AK346" i="98" a="1"/>
  <c r="AL280" i="98" a="1"/>
  <c r="AO362" i="98" a="1"/>
  <c r="AO276" i="98" a="1"/>
  <c r="AM352" i="98" a="1"/>
  <c r="AO296" i="98" a="1"/>
  <c r="AJ244" i="98" a="1"/>
  <c r="AK190" i="98" a="1"/>
  <c r="AO32" i="98" a="1"/>
  <c r="AO126" i="98" a="1"/>
  <c r="AM102" i="98" a="1"/>
  <c r="AK78" i="98" a="1"/>
  <c r="AP34" i="98" a="1"/>
  <c r="AH202" i="98" a="1"/>
  <c r="AN160" i="98" a="1"/>
  <c r="AK224" i="98" a="1"/>
  <c r="AK140" i="98" a="1"/>
  <c r="AI112" i="98" a="1"/>
  <c r="AP76" i="98" a="1"/>
  <c r="AO44" i="98" a="1"/>
  <c r="AM20" i="98" a="1"/>
  <c r="AM174" i="98" a="1"/>
  <c r="AM142" i="98" a="1"/>
  <c r="AJ136" i="98" a="1"/>
  <c r="AP94" i="98" a="1"/>
  <c r="AO64" i="98" a="1"/>
  <c r="AN40" i="98" a="1"/>
  <c r="AL16" i="98" a="1"/>
  <c r="AJ178" i="98" a="1"/>
  <c r="AN148" i="98" a="1"/>
  <c r="AP202" i="98" a="1"/>
  <c r="AP112" i="98" a="1"/>
  <c r="AO86" i="98" a="1"/>
  <c r="AK62" i="98" a="1"/>
  <c r="AL34" i="98" a="1"/>
  <c r="AO216" i="98" a="1"/>
  <c r="AM166" i="98" a="1"/>
  <c r="AO188" i="98" a="1"/>
  <c r="AO116" i="98" a="1"/>
  <c r="AM92" i="98" a="1"/>
  <c r="AK68" i="98" a="1"/>
  <c r="AK34" i="98" a="1"/>
  <c r="AJ10" i="98" a="1"/>
  <c r="AK184" i="98" a="1"/>
  <c r="AP154" i="98" a="1"/>
  <c r="AH142" i="98" a="1"/>
  <c r="AK110" i="98" a="1"/>
  <c r="AL82" i="98" a="1"/>
  <c r="AK52" i="98" a="1"/>
  <c r="AJ28" i="98" a="1"/>
  <c r="AL226" i="98" a="1"/>
  <c r="AI166" i="98" a="1"/>
  <c r="AO190" i="98" a="1"/>
  <c r="AK116" i="98" a="1"/>
  <c r="AK82" i="98" a="1"/>
  <c r="AJ58" i="98" a="1"/>
  <c r="AI34" i="98" a="1"/>
  <c r="AO210" i="98" a="1"/>
  <c r="AH166" i="98" a="1"/>
  <c r="AK134" i="98" a="1"/>
  <c r="AL124" i="98" a="1"/>
  <c r="AO96" i="98" a="1"/>
  <c r="AK72" i="98" a="1"/>
  <c r="AH46" i="98" a="1"/>
  <c r="AL4" i="98" a="1"/>
  <c r="AK8" i="98" a="1"/>
  <c r="AH400" i="98" a="1"/>
  <c r="AP376" i="98" a="1"/>
  <c r="AO356" i="98" a="1"/>
  <c r="AN334" i="98" a="1"/>
  <c r="AK314" i="98" a="1"/>
  <c r="AM382" i="98" a="1"/>
  <c r="AO352" i="98" a="1"/>
  <c r="AM318" i="98" a="1"/>
  <c r="AJ388" i="98" a="1"/>
  <c r="AK366" i="98" a="1"/>
  <c r="AH346" i="98" a="1"/>
  <c r="AM398" i="98" a="1"/>
  <c r="AO402" i="98" a="1"/>
  <c r="AJ382" i="98" a="1"/>
  <c r="AK402" i="98" a="1"/>
  <c r="AM396" i="98" a="1"/>
  <c r="AM344" i="98" a="1"/>
  <c r="AM276" i="98" a="1"/>
  <c r="AI220" i="98" a="1"/>
  <c r="AP382" i="98" a="1"/>
  <c r="AO312" i="98" a="1"/>
  <c r="AM210" i="98" a="1"/>
  <c r="AK166" i="98" a="1"/>
  <c r="AM134" i="98" a="1"/>
  <c r="AI100" i="98" a="1"/>
  <c r="AK70" i="98" a="1"/>
  <c r="AM38" i="98" a="1"/>
  <c r="AI382" i="98" a="1"/>
  <c r="AN298" i="98" a="1"/>
  <c r="AK246" i="98" a="1"/>
  <c r="AK188" i="98" a="1"/>
  <c r="AH322" i="98" a="1"/>
  <c r="AI280" i="98" a="1"/>
  <c r="AO226" i="98" a="1"/>
  <c r="AN178" i="98" a="1"/>
  <c r="AK158" i="98" a="1"/>
  <c r="AO358" i="98" a="1"/>
  <c r="AM288" i="98" a="1"/>
  <c r="AP238" i="98" a="1"/>
  <c r="AK350" i="98" a="1"/>
  <c r="AO274" i="98" a="1"/>
  <c r="AN226" i="98" a="1"/>
  <c r="AM304" i="98" a="1"/>
  <c r="AP364" i="98" a="1"/>
  <c r="AM294" i="98" a="1"/>
  <c r="AO242" i="98" a="1"/>
  <c r="AP310" i="98" a="1"/>
  <c r="AH340" i="98" a="1"/>
  <c r="AN280" i="98" a="1"/>
  <c r="AL238" i="98" a="1"/>
  <c r="AI298" i="98" a="1"/>
  <c r="AK242" i="98" a="1"/>
  <c r="AO306" i="98" a="1"/>
  <c r="AM354" i="98" a="1"/>
  <c r="AK300" i="98" a="1"/>
  <c r="AO314" i="98" a="1"/>
  <c r="AM322" i="98" a="1"/>
  <c r="AO404" i="98" a="1"/>
  <c r="AO318" i="98" a="1"/>
  <c r="AH394" i="98" a="1"/>
  <c r="AM374" i="98" a="1"/>
  <c r="AM360" i="98" a="1"/>
  <c r="AO326" i="98" a="1"/>
  <c r="AK142" i="98" a="1"/>
  <c r="AM14" i="98" a="1"/>
  <c r="AJ334" i="98" a="1"/>
  <c r="AO162" i="98" a="1"/>
  <c r="AK378" i="98" a="1"/>
  <c r="AI340" i="98" a="1"/>
  <c r="AO248" i="98" a="1"/>
  <c r="AM362" i="98" a="1"/>
  <c r="AN136" i="98" a="1"/>
  <c r="AJ106" i="98" a="1"/>
  <c r="AP40" i="98" a="1"/>
  <c r="AO164" i="98" a="1"/>
  <c r="AK182" i="98" a="1"/>
  <c r="AH82" i="98" a="1"/>
  <c r="AN22" i="98" a="1"/>
  <c r="AM146" i="98" a="1"/>
  <c r="AP100" i="98" a="1"/>
  <c r="AM44" i="98" a="1"/>
  <c r="AO184" i="98" a="1"/>
  <c r="AL208" i="98" a="1"/>
  <c r="AO88" i="98" a="1"/>
  <c r="AL40" i="98" a="1"/>
  <c r="AM170" i="98" a="1"/>
  <c r="AO118" i="98" a="1"/>
  <c r="AM70" i="98" a="1"/>
  <c r="AM12" i="98" a="1"/>
  <c r="AH160" i="98" a="1"/>
  <c r="AN112" i="98" a="1"/>
  <c r="AO54" i="98" a="1"/>
  <c r="AK12" i="98" a="1"/>
  <c r="AK148" i="98" a="1"/>
  <c r="AM118" i="98" a="1"/>
  <c r="AO72" i="98" a="1"/>
  <c r="AK30" i="98" a="1"/>
  <c r="AK176" i="98" a="1"/>
  <c r="AM214" i="98" a="1"/>
  <c r="AK106" i="98" a="1"/>
  <c r="AJ76" i="98" a="1"/>
  <c r="AH34" i="98" a="1"/>
  <c r="AO8" i="98" a="1"/>
  <c r="AM162" i="98" a="1"/>
  <c r="AK152" i="98" a="1"/>
  <c r="AO48" i="98" a="1"/>
  <c r="AK232" i="98" a="1"/>
  <c r="AL112" i="98" a="1"/>
  <c r="AM66" i="98" a="1"/>
  <c r="AO168" i="98" a="1"/>
  <c r="AO102" i="98" a="1"/>
  <c r="AP28" i="98" a="1"/>
  <c r="AJ118" i="98" a="1"/>
  <c r="AP400" i="98" a="1"/>
  <c r="AL316" i="98" a="1"/>
  <c r="AK390" i="98" a="1"/>
  <c r="AO370" i="98" a="1"/>
  <c r="AL352" i="98" a="1"/>
  <c r="AO316" i="98" a="1"/>
  <c r="AM136" i="98" a="1"/>
  <c r="AO10" i="98" a="1"/>
  <c r="AK326" i="98" a="1"/>
  <c r="AL160" i="98" a="1"/>
  <c r="AK358" i="98" a="1"/>
  <c r="AO330" i="98" a="1"/>
  <c r="AM242" i="98" a="1"/>
  <c r="AN370" i="98" a="1"/>
  <c r="AO344" i="98" a="1"/>
  <c r="AM240" i="98" a="1"/>
  <c r="AL214" i="98" a="1"/>
  <c r="AJ100" i="98" a="1"/>
  <c r="AO28" i="98" a="1"/>
  <c r="AO156" i="98" a="1"/>
  <c r="AK136" i="98" a="1"/>
  <c r="AP70" i="98" a="1"/>
  <c r="AN16" i="98" a="1"/>
  <c r="AO138" i="98" a="1"/>
  <c r="AP88" i="98" a="1"/>
  <c r="AK38" i="98" a="1"/>
  <c r="AK174" i="98" a="1"/>
  <c r="AK192" i="98" a="1"/>
  <c r="AN82" i="98" a="1"/>
  <c r="AL28" i="98" a="1"/>
  <c r="AO112" i="98" a="1"/>
  <c r="AL64" i="98" a="1"/>
  <c r="AL232" i="98" a="1"/>
  <c r="AM106" i="98" a="1"/>
  <c r="AP136" i="98" a="1"/>
  <c r="AH28" i="98" a="1"/>
  <c r="AP208" i="98" a="1"/>
  <c r="AI70" i="98" a="1"/>
  <c r="AO6" i="98" a="1"/>
  <c r="AM40" i="98" a="1"/>
  <c r="AN382" i="98" a="1"/>
  <c r="AM390" i="98" a="1"/>
  <c r="AP370" i="98" a="1"/>
  <c r="AH388" i="98" a="1"/>
  <c r="AK290" i="98" a="1"/>
  <c r="AK276" i="98" a="1"/>
  <c r="AM110" i="98" a="1"/>
  <c r="AM312" i="98" a="1"/>
  <c r="AL292" i="98" a="1"/>
  <c r="AM378" i="98" a="1"/>
  <c r="AJ292" i="98" a="1"/>
  <c r="AO218" i="98" a="1"/>
  <c r="AO310" i="98" a="1"/>
  <c r="AK226" i="98" a="1"/>
  <c r="AK336" i="98" a="1"/>
  <c r="AJ328" i="98" a="1"/>
  <c r="AH232" i="98" a="1"/>
  <c r="AO208" i="98" a="1"/>
  <c r="AK96" i="98" a="1"/>
  <c r="AO26" i="98" a="1"/>
  <c r="AJ154" i="98" a="1"/>
  <c r="AJ130" i="98" a="1"/>
  <c r="AP64" i="98" a="1"/>
  <c r="AK14" i="98" a="1"/>
  <c r="AM132" i="98" a="1"/>
  <c r="AP82" i="98" a="1"/>
  <c r="AM34" i="98" a="1"/>
  <c r="AO170" i="98" a="1"/>
  <c r="AO180" i="98" a="1"/>
  <c r="AM80" i="98" a="1"/>
  <c r="AL22" i="98" a="1"/>
  <c r="AI160" i="98" a="1"/>
  <c r="AO110" i="98" a="1"/>
  <c r="AL58" i="98" a="1"/>
  <c r="AM226" i="98" a="1"/>
  <c r="AL148" i="98" a="1"/>
  <c r="AK104" i="98" a="1"/>
  <c r="AJ46" i="98" a="1"/>
  <c r="AM220" i="98" a="1"/>
  <c r="AN214" i="98" a="1"/>
  <c r="AL106" i="98" a="1"/>
  <c r="AM60" i="98" a="1"/>
  <c r="AH22" i="98" a="1"/>
  <c r="AP160" i="98" a="1"/>
  <c r="AH184" i="98" a="1"/>
  <c r="AK100" i="98" a="1"/>
  <c r="AK66" i="98" a="1"/>
  <c r="AP16" i="98" a="1"/>
  <c r="AO4" i="98" a="1"/>
  <c r="AO30" i="98" a="1"/>
  <c r="AO134" i="98" a="1"/>
  <c r="AM206" i="98" a="1"/>
  <c r="AJ88" i="98" a="1"/>
  <c r="AK338" i="98" a="1"/>
  <c r="AO182" i="98" a="1"/>
  <c r="AJ304" i="98" a="1"/>
  <c r="AK280" i="98" a="1"/>
  <c r="AN208" i="98" a="1"/>
  <c r="AM56" i="98" a="1"/>
  <c r="AM52" i="98" a="1"/>
  <c r="AN172" i="98" a="1"/>
  <c r="AM154" i="98" a="1"/>
  <c r="AI232" i="98" a="1"/>
  <c r="AO380" i="98" a="1"/>
  <c r="AK388" i="98" a="1"/>
  <c r="AH370" i="98" a="1"/>
  <c r="AK384" i="98" a="1"/>
  <c r="AO282" i="98" a="1"/>
  <c r="AO106" i="98" a="1"/>
  <c r="AP304" i="98" a="1"/>
  <c r="AJ286" i="98" a="1"/>
  <c r="AK368" i="98" a="1"/>
  <c r="AI286" i="98" a="1"/>
  <c r="AK376" i="98" a="1"/>
  <c r="AK304" i="98" a="1"/>
  <c r="AO372" i="98" a="1"/>
  <c r="AK354" i="98" a="1"/>
  <c r="AK328" i="98" a="1"/>
  <c r="AP316" i="98" a="1"/>
  <c r="AI226" i="98" a="1"/>
  <c r="AP196" i="98" a="1"/>
  <c r="AI94" i="98" a="1"/>
  <c r="AO22" i="98" a="1"/>
  <c r="AK150" i="98" a="1"/>
  <c r="AM126" i="98" a="1"/>
  <c r="AP58" i="98" a="1"/>
  <c r="AM10" i="98" a="1"/>
  <c r="AI238" i="98" a="1"/>
  <c r="AO80" i="98" a="1"/>
  <c r="AK32" i="98" a="1"/>
  <c r="AN166" i="98" a="1"/>
  <c r="AJ142" i="98" a="1"/>
  <c r="AN76" i="98" a="1"/>
  <c r="AO18" i="98" a="1"/>
  <c r="AM152" i="98" a="1"/>
  <c r="AN106" i="98" a="1"/>
  <c r="AL52" i="98" a="1"/>
  <c r="AN220" i="98" a="1"/>
  <c r="AO144" i="98" a="1"/>
  <c r="AM100" i="98" a="1"/>
  <c r="AM42" i="98" a="1"/>
  <c r="AO214" i="98" a="1"/>
  <c r="AK198" i="98" a="1"/>
  <c r="AL100" i="98" a="1"/>
  <c r="AM54" i="98" a="1"/>
  <c r="AH10" i="98" a="1"/>
  <c r="AO158" i="98" a="1"/>
  <c r="AO140" i="98" a="1"/>
  <c r="AJ94" i="98" a="1"/>
  <c r="AI64" i="98" a="1"/>
  <c r="AP10" i="98" a="1"/>
  <c r="AK6" i="98" a="1"/>
  <c r="AM180" i="98" a="1"/>
  <c r="AL76" i="98" a="1"/>
  <c r="AO84" i="98" a="1"/>
  <c r="AL118" i="98" a="1"/>
  <c r="AH4" i="98" a="1"/>
  <c r="AI322" i="98" a="1"/>
  <c r="AM168" i="98" a="1"/>
  <c r="AM308" i="98" a="1"/>
  <c r="AK274" i="98" a="1"/>
  <c r="AH64" i="98" a="1"/>
  <c r="AN34" i="98" a="1"/>
  <c r="AM138" i="98" a="1"/>
  <c r="AH136" i="98" a="1"/>
  <c r="AO66" i="98" a="1"/>
  <c r="AK36" i="98" a="1"/>
  <c r="AM78" i="98" a="1"/>
  <c r="AK362" i="98" a="1"/>
  <c r="AM358" i="98" a="1"/>
  <c r="AO350" i="98" a="1"/>
  <c r="AM392" i="98" a="1"/>
  <c r="AK240" i="98" a="1"/>
  <c r="AP226" i="98" a="1"/>
  <c r="AI76" i="98" a="1"/>
  <c r="AH244" i="98" a="1"/>
  <c r="AM298" i="98" a="1"/>
  <c r="AM236" i="98" a="1"/>
  <c r="AI316" i="98" a="1"/>
  <c r="AN364" i="98" a="1"/>
  <c r="AH364" i="98" a="1"/>
  <c r="AM336" i="98" a="1"/>
  <c r="AM286" i="98" a="1"/>
  <c r="AH304" i="98" a="1"/>
  <c r="AO194" i="98" a="1"/>
  <c r="AK130" i="98" a="1"/>
  <c r="AI82" i="98" a="1"/>
  <c r="AN10" i="98" a="1"/>
  <c r="AJ238" i="98" a="1"/>
  <c r="AK114" i="98" a="1"/>
  <c r="AO46" i="98" a="1"/>
  <c r="AK178" i="98" a="1"/>
  <c r="AM192" i="98" a="1"/>
  <c r="AO68" i="98" a="1"/>
  <c r="AK20" i="98" a="1"/>
  <c r="AH154" i="98" a="1"/>
  <c r="AP118" i="98" a="1"/>
  <c r="AN64" i="98" a="1"/>
  <c r="AK234" i="98" a="1"/>
  <c r="AO202" i="98" a="1"/>
  <c r="AN94" i="98" a="1"/>
  <c r="AO36" i="98" a="1"/>
  <c r="AI196" i="98" a="1"/>
  <c r="AP190" i="98" a="1"/>
  <c r="AL88" i="98" a="1"/>
  <c r="AM30" i="98" a="1"/>
  <c r="AO206" i="98" a="1"/>
  <c r="AO186" i="98" a="1"/>
  <c r="AO90" i="98" a="1"/>
  <c r="AJ52" i="98" a="1"/>
  <c r="AK220" i="98" a="1"/>
  <c r="AL154" i="98" a="1"/>
  <c r="AL130" i="98" a="1"/>
  <c r="AM90" i="98" a="1"/>
  <c r="AI58" i="98" a="1"/>
  <c r="AP4" i="98" a="1"/>
  <c r="AK4" i="98" a="1"/>
  <c r="AM212" i="98" a="1"/>
  <c r="AK24" i="98" a="1"/>
  <c r="AJ148" i="98" a="1"/>
  <c r="AN4" i="98" a="1"/>
  <c r="AM400" i="98" a="1"/>
  <c r="AO198" i="98" a="1"/>
  <c r="AM310" i="98" a="1"/>
  <c r="AO160" i="98" a="1"/>
  <c r="AK102" i="98" a="1"/>
  <c r="AM228" i="98" a="1"/>
  <c r="AJ196" i="98" a="1"/>
  <c r="AN124" i="98" a="1"/>
  <c r="AK76" i="98" a="1"/>
  <c r="AK112" i="98" a="1"/>
  <c r="AN358" i="98" a="1"/>
  <c r="AM356" i="98" a="1"/>
  <c r="AP346" i="98" a="1"/>
  <c r="AO388" i="98" a="1"/>
  <c r="AH226" i="98" a="1"/>
  <c r="AK216" i="98" a="1"/>
  <c r="AM72" i="98" a="1"/>
  <c r="AN232" i="98" a="1"/>
  <c r="AK292" i="98" a="1"/>
  <c r="AM232" i="98" a="1"/>
  <c r="AK308" i="98" a="1"/>
  <c r="AO346" i="98" a="1"/>
  <c r="AN244" i="98" a="1"/>
  <c r="AN322" i="98" a="1"/>
  <c r="AL328" i="98" a="1"/>
  <c r="AJ274" i="98" a="1"/>
  <c r="AM290" i="98" a="1"/>
  <c r="AM178" i="98" a="1"/>
  <c r="AK124" i="98" a="1"/>
  <c r="AH76" i="98" a="1"/>
  <c r="AM194" i="98" a="1"/>
  <c r="AM218" i="98" a="1"/>
  <c r="AK108" i="98" a="1"/>
  <c r="AO40" i="98" a="1"/>
  <c r="AO166" i="98" a="1"/>
  <c r="AI130" i="98" a="1"/>
  <c r="AO62" i="98" a="1"/>
  <c r="AL10" i="98" a="1"/>
  <c r="AK146" i="98" a="1"/>
  <c r="AP106" i="98" a="1"/>
  <c r="AM58" i="98" a="1"/>
  <c r="AN88" i="98" a="1"/>
  <c r="AK180" i="98" a="1"/>
  <c r="AN130" i="98" a="1"/>
  <c r="AJ184" i="98" a="1"/>
  <c r="AK48" i="98" a="1"/>
  <c r="AK54" i="98" a="1"/>
  <c r="AK160" i="98" a="1"/>
  <c r="AO24" i="98" a="1"/>
  <c r="AM124" i="98" a="1"/>
  <c r="AH40" i="98" a="1"/>
  <c r="AL340" i="98" a="1"/>
  <c r="AO328" i="98" a="1"/>
  <c r="AN328" i="98" a="1"/>
  <c r="AO386" i="98" a="1"/>
  <c r="AM188" i="98" a="1"/>
  <c r="AI172" i="98" a="1"/>
  <c r="AK46" i="98" a="1"/>
  <c r="AK202" i="98" a="1"/>
  <c r="AL190" i="98" a="1"/>
  <c r="AJ316" i="98" a="1"/>
  <c r="AJ298" i="98" a="1"/>
  <c r="AO322" i="98" a="1"/>
  <c r="AL310" i="98" a="1"/>
  <c r="AN286" i="98" a="1"/>
  <c r="AL286" i="98" a="1"/>
  <c r="AK172" i="98" a="1"/>
  <c r="AO120" i="98" a="1"/>
  <c r="AH70" i="98" a="1"/>
  <c r="AJ190" i="98" a="1"/>
  <c r="AK214" i="98" a="1"/>
  <c r="AI106" i="98" a="1"/>
  <c r="AO38" i="98" a="1"/>
  <c r="AM164" i="98" a="1"/>
  <c r="AK126" i="98" a="1"/>
  <c r="AN58" i="98" a="1"/>
  <c r="AM234" i="98" a="1"/>
  <c r="AL142" i="98" a="1"/>
  <c r="AO104" i="98" a="1"/>
  <c r="AK56" i="98" a="1"/>
  <c r="AM200" i="98" a="1"/>
  <c r="AI142" i="98" a="1"/>
  <c r="AK86" i="98" a="1"/>
  <c r="AK28" i="98" a="1"/>
  <c r="AH178" i="98" a="1"/>
  <c r="AM128" i="98" a="1"/>
  <c r="AL70" i="98" a="1"/>
  <c r="AI22" i="98" a="1"/>
  <c r="AM172" i="98" a="1"/>
  <c r="AM130" i="98" a="1"/>
  <c r="AO78" i="98" a="1"/>
  <c r="AK42" i="98" a="1"/>
  <c r="AN190" i="98" a="1"/>
  <c r="AO136" i="98" a="1"/>
  <c r="AO114" i="98" a="1"/>
  <c r="AJ82" i="98" a="1"/>
  <c r="AH52" i="98" a="1"/>
  <c r="AM4" i="98" a="1"/>
  <c r="AI400" i="98" a="1"/>
  <c r="AM184" i="98" a="1"/>
  <c r="AH292" i="98" a="1"/>
  <c r="AL178" i="98" a="1"/>
  <c r="AH124" i="98" a="1"/>
  <c r="AO100" i="98" a="1"/>
  <c r="AM82" i="98" a="1"/>
  <c r="AK18" i="98" a="1"/>
  <c r="AI184" i="98" a="1"/>
  <c r="AM8" i="98" a="1"/>
  <c r="AP268" i="100" a="1"/>
  <c r="AK280" i="100" a="1"/>
  <c r="AM262" i="100" a="1"/>
  <c r="AG250" i="100" a="1"/>
  <c r="AO226" i="100" a="1"/>
  <c r="AM204" i="100" a="1"/>
  <c r="AM182" i="100" a="1"/>
  <c r="AI160" i="100" a="1"/>
  <c r="AK142" i="100" a="1"/>
  <c r="AM124" i="100" a="1"/>
  <c r="AG102" i="100" a="1"/>
  <c r="AP262" i="100" a="1"/>
  <c r="AP232" i="100" a="1"/>
  <c r="AO210" i="100" a="1"/>
  <c r="AO188" i="100" a="1"/>
  <c r="AJ166" i="100" a="1"/>
  <c r="AL148" i="100" a="1"/>
  <c r="AN130" i="100" a="1"/>
  <c r="AK108" i="100" a="1"/>
  <c r="AK86" i="100" a="1"/>
  <c r="AH64" i="100" a="1"/>
  <c r="AM252" i="100" a="1"/>
  <c r="AK244" i="100" a="1"/>
  <c r="AO282" i="100" a="1"/>
  <c r="AM290" i="100" a="1"/>
  <c r="AO280" i="100" a="1"/>
  <c r="AK268" i="100" a="1"/>
  <c r="AM266" i="100" a="1"/>
  <c r="AG286" i="100" a="1"/>
  <c r="AI268" i="100" a="1"/>
  <c r="AK278" i="100" a="1"/>
  <c r="AK220" i="100" a="1"/>
  <c r="AG168" i="100" a="1"/>
  <c r="AG118" i="100" a="1"/>
  <c r="AG78" i="100" a="1"/>
  <c r="AO180" i="100" a="1"/>
  <c r="AJ136" i="100" a="1"/>
  <c r="AO62" i="100" a="1"/>
  <c r="AG40" i="100" a="1"/>
  <c r="AO16" i="100" a="1"/>
  <c r="AJ220" i="100" a="1"/>
  <c r="AM186" i="100" a="1"/>
  <c r="AO122" i="100" a="1"/>
  <c r="AG232" i="100" a="1"/>
  <c r="AK160" i="100" a="1"/>
  <c r="AO82" i="100" a="1"/>
  <c r="AG60" i="100" a="1"/>
  <c r="AK42" i="100" a="1"/>
  <c r="AK20" i="100" a="1"/>
  <c r="AM216" i="100" a="1"/>
  <c r="AO172" i="100" a="1"/>
  <c r="AO118" i="100" a="1"/>
  <c r="AM258" i="100" a="1"/>
  <c r="AJ178" i="100" a="1"/>
  <c r="AL106" i="100" a="1"/>
  <c r="AK58" i="100" a="1"/>
  <c r="AM40" i="100" a="1"/>
  <c r="AG18" i="100" a="1"/>
  <c r="AN214" i="100" a="1"/>
  <c r="AJ148" i="100" a="1"/>
  <c r="AM114" i="100" a="1"/>
  <c r="AO232" i="100" a="1"/>
  <c r="AG182" i="100" a="1"/>
  <c r="AK106" i="100" a="1"/>
  <c r="AN70" i="100" a="1"/>
  <c r="AK48" i="100" a="1"/>
  <c r="AK26" i="100" a="1"/>
  <c r="AG216" i="100" a="1"/>
  <c r="AG166" i="100" a="1"/>
  <c r="AM118" i="100" a="1"/>
  <c r="AO244" i="100" a="1"/>
  <c r="AJ202" i="100" a="1"/>
  <c r="AL130" i="100" a="1"/>
  <c r="AG76" i="100" a="1"/>
  <c r="AO52" i="100" a="1"/>
  <c r="AM30" i="100" a="1"/>
  <c r="AO248" i="100" a="1"/>
  <c r="AN196" i="100" a="1"/>
  <c r="AK144" i="100" a="1"/>
  <c r="AG92" i="100" a="1"/>
  <c r="AM242" i="100" a="1"/>
  <c r="AG206" i="100" a="1"/>
  <c r="AK130" i="100" a="1"/>
  <c r="AL70" i="100" a="1"/>
  <c r="AJ40" i="100" a="1"/>
  <c r="AL22" i="100" a="1"/>
  <c r="AN4" i="100" a="1"/>
  <c r="AI214" i="100" a="1"/>
  <c r="AG148" i="100" a="1"/>
  <c r="AK104" i="100" a="1"/>
  <c r="AK242" i="100" a="1"/>
  <c r="AJ208" i="100" a="1"/>
  <c r="AO134" i="100" a="1"/>
  <c r="AK70" i="100" a="1"/>
  <c r="AM52" i="100" a="1"/>
  <c r="AJ196" i="100" a="1"/>
  <c r="AM162" i="100" a="1"/>
  <c r="AO98" i="100" a="1"/>
  <c r="AH244" i="100" a="1"/>
  <c r="AO184" i="100" a="1"/>
  <c r="AG134" i="100" a="1"/>
  <c r="AO60" i="100" a="1"/>
  <c r="AL4" i="100" a="1"/>
  <c r="AO8" i="100" a="1"/>
  <c r="AN10" i="100" a="1"/>
  <c r="AM38" i="100" a="1"/>
  <c r="AK46" i="100" a="1"/>
  <c r="AO6" i="100" a="1"/>
  <c r="AI88" i="100" a="1"/>
  <c r="AK290" i="100" a="1"/>
  <c r="AH268" i="100" a="1"/>
  <c r="AI274" i="100" a="1"/>
  <c r="AK256" i="100" a="1"/>
  <c r="AG248" i="100" a="1"/>
  <c r="AG226" i="100" a="1"/>
  <c r="AO202" i="100" a="1"/>
  <c r="AM180" i="100" a="1"/>
  <c r="AM158" i="100" a="1"/>
  <c r="AI136" i="100" a="1"/>
  <c r="AK118" i="100" a="1"/>
  <c r="AM100" i="100" a="1"/>
  <c r="AL256" i="100" a="1"/>
  <c r="AH232" i="100" a="1"/>
  <c r="AP208" i="100" a="1"/>
  <c r="AO186" i="100" a="1"/>
  <c r="AO164" i="100" a="1"/>
  <c r="AJ142" i="100" a="1"/>
  <c r="AL124" i="100" a="1"/>
  <c r="AN106" i="100" a="1"/>
  <c r="AK84" i="100" a="1"/>
  <c r="AK62" i="100" a="1"/>
  <c r="AM288" i="100" a="1"/>
  <c r="AO290" i="100" a="1"/>
  <c r="AP280" i="100" a="1"/>
  <c r="AL268" i="100" a="1"/>
  <c r="AP274" i="100" a="1"/>
  <c r="AG256" i="100" a="1"/>
  <c r="AJ262" i="100" a="1"/>
  <c r="AG284" i="100" a="1"/>
  <c r="AJ280" i="100" a="1"/>
  <c r="AG276" i="100" a="1"/>
  <c r="AG214" i="100" a="1"/>
  <c r="AM166" i="100" a="1"/>
  <c r="AI100" i="100" a="1"/>
  <c r="AM76" i="100" a="1"/>
  <c r="AL178" i="100" a="1"/>
  <c r="AH130" i="100" a="1"/>
  <c r="AM60" i="100" a="1"/>
  <c r="AG38" i="100" a="1"/>
  <c r="AG16" i="100" a="1"/>
  <c r="AO218" i="100" a="1"/>
  <c r="AP172" i="100" a="1"/>
  <c r="AO120" i="100" a="1"/>
  <c r="AO208" i="100" a="1"/>
  <c r="AG158" i="100" a="1"/>
  <c r="AJ76" i="100" a="1"/>
  <c r="AL58" i="100" a="1"/>
  <c r="AN40" i="100" a="1"/>
  <c r="AK18" i="100" a="1"/>
  <c r="AO214" i="100" a="1"/>
  <c r="AI166" i="100" a="1"/>
  <c r="AG100" i="100" a="1"/>
  <c r="AP226" i="100" a="1"/>
  <c r="AM174" i="100" a="1"/>
  <c r="AK90" i="100" a="1"/>
  <c r="AI52" i="100" a="1"/>
  <c r="AK34" i="100" a="1"/>
  <c r="AM16" i="100" a="1"/>
  <c r="AM210" i="100" a="1"/>
  <c r="AO146" i="100" a="1"/>
  <c r="AP100" i="100" a="1"/>
  <c r="AM226" i="100" a="1"/>
  <c r="AI178" i="100" a="1"/>
  <c r="AO102" i="100" a="1"/>
  <c r="AG64" i="100" a="1"/>
  <c r="AN46" i="100" a="1"/>
  <c r="AK24" i="100" a="1"/>
  <c r="AM214" i="100" a="1"/>
  <c r="AI148" i="100" a="1"/>
  <c r="AK114" i="100" a="1"/>
  <c r="AM240" i="100" a="1"/>
  <c r="AM198" i="100" a="1"/>
  <c r="AM116" i="100" a="1"/>
  <c r="AG74" i="100" a="1"/>
  <c r="AG52" i="100" a="1"/>
  <c r="AO28" i="100" a="1"/>
  <c r="AM246" i="100" a="1"/>
  <c r="AH190" i="100" a="1"/>
  <c r="AN142" i="100" a="1"/>
  <c r="AJ88" i="100" a="1"/>
  <c r="AK240" i="100" a="1"/>
  <c r="AI202" i="100" a="1"/>
  <c r="AO126" i="100" a="1"/>
  <c r="AM66" i="100" a="1"/>
  <c r="AO38" i="100" a="1"/>
  <c r="AJ16" i="100" a="1"/>
  <c r="AK250" i="100" a="1"/>
  <c r="AK200" i="100" a="1"/>
  <c r="AG146" i="100" a="1"/>
  <c r="AK100" i="100" a="1"/>
  <c r="AG240" i="100" a="1"/>
  <c r="AH202" i="100" a="1"/>
  <c r="AJ130" i="100" a="1"/>
  <c r="AM68" i="100" a="1"/>
  <c r="AJ250" i="100" a="1"/>
  <c r="AO194" i="100" a="1"/>
  <c r="AP148" i="100" a="1"/>
  <c r="AO96" i="100" a="1"/>
  <c r="AG242" i="100" a="1"/>
  <c r="AM178" i="100" a="1"/>
  <c r="AI130" i="100" a="1"/>
  <c r="AO58" i="100" a="1"/>
  <c r="AH40" i="100" a="1"/>
  <c r="AO42" i="100" a="1"/>
  <c r="AG8" i="100" a="1"/>
  <c r="AO20" i="100" a="1"/>
  <c r="AP40" i="100" a="1"/>
  <c r="AG144" i="100" a="1"/>
  <c r="AK288" i="100" a="1"/>
  <c r="AK266" i="100" a="1"/>
  <c r="AM272" i="100" a="1"/>
  <c r="AI250" i="100" a="1"/>
  <c r="AG246" i="100" a="1"/>
  <c r="AG224" i="100" a="1"/>
  <c r="AG202" i="100" a="1"/>
  <c r="AO178" i="100" a="1"/>
  <c r="AM156" i="100" a="1"/>
  <c r="AM134" i="100" a="1"/>
  <c r="AI112" i="100" a="1"/>
  <c r="AO286" i="100" a="1"/>
  <c r="AO254" i="100" a="1"/>
  <c r="AK230" i="100" a="1"/>
  <c r="AH208" i="100" a="1"/>
  <c r="AP184" i="100" a="1"/>
  <c r="AO162" i="100" a="1"/>
  <c r="AO140" i="100" a="1"/>
  <c r="AJ118" i="100" a="1"/>
  <c r="AL100" i="100" a="1"/>
  <c r="AN82" i="100" a="1"/>
  <c r="AK60" i="100" a="1"/>
  <c r="AK286" i="100" a="1"/>
  <c r="AM268" i="100" a="1"/>
  <c r="AL262" i="100" a="1"/>
  <c r="AM264" i="100" a="1"/>
  <c r="AO266" i="100" a="1"/>
  <c r="AH286" i="100" a="1"/>
  <c r="AO260" i="100" a="1"/>
  <c r="AG282" i="100" a="1"/>
  <c r="AK272" i="100" a="1"/>
  <c r="AL274" i="100" a="1"/>
  <c r="AI196" i="100" a="1"/>
  <c r="AK162" i="100" a="1"/>
  <c r="AM98" i="100" a="1"/>
  <c r="AG244" i="100" a="1"/>
  <c r="AM164" i="100" a="1"/>
  <c r="AP106" i="100" a="1"/>
  <c r="AM58" i="100" a="1"/>
  <c r="AG36" i="100" a="1"/>
  <c r="AG14" i="100" a="1"/>
  <c r="AO216" i="100" a="1"/>
  <c r="AL166" i="100" a="1"/>
  <c r="AP118" i="100" a="1"/>
  <c r="AM202" i="100" a="1"/>
  <c r="AI154" i="100" a="1"/>
  <c r="AO74" i="100" a="1"/>
  <c r="AJ52" i="100" a="1"/>
  <c r="AL34" i="100" a="1"/>
  <c r="AN16" i="100" a="1"/>
  <c r="AG196" i="100" a="1"/>
  <c r="AK152" i="100" a="1"/>
  <c r="AG98" i="100" a="1"/>
  <c r="AN208" i="100" a="1"/>
  <c r="AG164" i="100" a="1"/>
  <c r="AI76" i="100" a="1"/>
  <c r="AM50" i="100" a="1"/>
  <c r="AI28" i="100" a="1"/>
  <c r="AK10" i="100" a="1"/>
  <c r="AP196" i="100" a="1"/>
  <c r="AO144" i="100" a="1"/>
  <c r="AL94" i="100" a="1"/>
  <c r="AM208" i="100" a="1"/>
  <c r="AK174" i="100" a="1"/>
  <c r="AG90" i="100" a="1"/>
  <c r="AJ58" i="100" a="1"/>
  <c r="AL40" i="100" a="1"/>
  <c r="AN22" i="100" a="1"/>
  <c r="AK210" i="100" a="1"/>
  <c r="AM146" i="100" a="1"/>
  <c r="AO104" i="100" a="1"/>
  <c r="AN232" i="100" a="1"/>
  <c r="AG188" i="100" a="1"/>
  <c r="AL112" i="100" a="1"/>
  <c r="AG72" i="100" a="1"/>
  <c r="AG50" i="100" a="1"/>
  <c r="AG28" i="100" a="1"/>
  <c r="AN238" i="100" a="1"/>
  <c r="AJ172" i="100" a="1"/>
  <c r="AM138" i="100" a="1"/>
  <c r="AG86" i="100" a="1"/>
  <c r="AM232" i="100" a="1"/>
  <c r="AK198" i="100" a="1"/>
  <c r="AK116" i="100" a="1"/>
  <c r="AN64" i="100" a="1"/>
  <c r="AO36" i="100" a="1"/>
  <c r="AO14" i="100" a="1"/>
  <c r="AM248" i="100" a="1"/>
  <c r="AK196" i="100" a="1"/>
  <c r="AM236" i="100" a="1"/>
  <c r="AP178" i="100" a="1"/>
  <c r="AM126" i="100" a="1"/>
  <c r="AK66" i="100" a="1"/>
  <c r="AK248" i="100" a="1"/>
  <c r="AO192" i="100" a="1"/>
  <c r="AL142" i="100" a="1"/>
  <c r="AP94" i="100" a="1"/>
  <c r="AK236" i="100" a="1"/>
  <c r="AM160" i="100" a="1"/>
  <c r="AK126" i="100" a="1"/>
  <c r="AL52" i="100" a="1"/>
  <c r="AH4" i="100" a="1"/>
  <c r="AG34" i="100" a="1"/>
  <c r="AK36" i="100" a="1"/>
  <c r="AK12" i="100" a="1"/>
  <c r="AG32" i="100" a="1"/>
  <c r="AN286" i="100" a="1"/>
  <c r="AK264" i="100" a="1"/>
  <c r="AM270" i="100" a="1"/>
  <c r="AG262" i="100" a="1"/>
  <c r="AM244" i="100" a="1"/>
  <c r="AG222" i="100" a="1"/>
  <c r="AG200" i="100" a="1"/>
  <c r="AG178" i="100" a="1"/>
  <c r="AO154" i="100" a="1"/>
  <c r="AM132" i="100" a="1"/>
  <c r="AM110" i="100" a="1"/>
  <c r="AH280" i="100" a="1"/>
  <c r="AO250" i="100" a="1"/>
  <c r="AK228" i="100" a="1"/>
  <c r="AK206" i="100" a="1"/>
  <c r="AH184" i="100" a="1"/>
  <c r="AP160" i="100" a="1"/>
  <c r="AO138" i="100" a="1"/>
  <c r="AO116" i="100" a="1"/>
  <c r="AJ94" i="100" a="1"/>
  <c r="AL76" i="100" a="1"/>
  <c r="AN58" i="100" a="1"/>
  <c r="AG274" i="100" a="1"/>
  <c r="AO264" i="100" a="1"/>
  <c r="AK254" i="100" a="1"/>
  <c r="AH256" i="100" a="1"/>
  <c r="AK262" i="100" a="1"/>
  <c r="AK284" i="100" a="1"/>
  <c r="AO258" i="100" a="1"/>
  <c r="AM280" i="100" a="1"/>
  <c r="AH262" i="100" a="1"/>
  <c r="AG272" i="100" a="1"/>
  <c r="AM194" i="100" a="1"/>
  <c r="AO152" i="100" a="1"/>
  <c r="AM96" i="100" a="1"/>
  <c r="AG236" i="100" a="1"/>
  <c r="AL160" i="100" a="1"/>
  <c r="AP82" i="100" a="1"/>
  <c r="AK52" i="100" a="1"/>
  <c r="AM34" i="100" a="1"/>
  <c r="AG12" i="100" a="1"/>
  <c r="AP214" i="100" a="1"/>
  <c r="AG162" i="100" a="1"/>
  <c r="AH100" i="100" a="1"/>
  <c r="AM184" i="100" a="1"/>
  <c r="AK150" i="100" a="1"/>
  <c r="AO72" i="100" a="1"/>
  <c r="AO50" i="100" a="1"/>
  <c r="AJ28" i="100" a="1"/>
  <c r="AL10" i="100" a="1"/>
  <c r="AG194" i="100" a="1"/>
  <c r="AK148" i="100" a="1"/>
  <c r="AG96" i="100" a="1"/>
  <c r="AO204" i="100" a="1"/>
  <c r="AJ160" i="100" a="1"/>
  <c r="AM74" i="100" a="1"/>
  <c r="AM48" i="100" a="1"/>
  <c r="AM26" i="100" a="1"/>
  <c r="AI4" i="100" a="1"/>
  <c r="AL190" i="100" a="1"/>
  <c r="AP142" i="100" a="1"/>
  <c r="AM92" i="100" a="1"/>
  <c r="AG204" i="100" a="1"/>
  <c r="AG160" i="100" a="1"/>
  <c r="AO86" i="100" a="1"/>
  <c r="AO56" i="100" a="1"/>
  <c r="AJ34" i="100" a="1"/>
  <c r="AL16" i="100" a="1"/>
  <c r="AO200" i="100" a="1"/>
  <c r="AM144" i="100" a="1"/>
  <c r="AO100" i="100" a="1"/>
  <c r="AO228" i="100" a="1"/>
  <c r="AJ184" i="100" a="1"/>
  <c r="AO110" i="100" a="1"/>
  <c r="AM70" i="100" a="1"/>
  <c r="AG48" i="100" a="1"/>
  <c r="AG26" i="100" a="1"/>
  <c r="AM234" i="100" a="1"/>
  <c r="AO170" i="100" a="1"/>
  <c r="AP124" i="100" a="1"/>
  <c r="AJ82" i="100" a="1"/>
  <c r="AG228" i="100" a="1"/>
  <c r="AG184" i="100" a="1"/>
  <c r="AK112" i="100" a="1"/>
  <c r="AH58" i="100" a="1"/>
  <c r="AP34" i="100" a="1"/>
  <c r="AO12" i="100" a="1"/>
  <c r="AK246" i="100" a="1"/>
  <c r="AG190" i="100" a="1"/>
  <c r="AM142" i="100" a="1"/>
  <c r="AI82" i="100" a="1"/>
  <c r="AL232" i="100" a="1"/>
  <c r="AN160" i="100" a="1"/>
  <c r="AG116" i="100" a="1"/>
  <c r="AM64" i="100" a="1"/>
  <c r="AL238" i="100" a="1"/>
  <c r="AP190" i="100" a="1"/>
  <c r="AG138" i="100" a="1"/>
  <c r="AH82" i="100" a="1"/>
  <c r="AK232" i="100" a="1"/>
  <c r="AG156" i="100" a="1"/>
  <c r="AG112" i="100" a="1"/>
  <c r="AJ46" i="100" a="1"/>
  <c r="AN34" i="100" a="1"/>
  <c r="AL28" i="100" a="1"/>
  <c r="AJ10" i="100" a="1"/>
  <c r="AG10" i="100" a="1"/>
  <c r="AK22" i="100" a="1"/>
  <c r="AO234" i="100" a="1"/>
  <c r="AN250" i="100" a="1"/>
  <c r="AK224" i="100" a="1"/>
  <c r="AK64" i="100" a="1"/>
  <c r="AK164" i="100" a="1"/>
  <c r="AO176" i="100" a="1"/>
  <c r="AG42" i="100" a="1"/>
  <c r="AL280" i="100" a="1"/>
  <c r="AN262" i="100" a="1"/>
  <c r="AO268" i="100" a="1"/>
  <c r="AG260" i="100" a="1"/>
  <c r="AK238" i="100" a="1"/>
  <c r="AM220" i="100" a="1"/>
  <c r="AG198" i="100" a="1"/>
  <c r="AG176" i="100" a="1"/>
  <c r="AG154" i="100" a="1"/>
  <c r="AO130" i="100" a="1"/>
  <c r="AM108" i="100" a="1"/>
  <c r="AG278" i="100" a="1"/>
  <c r="AL244" i="100" a="1"/>
  <c r="AN226" i="100" a="1"/>
  <c r="AK204" i="100" a="1"/>
  <c r="AK182" i="100" a="1"/>
  <c r="AH160" i="100" a="1"/>
  <c r="AP136" i="100" a="1"/>
  <c r="AO114" i="100" a="1"/>
  <c r="AO92" i="100" a="1"/>
  <c r="AJ70" i="100" a="1"/>
  <c r="AL286" i="100" a="1"/>
  <c r="AN268" i="100" a="1"/>
  <c r="AI256" i="100" a="1"/>
  <c r="AM250" i="100" a="1"/>
  <c r="AG252" i="100" a="1"/>
  <c r="AG254" i="100" a="1"/>
  <c r="AK282" i="100" a="1"/>
  <c r="AP256" i="100" a="1"/>
  <c r="AO278" i="100" a="1"/>
  <c r="AK260" i="100" a="1"/>
  <c r="AO256" i="100" a="1"/>
  <c r="AM192" i="100" a="1"/>
  <c r="AO148" i="100" a="1"/>
  <c r="AO94" i="100" a="1"/>
  <c r="AJ232" i="100" a="1"/>
  <c r="AO158" i="100" a="1"/>
  <c r="AK76" i="100" a="1"/>
  <c r="AI46" i="100" a="1"/>
  <c r="AK28" i="100" a="1"/>
  <c r="AM10" i="100" a="1"/>
  <c r="AH196" i="100" a="1"/>
  <c r="AM152" i="100" a="1"/>
  <c r="AK98" i="100" a="1"/>
  <c r="AG180" i="100" a="1"/>
  <c r="AG136" i="100" a="1"/>
  <c r="AP70" i="100" a="1"/>
  <c r="AO48" i="100" a="1"/>
  <c r="AO26" i="100" a="1"/>
  <c r="AJ4" i="100" a="1"/>
  <c r="AG192" i="100" a="1"/>
  <c r="AG142" i="100" a="1"/>
  <c r="AM94" i="100" a="1"/>
  <c r="AL202" i="100" a="1"/>
  <c r="AH154" i="100" a="1"/>
  <c r="AM72" i="100" a="1"/>
  <c r="AO46" i="100" a="1"/>
  <c r="AM24" i="100" a="1"/>
  <c r="AP238" i="100" a="1"/>
  <c r="AG186" i="100" a="1"/>
  <c r="AH124" i="100" a="1"/>
  <c r="AL88" i="100" a="1"/>
  <c r="AK202" i="100" a="1"/>
  <c r="AO136" i="100" a="1"/>
  <c r="AG84" i="100" a="1"/>
  <c r="AO54" i="100" a="1"/>
  <c r="AO32" i="100" a="1"/>
  <c r="AO246" i="100" a="1"/>
  <c r="AO196" i="100" a="1"/>
  <c r="AO142" i="100" a="1"/>
  <c r="AK94" i="100" a="1"/>
  <c r="AL226" i="100" a="1"/>
  <c r="AH178" i="100" a="1"/>
  <c r="AJ106" i="100" a="1"/>
  <c r="AO64" i="100" a="1"/>
  <c r="AM46" i="100" a="1"/>
  <c r="AG24" i="100" a="1"/>
  <c r="AP220" i="100" a="1"/>
  <c r="AO168" i="100" a="1"/>
  <c r="AL118" i="100" a="1"/>
  <c r="AO80" i="100" a="1"/>
  <c r="AK226" i="100" a="1"/>
  <c r="AO160" i="100" a="1"/>
  <c r="AG110" i="100" a="1"/>
  <c r="AK56" i="100" a="1"/>
  <c r="AH34" i="100" a="1"/>
  <c r="AP10" i="100" a="1"/>
  <c r="AM238" i="100" a="1"/>
  <c r="AI172" i="100" a="1"/>
  <c r="AK138" i="100" a="1"/>
  <c r="AM80" i="100" a="1"/>
  <c r="AO230" i="100" a="1"/>
  <c r="AO156" i="100" a="1"/>
  <c r="AJ112" i="100" a="1"/>
  <c r="AP58" i="100" a="1"/>
  <c r="AG234" i="100" a="1"/>
  <c r="AH172" i="100" a="1"/>
  <c r="AM128" i="100" a="1"/>
  <c r="AK80" i="100" a="1"/>
  <c r="AG230" i="100" a="1"/>
  <c r="AK154" i="100" a="1"/>
  <c r="AI70" i="100" a="1"/>
  <c r="AO34" i="100" a="1"/>
  <c r="AM28" i="100" a="1"/>
  <c r="AO18" i="100" a="1"/>
  <c r="AG30" i="100" a="1"/>
  <c r="AP4" i="100" a="1"/>
  <c r="AP16" i="100" a="1"/>
  <c r="AG264" i="100" a="1"/>
  <c r="AM206" i="100" a="1"/>
  <c r="AG126" i="100" a="1"/>
  <c r="AJ190" i="100" a="1"/>
  <c r="AH88" i="100" a="1"/>
  <c r="AM282" i="100" a="1"/>
  <c r="AI280" i="100" a="1"/>
  <c r="AG80" i="100" a="1"/>
  <c r="AO40" i="100" a="1"/>
  <c r="AN190" i="100" a="1"/>
  <c r="AK44" i="100" a="1"/>
  <c r="AM120" i="100" a="1"/>
  <c r="AG62" i="100" a="1"/>
  <c r="AJ274" i="100" a="1"/>
  <c r="AG290" i="100" a="1"/>
  <c r="AG268" i="100" a="1"/>
  <c r="AG258" i="100" a="1"/>
  <c r="AI232" i="100" a="1"/>
  <c r="AK214" i="100" a="1"/>
  <c r="AM196" i="100" a="1"/>
  <c r="AG174" i="100" a="1"/>
  <c r="AG152" i="100" a="1"/>
  <c r="AG130" i="100" a="1"/>
  <c r="AO106" i="100" a="1"/>
  <c r="AK274" i="100" a="1"/>
  <c r="AJ238" i="100" a="1"/>
  <c r="AL220" i="100" a="1"/>
  <c r="AN202" i="100" a="1"/>
  <c r="AK180" i="100" a="1"/>
  <c r="AK158" i="100" a="1"/>
  <c r="AH136" i="100" a="1"/>
  <c r="AP112" i="100" a="1"/>
  <c r="AO90" i="100" a="1"/>
  <c r="AO68" i="100" a="1"/>
  <c r="AG280" i="100" a="1"/>
  <c r="AO262" i="100" a="1"/>
  <c r="AK252" i="100" a="1"/>
  <c r="AJ244" i="100" a="1"/>
  <c r="AI286" i="100" a="1"/>
  <c r="AL250" i="100" a="1"/>
  <c r="AN280" i="100" a="1"/>
  <c r="AM276" i="100" a="1"/>
  <c r="AM278" i="100" a="1"/>
  <c r="AK258" i="100" a="1"/>
  <c r="AH250" i="100" a="1"/>
  <c r="AO190" i="100" a="1"/>
  <c r="AI142" i="100" a="1"/>
  <c r="AO88" i="100" a="1"/>
  <c r="AH226" i="100" a="1"/>
  <c r="AJ154" i="100" a="1"/>
  <c r="AH70" i="100" a="1"/>
  <c r="AM44" i="100" a="1"/>
  <c r="AI22" i="100" a="1"/>
  <c r="AK4" i="100" a="1"/>
  <c r="AK194" i="100" a="1"/>
  <c r="AN148" i="100" a="1"/>
  <c r="AK96" i="100" a="1"/>
  <c r="AK178" i="100" a="1"/>
  <c r="AO112" i="100" a="1"/>
  <c r="AG70" i="100" a="1"/>
  <c r="AP46" i="100" a="1"/>
  <c r="AO24" i="100" a="1"/>
  <c r="AG238" i="100" a="1"/>
  <c r="AM190" i="100" a="1"/>
  <c r="AI124" i="100" a="1"/>
  <c r="AM88" i="100" a="1"/>
  <c r="AM188" i="100" a="1"/>
  <c r="AP130" i="100" a="1"/>
  <c r="AO70" i="100" a="1"/>
  <c r="AG46" i="100" a="1"/>
  <c r="AO22" i="100" a="1"/>
  <c r="AH220" i="100" a="1"/>
  <c r="AM176" i="100" a="1"/>
  <c r="AK122" i="100" a="1"/>
  <c r="AM84" i="100" a="1"/>
  <c r="AO198" i="100" a="1"/>
  <c r="AM130" i="100" a="1"/>
  <c r="AH76" i="100" a="1"/>
  <c r="AP52" i="100" a="1"/>
  <c r="AO30" i="100" a="1"/>
  <c r="AO238" i="100" a="1"/>
  <c r="AI190" i="100" a="1"/>
  <c r="AG124" i="100" a="1"/>
  <c r="AK92" i="100" a="1"/>
  <c r="AM212" i="100" a="1"/>
  <c r="AP154" i="100" a="1"/>
  <c r="AM102" i="100" a="1"/>
  <c r="AI58" i="100" a="1"/>
  <c r="AK40" i="100" a="1"/>
  <c r="AM22" i="100" a="1"/>
  <c r="AL214" i="100" a="1"/>
  <c r="AP166" i="100" a="1"/>
  <c r="AG114" i="100" a="1"/>
  <c r="AO78" i="100" a="1"/>
  <c r="AO222" i="100" a="1"/>
  <c r="AM154" i="100" a="1"/>
  <c r="AI106" i="100" a="1"/>
  <c r="AK54" i="100" a="1"/>
  <c r="AK32" i="100" a="1"/>
  <c r="AH10" i="100" a="1"/>
  <c r="AK234" i="100" a="1"/>
  <c r="AM170" i="100" a="1"/>
  <c r="AO128" i="100" a="1"/>
  <c r="AM78" i="100" a="1"/>
  <c r="AJ226" i="100" a="1"/>
  <c r="AL154" i="100" a="1"/>
  <c r="AH106" i="100" a="1"/>
  <c r="AG58" i="100" a="1"/>
  <c r="AM224" i="100" a="1"/>
  <c r="AK170" i="100" a="1"/>
  <c r="AN124" i="100" a="1"/>
  <c r="AK78" i="100" a="1"/>
  <c r="AI226" i="100" a="1"/>
  <c r="AO150" i="100" a="1"/>
  <c r="AK68" i="100" a="1"/>
  <c r="AJ22" i="100" a="1"/>
  <c r="AH16" i="100" a="1"/>
  <c r="AO10" i="100" a="1"/>
  <c r="AM12" i="100" a="1"/>
  <c r="AK38" i="100" a="1"/>
  <c r="AK14" i="100" a="1"/>
  <c r="AO270" i="100" a="1"/>
  <c r="AP250" i="100" a="1"/>
  <c r="AI184" i="100" a="1"/>
  <c r="AM148" i="100" a="1"/>
  <c r="AO288" i="100" a="1"/>
  <c r="AL172" i="100" a="1"/>
  <c r="AK132" i="100" a="1"/>
  <c r="AP64" i="100" a="1"/>
  <c r="AO284" i="100" a="1"/>
  <c r="AK270" i="100" a="1"/>
  <c r="AJ268" i="100" a="1"/>
  <c r="AG170" i="100" a="1"/>
  <c r="AN184" i="100" a="1"/>
  <c r="AM18" i="100" a="1"/>
  <c r="AM90" i="100" a="1"/>
  <c r="AH22" i="100" a="1"/>
  <c r="AM82" i="100" a="1"/>
  <c r="AO108" i="100" a="1"/>
  <c r="AK216" i="100" a="1"/>
  <c r="AO272" i="100" a="1"/>
  <c r="AG288" i="100" a="1"/>
  <c r="AG266" i="100" a="1"/>
  <c r="AM256" i="100" a="1"/>
  <c r="AM230" i="100" a="1"/>
  <c r="AI208" i="100" a="1"/>
  <c r="AK190" i="100" a="1"/>
  <c r="AM172" i="100" a="1"/>
  <c r="AG150" i="100" a="1"/>
  <c r="AG128" i="100" a="1"/>
  <c r="AG106" i="100" a="1"/>
  <c r="AO252" i="100" a="1"/>
  <c r="AO236" i="100" a="1"/>
  <c r="AJ214" i="100" a="1"/>
  <c r="AL196" i="100" a="1"/>
  <c r="AN178" i="100" a="1"/>
  <c r="AK156" i="100" a="1"/>
  <c r="AK134" i="100" a="1"/>
  <c r="AH112" i="100" a="1"/>
  <c r="AP88" i="100" a="1"/>
  <c r="AO66" i="100" a="1"/>
  <c r="AH274" i="100" a="1"/>
  <c r="AM254" i="100" a="1"/>
  <c r="AJ286" i="100" a="1"/>
  <c r="AO242" i="100" a="1"/>
  <c r="AM284" i="100" a="1"/>
  <c r="AO274" i="100" a="1"/>
  <c r="AO276" i="100" a="1"/>
  <c r="AN274" i="100" a="1"/>
  <c r="AK276" i="100" a="1"/>
  <c r="AP286" i="100" a="1"/>
  <c r="AI238" i="100" a="1"/>
  <c r="AG172" i="100" a="1"/>
  <c r="AK128" i="100" a="1"/>
  <c r="AG82" i="100" a="1"/>
  <c r="AP202" i="100" a="1"/>
  <c r="AM150" i="100" a="1"/>
  <c r="AG68" i="100" a="1"/>
  <c r="AM42" i="100" a="1"/>
  <c r="AM20" i="100" a="1"/>
  <c r="AN256" i="100" a="1"/>
  <c r="AK192" i="100" a="1"/>
  <c r="AH142" i="100" a="1"/>
  <c r="AN94" i="100" a="1"/>
  <c r="AO174" i="100" a="1"/>
  <c r="AM106" i="100" a="1"/>
  <c r="AJ64" i="100" a="1"/>
  <c r="AH46" i="100" a="1"/>
  <c r="AP22" i="100" a="1"/>
  <c r="AI220" i="100" a="1"/>
  <c r="AK186" i="100" a="1"/>
  <c r="AM122" i="100" a="1"/>
  <c r="AO84" i="100" a="1"/>
  <c r="AL184" i="100" a="1"/>
  <c r="AN112" i="100" a="1"/>
  <c r="AI64" i="100" a="1"/>
  <c r="AG44" i="100" a="1"/>
  <c r="AG22" i="100" a="1"/>
  <c r="AK218" i="100" a="1"/>
  <c r="AN172" i="100" a="1"/>
  <c r="AK120" i="100" a="1"/>
  <c r="AL82" i="100" a="1"/>
  <c r="AK188" i="100" a="1"/>
  <c r="AM112" i="100" a="1"/>
  <c r="AK74" i="100" a="1"/>
  <c r="AH52" i="100" a="1"/>
  <c r="AP28" i="100" a="1"/>
  <c r="AG220" i="100" a="1"/>
  <c r="AK176" i="100" a="1"/>
  <c r="AG122" i="100" a="1"/>
  <c r="AK88" i="100" a="1"/>
  <c r="AL208" i="100" a="1"/>
  <c r="AN136" i="100" a="1"/>
  <c r="AI94" i="100" a="1"/>
  <c r="AM56" i="100" a="1"/>
  <c r="AI34" i="100" a="1"/>
  <c r="AK16" i="100" a="1"/>
  <c r="AG210" i="100" a="1"/>
  <c r="AH148" i="100" a="1"/>
  <c r="AM104" i="100" a="1"/>
  <c r="AP76" i="100" a="1"/>
  <c r="AK212" i="100" a="1"/>
  <c r="AM136" i="100" a="1"/>
  <c r="AK102" i="100" a="1"/>
  <c r="AN52" i="100" a="1"/>
  <c r="AK30" i="100" a="1"/>
  <c r="AK8" i="100" a="1"/>
  <c r="AO224" i="100" a="1"/>
  <c r="AM168" i="100" a="1"/>
  <c r="AO124" i="100" a="1"/>
  <c r="AO76" i="100" a="1"/>
  <c r="AM222" i="100" a="1"/>
  <c r="AM140" i="100" a="1"/>
  <c r="AG94" i="100" a="1"/>
  <c r="AG56" i="100" a="1"/>
  <c r="AN220" i="100" a="1"/>
  <c r="AK168" i="100" a="1"/>
  <c r="AH118" i="100" a="1"/>
  <c r="AN76" i="100" a="1"/>
  <c r="AK222" i="100" a="1"/>
  <c r="AK140" i="100" a="1"/>
  <c r="AG66" i="100" a="1"/>
  <c r="AI16" i="100" a="1"/>
  <c r="AG6" i="100" a="1"/>
  <c r="AM8" i="100" a="1"/>
  <c r="AI10" i="100" a="1"/>
  <c r="AM14" i="100" a="1"/>
  <c r="AM4" i="100" a="1"/>
  <c r="AM286" i="100" a="1"/>
  <c r="AM228" i="100" a="1"/>
  <c r="AK166" i="100" a="1"/>
  <c r="AG104" i="100" a="1"/>
  <c r="AO212" i="100" a="1"/>
  <c r="AN154" i="100" a="1"/>
  <c r="AK110" i="100" a="1"/>
  <c r="AJ256" i="100" a="1"/>
  <c r="AO240" i="100" a="1"/>
  <c r="AG270" i="100" a="1"/>
  <c r="AM274" i="100" a="1"/>
  <c r="AK124" i="100" a="1"/>
  <c r="AG140" i="100" a="1"/>
  <c r="AH238" i="100" a="1"/>
  <c r="AM62" i="100" a="1"/>
  <c r="AM218" i="100" a="1"/>
  <c r="AO182" i="100" a="1"/>
  <c r="AG20" i="100" a="1"/>
  <c r="AH166" i="100" a="1"/>
  <c r="AK72" i="100" a="1"/>
  <c r="AO132" i="100" a="1"/>
  <c r="AN244" i="100" a="1"/>
  <c r="AO166" i="100" a="1"/>
  <c r="AN166" i="100" a="1"/>
  <c r="AM36" i="100" a="1"/>
  <c r="AK82" i="100" a="1"/>
  <c r="AM6" i="100" a="1"/>
  <c r="AG108" i="100" a="1"/>
  <c r="AH214" i="100" a="1"/>
  <c r="AK50" i="100" a="1"/>
  <c r="AM86" i="100" a="1"/>
  <c r="AK208" i="100" a="1"/>
  <c r="AI118" i="100" a="1"/>
  <c r="AJ100" i="100" a="1"/>
  <c r="AO44" i="100" a="1"/>
  <c r="AK146" i="100" a="1"/>
  <c r="AN100" i="100" a="1"/>
  <c r="AJ124" i="100" a="1"/>
  <c r="AH28" i="100" a="1"/>
  <c r="AM54" i="100" a="1"/>
  <c r="AG132" i="100" a="1"/>
  <c r="AI244" i="100" a="1"/>
  <c r="AI262" i="100" a="1"/>
  <c r="AO4" i="100" a="1"/>
  <c r="AN88" i="100" a="1"/>
  <c r="AG218" i="100" a="1"/>
  <c r="AM32" i="100" a="1"/>
  <c r="AH94" i="100" a="1"/>
  <c r="AG212" i="100" a="1"/>
  <c r="AG208" i="100" a="1"/>
  <c r="AI40" i="100" a="1"/>
  <c r="AK184" i="100" a="1"/>
  <c r="AG54" i="100" a="1"/>
  <c r="AO206" i="100" a="1"/>
  <c r="AO220" i="100" a="1"/>
  <c r="AG4" i="100" a="1"/>
  <c r="AN118" i="100" a="1"/>
  <c r="AK172" i="100" a="1"/>
  <c r="AM260" i="100" a="1"/>
  <c r="AL46" i="100" a="1"/>
  <c r="AL136" i="100" a="1"/>
  <c r="AK136" i="100" a="1"/>
  <c r="AP244" i="100" a="1"/>
  <c r="AG120" i="100" a="1"/>
  <c r="AM200" i="100" a="1"/>
  <c r="AN28" i="100" a="1"/>
  <c r="AG88" i="100" a="1"/>
  <c r="AL64" i="100" a="1"/>
  <c r="AK6" i="100" a="1"/>
  <c r="AM260" i="99" a="1"/>
  <c r="AK258" i="99" a="1"/>
  <c r="AI250" i="99" a="1"/>
  <c r="AM250" i="99" a="1"/>
  <c r="AG260" i="99" a="1"/>
  <c r="AK252" i="99" a="1"/>
  <c r="AM254" i="99" a="1"/>
  <c r="AK270" i="99" a="1"/>
  <c r="AI268" i="99" a="1"/>
  <c r="AK262" i="99" a="1"/>
  <c r="AP268" i="99" a="1"/>
  <c r="AH250" i="99" a="1"/>
  <c r="AG258" i="99" a="1"/>
  <c r="AM264" i="99" a="1"/>
  <c r="AP262" i="99" a="1"/>
  <c r="AO268" i="99" a="1"/>
  <c r="AJ256" i="99" a="1"/>
  <c r="AG270" i="99" a="1"/>
  <c r="AK250" i="99" a="1"/>
  <c r="AP256" i="99" a="1"/>
  <c r="AG264" i="99" a="1"/>
  <c r="AP250" i="99" a="1"/>
  <c r="AM272" i="99" a="1"/>
  <c r="AJ250" i="99" a="1"/>
  <c r="AM252" i="99" a="1"/>
  <c r="AH256" i="99" a="1"/>
  <c r="AH268" i="99" a="1"/>
  <c r="AO272" i="99" a="1"/>
  <c r="AK266" i="99" a="1"/>
  <c r="AJ262" i="99" a="1"/>
  <c r="AI256" i="99" a="1"/>
  <c r="AO260" i="99" a="1"/>
  <c r="AO254" i="99" a="1"/>
  <c r="AK260" i="99" a="1"/>
  <c r="AG250" i="99" a="1"/>
  <c r="AG272" i="99" a="1"/>
  <c r="AO256" i="99" a="1"/>
  <c r="AG262" i="99" a="1"/>
  <c r="AO262" i="99" a="1"/>
  <c r="AG254" i="99" a="1"/>
  <c r="AK264" i="99" a="1"/>
  <c r="AL256" i="99" a="1"/>
  <c r="AK272" i="99" a="1"/>
  <c r="AG266" i="99" a="1"/>
  <c r="AG256" i="99" a="1"/>
  <c r="AO266" i="99" a="1"/>
  <c r="AK254" i="99" a="1"/>
  <c r="AK256" i="99" a="1"/>
  <c r="AM256" i="99" a="1"/>
  <c r="AO250" i="99" a="1"/>
  <c r="AL268" i="99" a="1"/>
  <c r="AI262" i="99" a="1"/>
  <c r="AN268" i="99" a="1"/>
  <c r="AM268" i="99" a="1"/>
  <c r="AK268" i="99" a="1"/>
  <c r="AO252" i="99" a="1"/>
  <c r="AM266" i="99" a="1"/>
  <c r="AN256" i="99" a="1"/>
  <c r="AJ268" i="99" a="1"/>
  <c r="AG252" i="99" a="1"/>
  <c r="AL262" i="99" a="1"/>
  <c r="AO270" i="99" a="1"/>
  <c r="AL250" i="99" a="1"/>
  <c r="AN262" i="99" a="1"/>
  <c r="AO264" i="99" a="1"/>
  <c r="AM270" i="99" a="1"/>
  <c r="AM262" i="99" a="1"/>
  <c r="AO258" i="99" a="1"/>
  <c r="AG268" i="99" a="1"/>
  <c r="AH262" i="99" a="1"/>
  <c r="AN250" i="99" a="1"/>
  <c r="AM258" i="99" a="1"/>
  <c r="AN268" i="98" a="1"/>
  <c r="AI256" i="98" a="1"/>
  <c r="AN250" i="98" a="1"/>
  <c r="AH262" i="98" a="1"/>
  <c r="AK272" i="98" a="1"/>
  <c r="AL256" i="98" a="1"/>
  <c r="AM258" i="98" a="1"/>
  <c r="AO250" i="98" a="1"/>
  <c r="AG272" i="98" a="1"/>
  <c r="AG252" i="98" a="1"/>
  <c r="AK268" i="98" a="1"/>
  <c r="AL250" i="98" a="1"/>
  <c r="AO252" i="98" a="1"/>
  <c r="AM252" i="98" a="1"/>
  <c r="AJ250" i="98" a="1"/>
  <c r="AH250" i="98" a="1"/>
  <c r="AK252" i="98" a="1"/>
  <c r="AK250" i="98" a="1"/>
  <c r="AM268" i="98" a="1"/>
  <c r="AK256" i="98" a="1"/>
  <c r="AG264" i="98" a="1"/>
  <c r="AM256" i="98" a="1"/>
  <c r="AM262" i="98" a="1"/>
  <c r="AO258" i="98" a="1"/>
  <c r="AO260" i="98" a="1"/>
  <c r="AI268" i="98" a="1"/>
  <c r="AO262" i="98" a="1"/>
  <c r="AO256" i="98" a="1"/>
  <c r="AO270" i="98" a="1"/>
  <c r="AL268" i="98" a="1"/>
  <c r="AP268" i="98" a="1"/>
  <c r="AM250" i="98" a="1"/>
  <c r="AJ262" i="98" a="1"/>
  <c r="AG262" i="98" a="1"/>
  <c r="AK258" i="98" a="1"/>
  <c r="AM272" i="98" a="1"/>
  <c r="AH256" i="98" a="1"/>
  <c r="AM270" i="98" a="1"/>
  <c r="AP256" i="98" a="1"/>
  <c r="AG270" i="98" a="1"/>
  <c r="AK260" i="98" a="1"/>
  <c r="AM254" i="98" a="1"/>
  <c r="AM264" i="98" a="1"/>
  <c r="AK270" i="98" a="1"/>
  <c r="AJ256" i="98" a="1"/>
  <c r="AL262" i="98" a="1"/>
  <c r="AG250" i="98" a="1"/>
  <c r="AG260" i="98" a="1"/>
  <c r="AO266" i="98" a="1"/>
  <c r="AJ268" i="98" a="1"/>
  <c r="AN262" i="98" a="1"/>
  <c r="AI262" i="98" a="1"/>
  <c r="AO254" i="98" a="1"/>
  <c r="AI250" i="98" a="1"/>
  <c r="AH268" i="98" a="1"/>
  <c r="AG258" i="98" a="1"/>
  <c r="AG254" i="98" a="1"/>
  <c r="AG266" i="98" a="1"/>
  <c r="AG256" i="98" a="1"/>
  <c r="AM260" i="98" a="1"/>
  <c r="AO268" i="98" a="1"/>
  <c r="AK266" i="98" a="1"/>
  <c r="AP250" i="98" a="1"/>
  <c r="AP262" i="98" a="1"/>
  <c r="AO272" i="98" a="1"/>
  <c r="AK262" i="98" a="1"/>
  <c r="AK264" i="98" a="1"/>
  <c r="AO264" i="98" a="1"/>
  <c r="AN256" i="98" a="1"/>
  <c r="AM266" i="98" a="1"/>
  <c r="AK254" i="98" a="1"/>
  <c r="Z476" i="99" l="1"/>
  <c r="Z487" i="99"/>
  <c r="Z431" i="99"/>
  <c r="Z440" i="99"/>
  <c r="Z458" i="99"/>
  <c r="AG326" i="98"/>
  <c r="AG170" i="98"/>
  <c r="AG4" i="98"/>
  <c r="AG392" i="98"/>
  <c r="AG298" i="98"/>
  <c r="AG108" i="98"/>
  <c r="AG198" i="98"/>
  <c r="AG382" i="98"/>
  <c r="AG286" i="98"/>
  <c r="AG368" i="98"/>
  <c r="AG140" i="98"/>
  <c r="AG214" i="98"/>
  <c r="AG358" i="98"/>
  <c r="AG182" i="98"/>
  <c r="AG314" i="98"/>
  <c r="AG296" i="98"/>
  <c r="AG236" i="98"/>
  <c r="AG364" i="98"/>
  <c r="AG104" i="98"/>
  <c r="AG206" i="98"/>
  <c r="AG398" i="98"/>
  <c r="AG30" i="98"/>
  <c r="AG366" i="98"/>
  <c r="AG256" i="98"/>
  <c r="AG384" i="98"/>
  <c r="AG188" i="98"/>
  <c r="AG128" i="98"/>
  <c r="AG14" i="98"/>
  <c r="AG274" i="98"/>
  <c r="AG166" i="98"/>
  <c r="AG82" i="98"/>
  <c r="AG72" i="98"/>
  <c r="AG84" i="98"/>
  <c r="AG260" i="98"/>
  <c r="AG388" i="98"/>
  <c r="AG94" i="98"/>
  <c r="AG374" i="98"/>
  <c r="AG252" i="98"/>
  <c r="AG22" i="98"/>
  <c r="AG400" i="98"/>
  <c r="AG66" i="98"/>
  <c r="AG344" i="98"/>
  <c r="AG404" i="98"/>
  <c r="AG262" i="98"/>
  <c r="AG390" i="98"/>
  <c r="AG136" i="98"/>
  <c r="AG346" i="98"/>
  <c r="AG86" i="98"/>
  <c r="AG396" i="98"/>
  <c r="AG10" i="98"/>
  <c r="AG270" i="98"/>
  <c r="AG24" i="98"/>
  <c r="AG142" i="98"/>
  <c r="AG112" i="98"/>
  <c r="AG288" i="98"/>
  <c r="AG230" i="98"/>
  <c r="AG16" i="98"/>
  <c r="AG240" i="98"/>
  <c r="AG98" i="98"/>
  <c r="AG322" i="98"/>
  <c r="AG58" i="98"/>
  <c r="AG130" i="98"/>
  <c r="AG154" i="98"/>
  <c r="AG132" i="98"/>
  <c r="AG292" i="98"/>
  <c r="AG102" i="98"/>
  <c r="AG20" i="98"/>
  <c r="AG330" i="98"/>
  <c r="AG238" i="98"/>
  <c r="AG272" i="98"/>
  <c r="AG306" i="98"/>
  <c r="AG116" i="98"/>
  <c r="AG6" i="98"/>
  <c r="AG284" i="98"/>
  <c r="AG38" i="98"/>
  <c r="AG302" i="98"/>
  <c r="AG312" i="98"/>
  <c r="AG174" i="98"/>
  <c r="AG144" i="98"/>
  <c r="AG304" i="98"/>
  <c r="AG40" i="98"/>
  <c r="AG32" i="98"/>
  <c r="AG134" i="98"/>
  <c r="AG146" i="98"/>
  <c r="AG338" i="98"/>
  <c r="AG202" i="98"/>
  <c r="AG162" i="98"/>
  <c r="AG12" i="98"/>
  <c r="AG164" i="98"/>
  <c r="AG308" i="98"/>
  <c r="AG120" i="98"/>
  <c r="AG52" i="98"/>
  <c r="AG150" i="98"/>
  <c r="AG380" i="98"/>
  <c r="AG126" i="98"/>
  <c r="AG176" i="98"/>
  <c r="AG184" i="98"/>
  <c r="AG34" i="98"/>
  <c r="AG232" i="98"/>
  <c r="AG88" i="98"/>
  <c r="AG122" i="98"/>
  <c r="AG294" i="98"/>
  <c r="AG248" i="98"/>
  <c r="AG138" i="98"/>
  <c r="AG378" i="98"/>
  <c r="AG280" i="98"/>
  <c r="AG300" i="98"/>
  <c r="AG8" i="98"/>
  <c r="AG44" i="98"/>
  <c r="AG318" i="98"/>
  <c r="AG74" i="98"/>
  <c r="AG190" i="98"/>
  <c r="AG160" i="98"/>
  <c r="AG320" i="98"/>
  <c r="AG168" i="98"/>
  <c r="AG48" i="98"/>
  <c r="AG152" i="98"/>
  <c r="AG178" i="98"/>
  <c r="AG354" i="98"/>
  <c r="AG76" i="98"/>
  <c r="AG194" i="98"/>
  <c r="AG124" i="98"/>
  <c r="AG180" i="98"/>
  <c r="AG324" i="98"/>
  <c r="AG264" i="98"/>
  <c r="AG68" i="98"/>
  <c r="AG246" i="98"/>
  <c r="AG266" i="98"/>
  <c r="AG200" i="98"/>
  <c r="AG70" i="98"/>
  <c r="AG78" i="98"/>
  <c r="AG114" i="98"/>
  <c r="AG276" i="98"/>
  <c r="AG278" i="98"/>
  <c r="AG362" i="98"/>
  <c r="AG310" i="98"/>
  <c r="AG360" i="98"/>
  <c r="AG250" i="98"/>
  <c r="AG394" i="98"/>
  <c r="AG42" i="98"/>
  <c r="AG316" i="98"/>
  <c r="AG328" i="98"/>
  <c r="AG204" i="98"/>
  <c r="AG334" i="98"/>
  <c r="AG186" i="98"/>
  <c r="AG222" i="98"/>
  <c r="AG192" i="98"/>
  <c r="AG336" i="98"/>
  <c r="AG26" i="98"/>
  <c r="AG64" i="98"/>
  <c r="AG216" i="98"/>
  <c r="AG210" i="98"/>
  <c r="AG370" i="98"/>
  <c r="AG156" i="98"/>
  <c r="AG226" i="98"/>
  <c r="AG46" i="98"/>
  <c r="AG196" i="98"/>
  <c r="AG340" i="98"/>
  <c r="AG90" i="98"/>
  <c r="AG100" i="98"/>
  <c r="AG376" i="98"/>
  <c r="AG54" i="98"/>
  <c r="AG332" i="98"/>
  <c r="AG92" i="98"/>
  <c r="AG110" i="98"/>
  <c r="AG350" i="98"/>
  <c r="AG60" i="98"/>
  <c r="AG254" i="98"/>
  <c r="AG208" i="98"/>
  <c r="AG352" i="98"/>
  <c r="AG106" i="98"/>
  <c r="AG80" i="98"/>
  <c r="AG218" i="98"/>
  <c r="AG242" i="98"/>
  <c r="AG386" i="98"/>
  <c r="AG62" i="98"/>
  <c r="AG290" i="98"/>
  <c r="AG18" i="98"/>
  <c r="AG228" i="98"/>
  <c r="AG356" i="98"/>
  <c r="AG234" i="98"/>
  <c r="AG148" i="98"/>
  <c r="AG282" i="98"/>
  <c r="AG342" i="98"/>
  <c r="AG56" i="98"/>
  <c r="AG348" i="98"/>
  <c r="AG158" i="98"/>
  <c r="AG220" i="98"/>
  <c r="AG224" i="98"/>
  <c r="AG28" i="98"/>
  <c r="AG96" i="98"/>
  <c r="AG258" i="98"/>
  <c r="AG402" i="98"/>
  <c r="AG50" i="98"/>
  <c r="AG118" i="98"/>
  <c r="AG36" i="98"/>
  <c r="AG244" i="98"/>
  <c r="AG372" i="98"/>
  <c r="AG172" i="98"/>
  <c r="AG212" i="98"/>
  <c r="Z476" i="98"/>
  <c r="Z308" i="100"/>
  <c r="Z326" i="100"/>
  <c r="Z299" i="100"/>
  <c r="Z317" i="100"/>
  <c r="Z335" i="100"/>
  <c r="Z346" i="100"/>
  <c r="AO6" i="100"/>
  <c r="AI40" i="100"/>
  <c r="AM4" i="100"/>
  <c r="AK14" i="100"/>
  <c r="AP16" i="100"/>
  <c r="AK22" i="100"/>
  <c r="AG32" i="100"/>
  <c r="AP40" i="100"/>
  <c r="AK46" i="100"/>
  <c r="AO4" i="100"/>
  <c r="AM14" i="100"/>
  <c r="AK38" i="100"/>
  <c r="AP4" i="100"/>
  <c r="AG10" i="100"/>
  <c r="AK12" i="100"/>
  <c r="AO20" i="100"/>
  <c r="AM38" i="100"/>
  <c r="AO44" i="100"/>
  <c r="AI10" i="100"/>
  <c r="AM12" i="100"/>
  <c r="AG30" i="100"/>
  <c r="AJ10" i="100"/>
  <c r="AK36" i="100"/>
  <c r="AG8" i="100"/>
  <c r="AN10" i="100"/>
  <c r="AM36" i="100"/>
  <c r="AM8" i="100"/>
  <c r="AO10" i="100"/>
  <c r="AO18" i="100"/>
  <c r="AL28" i="100"/>
  <c r="AG34" i="100"/>
  <c r="AO42" i="100"/>
  <c r="AO8" i="100"/>
  <c r="AG4" i="100"/>
  <c r="AG6" i="100"/>
  <c r="AH16" i="100"/>
  <c r="AM28" i="100"/>
  <c r="AN34" i="100"/>
  <c r="AH4" i="100"/>
  <c r="AH40" i="100"/>
  <c r="AL4" i="100"/>
  <c r="AM6" i="100"/>
  <c r="AI16" i="100"/>
  <c r="AJ22" i="100"/>
  <c r="AO34" i="100"/>
  <c r="AJ46" i="100"/>
  <c r="AL52" i="100"/>
  <c r="AO58" i="100"/>
  <c r="AO60" i="100"/>
  <c r="AL64" i="100"/>
  <c r="AG66" i="100"/>
  <c r="AK68" i="100"/>
  <c r="AI70" i="100"/>
  <c r="AG112" i="100"/>
  <c r="AK126" i="100"/>
  <c r="AI130" i="100"/>
  <c r="AG134" i="100"/>
  <c r="AK136" i="100"/>
  <c r="AK140" i="100"/>
  <c r="AO150" i="100"/>
  <c r="AK154" i="100"/>
  <c r="AG156" i="100"/>
  <c r="AM160" i="100"/>
  <c r="AM178" i="100"/>
  <c r="AO184" i="100"/>
  <c r="AG208" i="100"/>
  <c r="AK222" i="100"/>
  <c r="AI226" i="100"/>
  <c r="AG230" i="100"/>
  <c r="AK232" i="100"/>
  <c r="AK236" i="100"/>
  <c r="AG242" i="100"/>
  <c r="AH244" i="100"/>
  <c r="AI262" i="100"/>
  <c r="AN76" i="100"/>
  <c r="AK78" i="100"/>
  <c r="AK80" i="100"/>
  <c r="AH82" i="100"/>
  <c r="AP94" i="100"/>
  <c r="AO96" i="100"/>
  <c r="AO98" i="100"/>
  <c r="AJ100" i="100"/>
  <c r="AH118" i="100"/>
  <c r="AN124" i="100"/>
  <c r="AM128" i="100"/>
  <c r="AG138" i="100"/>
  <c r="AL142" i="100"/>
  <c r="AP148" i="100"/>
  <c r="AM162" i="100"/>
  <c r="AN166" i="100"/>
  <c r="AK168" i="100"/>
  <c r="AK170" i="100"/>
  <c r="AH172" i="100"/>
  <c r="AP190" i="100"/>
  <c r="AO192" i="100"/>
  <c r="AO194" i="100"/>
  <c r="AJ196" i="100"/>
  <c r="AH214" i="100"/>
  <c r="AN220" i="100"/>
  <c r="AM224" i="100"/>
  <c r="AG234" i="100"/>
  <c r="AL238" i="100"/>
  <c r="AK248" i="100"/>
  <c r="AJ250" i="100"/>
  <c r="AM52" i="100"/>
  <c r="AG54" i="100"/>
  <c r="AG56" i="100"/>
  <c r="AG58" i="100"/>
  <c r="AP58" i="100"/>
  <c r="AM64" i="100"/>
  <c r="AK66" i="100"/>
  <c r="AM68" i="100"/>
  <c r="AK70" i="100"/>
  <c r="AG88" i="100"/>
  <c r="AG94" i="100"/>
  <c r="AH106" i="100"/>
  <c r="AJ112" i="100"/>
  <c r="AG116" i="100"/>
  <c r="AM126" i="100"/>
  <c r="AJ130" i="100"/>
  <c r="AO134" i="100"/>
  <c r="AL136" i="100"/>
  <c r="AM140" i="100"/>
  <c r="AL154" i="100"/>
  <c r="AO156" i="100"/>
  <c r="AN160" i="100"/>
  <c r="AP178" i="100"/>
  <c r="AH202" i="100"/>
  <c r="AJ208" i="100"/>
  <c r="AG212" i="100"/>
  <c r="AM222" i="100"/>
  <c r="AJ226" i="100"/>
  <c r="AO230" i="100"/>
  <c r="AL232" i="100"/>
  <c r="AM236" i="100"/>
  <c r="AG240" i="100"/>
  <c r="AK242" i="100"/>
  <c r="AI244" i="100"/>
  <c r="AO76" i="100"/>
  <c r="AM78" i="100"/>
  <c r="AM80" i="100"/>
  <c r="AI82" i="100"/>
  <c r="AI88" i="100"/>
  <c r="AK100" i="100"/>
  <c r="AK104" i="100"/>
  <c r="AI118" i="100"/>
  <c r="AO124" i="100"/>
  <c r="AO128" i="100"/>
  <c r="AK138" i="100"/>
  <c r="AM142" i="100"/>
  <c r="AG144" i="100"/>
  <c r="AG146" i="100"/>
  <c r="AG148" i="100"/>
  <c r="AO166" i="100"/>
  <c r="AM168" i="100"/>
  <c r="AM170" i="100"/>
  <c r="AI172" i="100"/>
  <c r="AG190" i="100"/>
  <c r="AK196" i="100"/>
  <c r="AK200" i="100"/>
  <c r="AI214" i="100"/>
  <c r="AO220" i="100"/>
  <c r="AO224" i="100"/>
  <c r="AK234" i="100"/>
  <c r="AM238" i="100"/>
  <c r="AK246" i="100"/>
  <c r="AM248" i="100"/>
  <c r="AK250" i="100"/>
  <c r="AN4" i="100"/>
  <c r="AK6" i="100"/>
  <c r="AK8" i="100"/>
  <c r="AH10" i="100"/>
  <c r="AP10" i="100"/>
  <c r="AO12" i="100"/>
  <c r="AO14" i="100"/>
  <c r="AJ16" i="100"/>
  <c r="AL22" i="100"/>
  <c r="AN28" i="100"/>
  <c r="AK30" i="100"/>
  <c r="AK32" i="100"/>
  <c r="AH34" i="100"/>
  <c r="AP34" i="100"/>
  <c r="AO36" i="100"/>
  <c r="AO38" i="100"/>
  <c r="AJ40" i="100"/>
  <c r="AL46" i="100"/>
  <c r="AN52" i="100"/>
  <c r="AK54" i="100"/>
  <c r="AK56" i="100"/>
  <c r="AH58" i="100"/>
  <c r="AN64" i="100"/>
  <c r="AM66" i="100"/>
  <c r="AL70" i="100"/>
  <c r="AH94" i="100"/>
  <c r="AK102" i="100"/>
  <c r="AI106" i="100"/>
  <c r="AG110" i="100"/>
  <c r="AK112" i="100"/>
  <c r="AK116" i="100"/>
  <c r="AO126" i="100"/>
  <c r="AK130" i="100"/>
  <c r="AG132" i="100"/>
  <c r="AM136" i="100"/>
  <c r="AM154" i="100"/>
  <c r="AO160" i="100"/>
  <c r="AG184" i="100"/>
  <c r="AK198" i="100"/>
  <c r="AI202" i="100"/>
  <c r="AG206" i="100"/>
  <c r="AK208" i="100"/>
  <c r="AK212" i="100"/>
  <c r="AO222" i="100"/>
  <c r="AK226" i="100"/>
  <c r="AG228" i="100"/>
  <c r="AM232" i="100"/>
  <c r="AK240" i="100"/>
  <c r="AM242" i="100"/>
  <c r="AN244" i="100"/>
  <c r="AP76" i="100"/>
  <c r="AO78" i="100"/>
  <c r="AO80" i="100"/>
  <c r="AJ82" i="100"/>
  <c r="AG86" i="100"/>
  <c r="AJ88" i="100"/>
  <c r="AG92" i="100"/>
  <c r="AN100" i="100"/>
  <c r="AM104" i="100"/>
  <c r="AG114" i="100"/>
  <c r="AL118" i="100"/>
  <c r="AP124" i="100"/>
  <c r="AM138" i="100"/>
  <c r="AN142" i="100"/>
  <c r="AK144" i="100"/>
  <c r="AK146" i="100"/>
  <c r="AH148" i="100"/>
  <c r="AP166" i="100"/>
  <c r="AO168" i="100"/>
  <c r="AO170" i="100"/>
  <c r="AJ172" i="100"/>
  <c r="AH190" i="100"/>
  <c r="AN196" i="100"/>
  <c r="AM200" i="100"/>
  <c r="AG210" i="100"/>
  <c r="AL214" i="100"/>
  <c r="AP220" i="100"/>
  <c r="AM234" i="100"/>
  <c r="AN238" i="100"/>
  <c r="AM246" i="100"/>
  <c r="AO248" i="100"/>
  <c r="AM260" i="100"/>
  <c r="AK16" i="100"/>
  <c r="AM22" i="100"/>
  <c r="AG24" i="100"/>
  <c r="AG26" i="100"/>
  <c r="AG28" i="100"/>
  <c r="AO28" i="100"/>
  <c r="AM30" i="100"/>
  <c r="AM32" i="100"/>
  <c r="AI34" i="100"/>
  <c r="AK40" i="100"/>
  <c r="AM46" i="100"/>
  <c r="AG48" i="100"/>
  <c r="AG50" i="100"/>
  <c r="AG52" i="100"/>
  <c r="AO52" i="100"/>
  <c r="AM54" i="100"/>
  <c r="AM56" i="100"/>
  <c r="AI58" i="100"/>
  <c r="AO64" i="100"/>
  <c r="AM70" i="100"/>
  <c r="AG72" i="100"/>
  <c r="AG74" i="100"/>
  <c r="AG76" i="100"/>
  <c r="AM86" i="100"/>
  <c r="AI94" i="100"/>
  <c r="AM102" i="100"/>
  <c r="AJ106" i="100"/>
  <c r="AO110" i="100"/>
  <c r="AL112" i="100"/>
  <c r="AM116" i="100"/>
  <c r="AL130" i="100"/>
  <c r="AO132" i="100"/>
  <c r="AN136" i="100"/>
  <c r="AP154" i="100"/>
  <c r="AH178" i="100"/>
  <c r="AJ184" i="100"/>
  <c r="AG188" i="100"/>
  <c r="AM198" i="100"/>
  <c r="AJ202" i="100"/>
  <c r="AO206" i="100"/>
  <c r="AL208" i="100"/>
  <c r="AM212" i="100"/>
  <c r="AL226" i="100"/>
  <c r="AO228" i="100"/>
  <c r="AN232" i="100"/>
  <c r="AM240" i="100"/>
  <c r="AO244" i="100"/>
  <c r="AK82" i="100"/>
  <c r="AK88" i="100"/>
  <c r="AK92" i="100"/>
  <c r="AK94" i="100"/>
  <c r="AO100" i="100"/>
  <c r="AO104" i="100"/>
  <c r="AK114" i="100"/>
  <c r="AM118" i="100"/>
  <c r="AG120" i="100"/>
  <c r="AG122" i="100"/>
  <c r="AG124" i="100"/>
  <c r="AO142" i="100"/>
  <c r="AM144" i="100"/>
  <c r="AM146" i="100"/>
  <c r="AI148" i="100"/>
  <c r="AG166" i="100"/>
  <c r="AK172" i="100"/>
  <c r="AK176" i="100"/>
  <c r="AI190" i="100"/>
  <c r="AO196" i="100"/>
  <c r="AO200" i="100"/>
  <c r="AK210" i="100"/>
  <c r="AM214" i="100"/>
  <c r="AG216" i="100"/>
  <c r="AG218" i="100"/>
  <c r="AG220" i="100"/>
  <c r="AO238" i="100"/>
  <c r="AO246" i="100"/>
  <c r="AL16" i="100"/>
  <c r="AN22" i="100"/>
  <c r="AK24" i="100"/>
  <c r="AK26" i="100"/>
  <c r="AH28" i="100"/>
  <c r="AP28" i="100"/>
  <c r="AO30" i="100"/>
  <c r="AO32" i="100"/>
  <c r="AJ34" i="100"/>
  <c r="AL40" i="100"/>
  <c r="AN46" i="100"/>
  <c r="AK48" i="100"/>
  <c r="AK50" i="100"/>
  <c r="AH52" i="100"/>
  <c r="AP52" i="100"/>
  <c r="AO54" i="100"/>
  <c r="AO56" i="100"/>
  <c r="AJ58" i="100"/>
  <c r="AG64" i="100"/>
  <c r="AN70" i="100"/>
  <c r="AK72" i="100"/>
  <c r="AK74" i="100"/>
  <c r="AH76" i="100"/>
  <c r="AG84" i="100"/>
  <c r="AO86" i="100"/>
  <c r="AG90" i="100"/>
  <c r="AO102" i="100"/>
  <c r="AK106" i="100"/>
  <c r="AG108" i="100"/>
  <c r="AM112" i="100"/>
  <c r="AM130" i="100"/>
  <c r="AO136" i="100"/>
  <c r="AG160" i="100"/>
  <c r="AK174" i="100"/>
  <c r="AI178" i="100"/>
  <c r="AG182" i="100"/>
  <c r="AK184" i="100"/>
  <c r="AK188" i="100"/>
  <c r="AO198" i="100"/>
  <c r="AK202" i="100"/>
  <c r="AG204" i="100"/>
  <c r="AM208" i="100"/>
  <c r="AM226" i="100"/>
  <c r="AO232" i="100"/>
  <c r="AP244" i="100"/>
  <c r="AL82" i="100"/>
  <c r="AM84" i="100"/>
  <c r="AL88" i="100"/>
  <c r="AM92" i="100"/>
  <c r="AL94" i="100"/>
  <c r="AP100" i="100"/>
  <c r="AM114" i="100"/>
  <c r="AN118" i="100"/>
  <c r="AK120" i="100"/>
  <c r="AK122" i="100"/>
  <c r="AH124" i="100"/>
  <c r="AP142" i="100"/>
  <c r="AO144" i="100"/>
  <c r="AO146" i="100"/>
  <c r="AJ148" i="100"/>
  <c r="AH166" i="100"/>
  <c r="AN172" i="100"/>
  <c r="AM176" i="100"/>
  <c r="AG186" i="100"/>
  <c r="AL190" i="100"/>
  <c r="AP196" i="100"/>
  <c r="AM210" i="100"/>
  <c r="AN214" i="100"/>
  <c r="AK216" i="100"/>
  <c r="AK218" i="100"/>
  <c r="AH220" i="100"/>
  <c r="AP238" i="100"/>
  <c r="AI4" i="100"/>
  <c r="AK10" i="100"/>
  <c r="AM16" i="100"/>
  <c r="AG18" i="100"/>
  <c r="AG20" i="100"/>
  <c r="AG22" i="100"/>
  <c r="AO22" i="100"/>
  <c r="AM24" i="100"/>
  <c r="AM26" i="100"/>
  <c r="AI28" i="100"/>
  <c r="AK34" i="100"/>
  <c r="AM40" i="100"/>
  <c r="AG42" i="100"/>
  <c r="AG44" i="100"/>
  <c r="AG46" i="100"/>
  <c r="AO46" i="100"/>
  <c r="AM48" i="100"/>
  <c r="AM50" i="100"/>
  <c r="AI52" i="100"/>
  <c r="AK58" i="100"/>
  <c r="AG62" i="100"/>
  <c r="AI64" i="100"/>
  <c r="AO70" i="100"/>
  <c r="AM72" i="100"/>
  <c r="AM74" i="100"/>
  <c r="AI76" i="100"/>
  <c r="AK90" i="100"/>
  <c r="AL106" i="100"/>
  <c r="AO108" i="100"/>
  <c r="AN112" i="100"/>
  <c r="AP130" i="100"/>
  <c r="AH154" i="100"/>
  <c r="AJ160" i="100"/>
  <c r="AG164" i="100"/>
  <c r="AM174" i="100"/>
  <c r="AJ178" i="100"/>
  <c r="AO182" i="100"/>
  <c r="AL184" i="100"/>
  <c r="AM188" i="100"/>
  <c r="AL202" i="100"/>
  <c r="AO204" i="100"/>
  <c r="AN208" i="100"/>
  <c r="AP226" i="100"/>
  <c r="AM258" i="100"/>
  <c r="AM82" i="100"/>
  <c r="AO84" i="100"/>
  <c r="AM88" i="100"/>
  <c r="AM94" i="100"/>
  <c r="AG96" i="100"/>
  <c r="AG98" i="100"/>
  <c r="AG100" i="100"/>
  <c r="AO118" i="100"/>
  <c r="AM120" i="100"/>
  <c r="AM122" i="100"/>
  <c r="AI124" i="100"/>
  <c r="AG142" i="100"/>
  <c r="AK148" i="100"/>
  <c r="AK152" i="100"/>
  <c r="AI166" i="100"/>
  <c r="AO172" i="100"/>
  <c r="AO176" i="100"/>
  <c r="AK186" i="100"/>
  <c r="AM190" i="100"/>
  <c r="AG192" i="100"/>
  <c r="AG194" i="100"/>
  <c r="AG196" i="100"/>
  <c r="AO214" i="100"/>
  <c r="AM216" i="100"/>
  <c r="AM218" i="100"/>
  <c r="AI220" i="100"/>
  <c r="AG238" i="100"/>
  <c r="AJ4" i="100"/>
  <c r="AL10" i="100"/>
  <c r="AN16" i="100"/>
  <c r="AK18" i="100"/>
  <c r="AK20" i="100"/>
  <c r="AH22" i="100"/>
  <c r="AP22" i="100"/>
  <c r="AO24" i="100"/>
  <c r="AO26" i="100"/>
  <c r="AJ28" i="100"/>
  <c r="AL34" i="100"/>
  <c r="AN40" i="100"/>
  <c r="AK42" i="100"/>
  <c r="AK44" i="100"/>
  <c r="AH46" i="100"/>
  <c r="AP46" i="100"/>
  <c r="AO48" i="100"/>
  <c r="AO50" i="100"/>
  <c r="AJ52" i="100"/>
  <c r="AL58" i="100"/>
  <c r="AG60" i="100"/>
  <c r="AM62" i="100"/>
  <c r="AJ64" i="100"/>
  <c r="AG70" i="100"/>
  <c r="AP70" i="100"/>
  <c r="AO72" i="100"/>
  <c r="AO74" i="100"/>
  <c r="AJ76" i="100"/>
  <c r="AO82" i="100"/>
  <c r="AM90" i="100"/>
  <c r="AM106" i="100"/>
  <c r="AO112" i="100"/>
  <c r="AG136" i="100"/>
  <c r="AK150" i="100"/>
  <c r="AI154" i="100"/>
  <c r="AG158" i="100"/>
  <c r="AK160" i="100"/>
  <c r="AK164" i="100"/>
  <c r="AO174" i="100"/>
  <c r="AK178" i="100"/>
  <c r="AG180" i="100"/>
  <c r="AM184" i="100"/>
  <c r="AM202" i="100"/>
  <c r="AO208" i="100"/>
  <c r="AG232" i="100"/>
  <c r="AN88" i="100"/>
  <c r="AN94" i="100"/>
  <c r="AK96" i="100"/>
  <c r="AK98" i="100"/>
  <c r="AH100" i="100"/>
  <c r="AP118" i="100"/>
  <c r="AO120" i="100"/>
  <c r="AO122" i="100"/>
  <c r="AJ124" i="100"/>
  <c r="AH142" i="100"/>
  <c r="AN148" i="100"/>
  <c r="AM152" i="100"/>
  <c r="AG162" i="100"/>
  <c r="AL166" i="100"/>
  <c r="AP172" i="100"/>
  <c r="AM186" i="100"/>
  <c r="AN190" i="100"/>
  <c r="AK192" i="100"/>
  <c r="AK194" i="100"/>
  <c r="AH196" i="100"/>
  <c r="AP214" i="100"/>
  <c r="AO216" i="100"/>
  <c r="AO218" i="100"/>
  <c r="AJ220" i="100"/>
  <c r="AH238" i="100"/>
  <c r="AN256" i="100"/>
  <c r="AK4" i="100"/>
  <c r="AM10" i="100"/>
  <c r="AG12" i="100"/>
  <c r="AG14" i="100"/>
  <c r="AG16" i="100"/>
  <c r="AO16" i="100"/>
  <c r="AM18" i="100"/>
  <c r="AM20" i="100"/>
  <c r="AI22" i="100"/>
  <c r="AK28" i="100"/>
  <c r="AM34" i="100"/>
  <c r="AG36" i="100"/>
  <c r="AG38" i="100"/>
  <c r="AG40" i="100"/>
  <c r="AO40" i="100"/>
  <c r="AM42" i="100"/>
  <c r="AM44" i="100"/>
  <c r="AI46" i="100"/>
  <c r="AK52" i="100"/>
  <c r="AM58" i="100"/>
  <c r="AM60" i="100"/>
  <c r="AO62" i="100"/>
  <c r="AK64" i="100"/>
  <c r="AG68" i="100"/>
  <c r="AH70" i="100"/>
  <c r="AK76" i="100"/>
  <c r="AP82" i="100"/>
  <c r="AP106" i="100"/>
  <c r="AH130" i="100"/>
  <c r="AJ136" i="100"/>
  <c r="AG140" i="100"/>
  <c r="AM150" i="100"/>
  <c r="AJ154" i="100"/>
  <c r="AO158" i="100"/>
  <c r="AL160" i="100"/>
  <c r="AM164" i="100"/>
  <c r="AL178" i="100"/>
  <c r="AO180" i="100"/>
  <c r="AN184" i="100"/>
  <c r="AP202" i="100"/>
  <c r="AH226" i="100"/>
  <c r="AJ232" i="100"/>
  <c r="AG236" i="100"/>
  <c r="AG244" i="100"/>
  <c r="AM76" i="100"/>
  <c r="AG78" i="100"/>
  <c r="AG80" i="100"/>
  <c r="AG82" i="100"/>
  <c r="AO88" i="100"/>
  <c r="AO94" i="100"/>
  <c r="AM96" i="100"/>
  <c r="AM98" i="100"/>
  <c r="AI100" i="100"/>
  <c r="AG118" i="100"/>
  <c r="AK124" i="100"/>
  <c r="AK128" i="100"/>
  <c r="AI142" i="100"/>
  <c r="AO148" i="100"/>
  <c r="AO152" i="100"/>
  <c r="AK162" i="100"/>
  <c r="AM166" i="100"/>
  <c r="AG168" i="100"/>
  <c r="AG170" i="100"/>
  <c r="AG172" i="100"/>
  <c r="AO190" i="100"/>
  <c r="AM192" i="100"/>
  <c r="AM194" i="100"/>
  <c r="AI196" i="100"/>
  <c r="AG214" i="100"/>
  <c r="AK220" i="100"/>
  <c r="AK224" i="100"/>
  <c r="AI238" i="100"/>
  <c r="AH250" i="100"/>
  <c r="AO256" i="100"/>
  <c r="AG272" i="100"/>
  <c r="AL274" i="100"/>
  <c r="AG276" i="100"/>
  <c r="AK278" i="100"/>
  <c r="AI280" i="100"/>
  <c r="AP286" i="100"/>
  <c r="AK258" i="100"/>
  <c r="AK260" i="100"/>
  <c r="AH262" i="100"/>
  <c r="AK272" i="100"/>
  <c r="AJ280" i="100"/>
  <c r="AI268" i="100"/>
  <c r="AM274" i="100"/>
  <c r="AK276" i="100"/>
  <c r="AM278" i="100"/>
  <c r="AO278" i="100"/>
  <c r="AM280" i="100"/>
  <c r="AG282" i="100"/>
  <c r="AG284" i="100"/>
  <c r="AG286" i="100"/>
  <c r="AJ268" i="100"/>
  <c r="AN274" i="100"/>
  <c r="AM276" i="100"/>
  <c r="AP256" i="100"/>
  <c r="AO258" i="100"/>
  <c r="AO260" i="100"/>
  <c r="AJ262" i="100"/>
  <c r="AM266" i="100"/>
  <c r="AG270" i="100"/>
  <c r="AO276" i="100"/>
  <c r="AN280" i="100"/>
  <c r="AK282" i="100"/>
  <c r="AK284" i="100"/>
  <c r="AH286" i="100"/>
  <c r="AG256" i="100"/>
  <c r="AK268" i="100"/>
  <c r="AK270" i="100"/>
  <c r="AO274" i="100"/>
  <c r="AL250" i="100"/>
  <c r="AG254" i="100"/>
  <c r="AK262" i="100"/>
  <c r="AO266" i="100"/>
  <c r="AP274" i="100"/>
  <c r="AO280" i="100"/>
  <c r="AM282" i="100"/>
  <c r="AM284" i="100"/>
  <c r="AI286" i="100"/>
  <c r="AG252" i="100"/>
  <c r="AH256" i="100"/>
  <c r="AM264" i="100"/>
  <c r="AL268" i="100"/>
  <c r="AM290" i="100"/>
  <c r="AO240" i="100"/>
  <c r="AO242" i="100"/>
  <c r="AJ244" i="100"/>
  <c r="AM250" i="100"/>
  <c r="AK254" i="100"/>
  <c r="AL262" i="100"/>
  <c r="AP280" i="100"/>
  <c r="AO282" i="100"/>
  <c r="AO284" i="100"/>
  <c r="AJ286" i="100"/>
  <c r="AK252" i="100"/>
  <c r="AI256" i="100"/>
  <c r="AO264" i="100"/>
  <c r="AM268" i="100"/>
  <c r="AO290" i="100"/>
  <c r="AK244" i="100"/>
  <c r="AN250" i="100"/>
  <c r="AM254" i="100"/>
  <c r="AO262" i="100"/>
  <c r="AN268" i="100"/>
  <c r="AG274" i="100"/>
  <c r="AK286" i="100"/>
  <c r="AM288" i="100"/>
  <c r="AM252" i="100"/>
  <c r="AJ256" i="100"/>
  <c r="AH274" i="100"/>
  <c r="AG280" i="100"/>
  <c r="AL286" i="100"/>
  <c r="AN58" i="100"/>
  <c r="AK60" i="100"/>
  <c r="AK62" i="100"/>
  <c r="AH64" i="100"/>
  <c r="AP64" i="100"/>
  <c r="AO66" i="100"/>
  <c r="AO68" i="100"/>
  <c r="AJ70" i="100"/>
  <c r="AL76" i="100"/>
  <c r="AN82" i="100"/>
  <c r="AK84" i="100"/>
  <c r="AK86" i="100"/>
  <c r="AH88" i="100"/>
  <c r="AP88" i="100"/>
  <c r="AO90" i="100"/>
  <c r="AO92" i="100"/>
  <c r="AJ94" i="100"/>
  <c r="AL100" i="100"/>
  <c r="AN106" i="100"/>
  <c r="AK108" i="100"/>
  <c r="AK110" i="100"/>
  <c r="AH112" i="100"/>
  <c r="AP112" i="100"/>
  <c r="AO114" i="100"/>
  <c r="AO116" i="100"/>
  <c r="AJ118" i="100"/>
  <c r="AL124" i="100"/>
  <c r="AN130" i="100"/>
  <c r="AK132" i="100"/>
  <c r="AK134" i="100"/>
  <c r="AH136" i="100"/>
  <c r="AP136" i="100"/>
  <c r="AO138" i="100"/>
  <c r="AO140" i="100"/>
  <c r="AJ142" i="100"/>
  <c r="AL148" i="100"/>
  <c r="AN154" i="100"/>
  <c r="AK156" i="100"/>
  <c r="AK158" i="100"/>
  <c r="AH160" i="100"/>
  <c r="AP160" i="100"/>
  <c r="AO162" i="100"/>
  <c r="AO164" i="100"/>
  <c r="AJ166" i="100"/>
  <c r="AL172" i="100"/>
  <c r="AN178" i="100"/>
  <c r="AK180" i="100"/>
  <c r="AK182" i="100"/>
  <c r="AH184" i="100"/>
  <c r="AP184" i="100"/>
  <c r="AO186" i="100"/>
  <c r="AO188" i="100"/>
  <c r="AJ190" i="100"/>
  <c r="AL196" i="100"/>
  <c r="AN202" i="100"/>
  <c r="AK204" i="100"/>
  <c r="AK206" i="100"/>
  <c r="AH208" i="100"/>
  <c r="AP208" i="100"/>
  <c r="AO210" i="100"/>
  <c r="AO212" i="100"/>
  <c r="AJ214" i="100"/>
  <c r="AL220" i="100"/>
  <c r="AN226" i="100"/>
  <c r="AK228" i="100"/>
  <c r="AK230" i="100"/>
  <c r="AH232" i="100"/>
  <c r="AP232" i="100"/>
  <c r="AO234" i="100"/>
  <c r="AO236" i="100"/>
  <c r="AJ238" i="100"/>
  <c r="AL244" i="100"/>
  <c r="AO250" i="100"/>
  <c r="AO254" i="100"/>
  <c r="AL256" i="100"/>
  <c r="AP262" i="100"/>
  <c r="AO288" i="100"/>
  <c r="AO252" i="100"/>
  <c r="AK274" i="100"/>
  <c r="AG278" i="100"/>
  <c r="AH280" i="100"/>
  <c r="AO286" i="100"/>
  <c r="AM100" i="100"/>
  <c r="AG102" i="100"/>
  <c r="AG104" i="100"/>
  <c r="AG106" i="100"/>
  <c r="AO106" i="100"/>
  <c r="AM108" i="100"/>
  <c r="AM110" i="100"/>
  <c r="AI112" i="100"/>
  <c r="AK118" i="100"/>
  <c r="AM124" i="100"/>
  <c r="AG126" i="100"/>
  <c r="AG128" i="100"/>
  <c r="AG130" i="100"/>
  <c r="AO130" i="100"/>
  <c r="AM132" i="100"/>
  <c r="AM134" i="100"/>
  <c r="AI136" i="100"/>
  <c r="AK142" i="100"/>
  <c r="AM148" i="100"/>
  <c r="AG150" i="100"/>
  <c r="AG152" i="100"/>
  <c r="AG154" i="100"/>
  <c r="AO154" i="100"/>
  <c r="AM156" i="100"/>
  <c r="AM158" i="100"/>
  <c r="AI160" i="100"/>
  <c r="AK166" i="100"/>
  <c r="AM172" i="100"/>
  <c r="AG174" i="100"/>
  <c r="AG176" i="100"/>
  <c r="AG178" i="100"/>
  <c r="AO178" i="100"/>
  <c r="AM180" i="100"/>
  <c r="AM182" i="100"/>
  <c r="AI184" i="100"/>
  <c r="AK190" i="100"/>
  <c r="AM196" i="100"/>
  <c r="AG198" i="100"/>
  <c r="AG200" i="100"/>
  <c r="AG202" i="100"/>
  <c r="AO202" i="100"/>
  <c r="AM204" i="100"/>
  <c r="AM206" i="100"/>
  <c r="AI208" i="100"/>
  <c r="AK214" i="100"/>
  <c r="AM220" i="100"/>
  <c r="AG222" i="100"/>
  <c r="AG224" i="100"/>
  <c r="AG226" i="100"/>
  <c r="AO226" i="100"/>
  <c r="AM228" i="100"/>
  <c r="AM230" i="100"/>
  <c r="AI232" i="100"/>
  <c r="AK238" i="100"/>
  <c r="AM244" i="100"/>
  <c r="AG246" i="100"/>
  <c r="AG248" i="100"/>
  <c r="AG250" i="100"/>
  <c r="AP250" i="100"/>
  <c r="AM256" i="100"/>
  <c r="AG258" i="100"/>
  <c r="AG260" i="100"/>
  <c r="AG262" i="100"/>
  <c r="AI250" i="100"/>
  <c r="AK256" i="100"/>
  <c r="AM262" i="100"/>
  <c r="AG264" i="100"/>
  <c r="AG266" i="100"/>
  <c r="AG268" i="100"/>
  <c r="AO268" i="100"/>
  <c r="AM270" i="100"/>
  <c r="AM272" i="100"/>
  <c r="AI274" i="100"/>
  <c r="AK280" i="100"/>
  <c r="AM286" i="100"/>
  <c r="AG288" i="100"/>
  <c r="AG290" i="100"/>
  <c r="AN262" i="100"/>
  <c r="AK264" i="100"/>
  <c r="AK266" i="100"/>
  <c r="AH268" i="100"/>
  <c r="AP268" i="100"/>
  <c r="AO270" i="100"/>
  <c r="AO272" i="100"/>
  <c r="AJ274" i="100"/>
  <c r="AL280" i="100"/>
  <c r="AN286" i="100"/>
  <c r="AK288" i="100"/>
  <c r="AK290" i="100"/>
  <c r="P343" i="100"/>
  <c r="P342" i="100"/>
  <c r="P344" i="100"/>
  <c r="P345" i="100"/>
  <c r="AA343" i="100"/>
  <c r="AA342" i="100"/>
  <c r="AA344" i="100"/>
  <c r="AA345" i="100"/>
  <c r="AB342" i="100"/>
  <c r="AC342" i="100"/>
  <c r="P295" i="100"/>
  <c r="P298" i="100"/>
  <c r="P297" i="100"/>
  <c r="P296" i="100"/>
  <c r="AA298" i="100"/>
  <c r="AA297" i="100"/>
  <c r="AA296" i="100"/>
  <c r="AA295" i="100"/>
  <c r="P316" i="100"/>
  <c r="P315" i="100"/>
  <c r="P314" i="100"/>
  <c r="P313" i="100"/>
  <c r="AB298" i="100"/>
  <c r="AB297" i="100"/>
  <c r="AB296" i="100"/>
  <c r="AB295" i="100"/>
  <c r="AA316" i="100"/>
  <c r="AA315" i="100"/>
  <c r="AA314" i="100"/>
  <c r="AA313" i="100"/>
  <c r="AC298" i="100"/>
  <c r="AC297" i="100"/>
  <c r="AC296" i="100"/>
  <c r="AC295" i="100"/>
  <c r="AB316" i="100"/>
  <c r="AB315" i="100"/>
  <c r="AB314" i="100"/>
  <c r="AB313" i="100"/>
  <c r="AC316" i="100"/>
  <c r="AC315" i="100"/>
  <c r="AC314" i="100"/>
  <c r="AC313" i="100"/>
  <c r="P334" i="100"/>
  <c r="P333" i="100"/>
  <c r="P332" i="100"/>
  <c r="P331" i="100"/>
  <c r="P307" i="100"/>
  <c r="P306" i="100"/>
  <c r="P305" i="100"/>
  <c r="P304" i="100"/>
  <c r="AA307" i="100"/>
  <c r="AA306" i="100"/>
  <c r="AA305" i="100"/>
  <c r="AA304" i="100"/>
  <c r="AB307" i="100"/>
  <c r="AB306" i="100"/>
  <c r="AB305" i="100"/>
  <c r="AB304" i="100"/>
  <c r="P325" i="100"/>
  <c r="P324" i="100"/>
  <c r="P323" i="100"/>
  <c r="P322" i="100"/>
  <c r="AC307" i="100"/>
  <c r="AC306" i="100"/>
  <c r="AC305" i="100"/>
  <c r="AC304" i="100"/>
  <c r="AA325" i="100"/>
  <c r="AA324" i="100"/>
  <c r="AA323" i="100"/>
  <c r="AA322" i="100"/>
  <c r="AA326" i="100" s="1"/>
  <c r="AA334" i="100"/>
  <c r="AA333" i="100"/>
  <c r="AA332" i="100"/>
  <c r="AA331" i="100"/>
  <c r="AB325" i="100"/>
  <c r="AB324" i="100"/>
  <c r="AB323" i="100"/>
  <c r="AB322" i="100"/>
  <c r="AB334" i="100"/>
  <c r="AB333" i="100"/>
  <c r="AB332" i="100"/>
  <c r="AB331" i="100"/>
  <c r="AC325" i="100"/>
  <c r="AC324" i="100"/>
  <c r="AC323" i="100"/>
  <c r="AC322" i="100"/>
  <c r="AC334" i="100"/>
  <c r="AC333" i="100"/>
  <c r="AC332" i="100"/>
  <c r="AC331" i="100"/>
  <c r="AH40" i="99"/>
  <c r="AO18" i="99"/>
  <c r="AP40" i="99"/>
  <c r="AK110" i="99"/>
  <c r="AG174" i="99"/>
  <c r="AM66" i="99"/>
  <c r="AM144" i="99"/>
  <c r="AL4" i="99"/>
  <c r="AJ22" i="99"/>
  <c r="AO44" i="99"/>
  <c r="AM118" i="99"/>
  <c r="AM148" i="99"/>
  <c r="AN190" i="99"/>
  <c r="AI70" i="99"/>
  <c r="AK252" i="99"/>
  <c r="AK12" i="99"/>
  <c r="AN34" i="99"/>
  <c r="AK100" i="99"/>
  <c r="AH130" i="99"/>
  <c r="AG168" i="99"/>
  <c r="AP202" i="99"/>
  <c r="AJ256" i="99"/>
  <c r="AH16" i="99"/>
  <c r="AK38" i="99"/>
  <c r="AO56" i="99"/>
  <c r="AK82" i="99"/>
  <c r="AP16" i="99"/>
  <c r="AK226" i="99"/>
  <c r="AJ280" i="99"/>
  <c r="AO64" i="99"/>
  <c r="AO20" i="99"/>
  <c r="AO42" i="99"/>
  <c r="AM68" i="99"/>
  <c r="AN10" i="99"/>
  <c r="AL28" i="99"/>
  <c r="AJ46" i="99"/>
  <c r="AM192" i="99"/>
  <c r="AI76" i="99"/>
  <c r="AP196" i="99"/>
  <c r="AM254" i="99"/>
  <c r="AK14" i="99"/>
  <c r="AK36" i="99"/>
  <c r="AG80" i="99"/>
  <c r="AG102" i="99"/>
  <c r="AM106" i="99"/>
  <c r="AK170" i="99"/>
  <c r="AL208" i="99"/>
  <c r="AN52" i="99"/>
  <c r="AM54" i="99"/>
  <c r="AL58" i="99"/>
  <c r="AG88" i="99"/>
  <c r="AK94" i="99"/>
  <c r="AG96" i="99"/>
  <c r="AO98" i="99"/>
  <c r="AK108" i="99"/>
  <c r="AI112" i="99"/>
  <c r="AO118" i="99"/>
  <c r="AK130" i="99"/>
  <c r="AK142" i="99"/>
  <c r="AG154" i="99"/>
  <c r="AM166" i="99"/>
  <c r="AJ172" i="99"/>
  <c r="AO188" i="99"/>
  <c r="AG214" i="99"/>
  <c r="AM238" i="99"/>
  <c r="AM248" i="99"/>
  <c r="AK250" i="99"/>
  <c r="AO258" i="99"/>
  <c r="AM4" i="99"/>
  <c r="AG6" i="99"/>
  <c r="AG8" i="99"/>
  <c r="AG10" i="99"/>
  <c r="AO10" i="99"/>
  <c r="AM12" i="99"/>
  <c r="AM14" i="99"/>
  <c r="AI16" i="99"/>
  <c r="AK22" i="99"/>
  <c r="AM28" i="99"/>
  <c r="AG30" i="99"/>
  <c r="AG32" i="99"/>
  <c r="AG34" i="99"/>
  <c r="AO34" i="99"/>
  <c r="AM36" i="99"/>
  <c r="AM38" i="99"/>
  <c r="AI40" i="99"/>
  <c r="AK46" i="99"/>
  <c r="AO54" i="99"/>
  <c r="AP64" i="99"/>
  <c r="AO66" i="99"/>
  <c r="AO68" i="99"/>
  <c r="AJ70" i="99"/>
  <c r="AG74" i="99"/>
  <c r="AJ76" i="99"/>
  <c r="AK80" i="99"/>
  <c r="AL82" i="99"/>
  <c r="AG86" i="99"/>
  <c r="AM96" i="99"/>
  <c r="AL100" i="99"/>
  <c r="AK102" i="99"/>
  <c r="AN106" i="99"/>
  <c r="AM110" i="99"/>
  <c r="AG136" i="99"/>
  <c r="AO144" i="99"/>
  <c r="AN148" i="99"/>
  <c r="AG164" i="99"/>
  <c r="AK168" i="99"/>
  <c r="AM170" i="99"/>
  <c r="AK172" i="99"/>
  <c r="AK174" i="99"/>
  <c r="AO190" i="99"/>
  <c r="AM208" i="99"/>
  <c r="AM216" i="99"/>
  <c r="AN226" i="99"/>
  <c r="AG244" i="99"/>
  <c r="AM252" i="99"/>
  <c r="AO254" i="99"/>
  <c r="AK256" i="99"/>
  <c r="AK280" i="99"/>
  <c r="AL286" i="99"/>
  <c r="AO52" i="99"/>
  <c r="AM58" i="99"/>
  <c r="AG60" i="99"/>
  <c r="AG62" i="99"/>
  <c r="AG64" i="99"/>
  <c r="AM74" i="99"/>
  <c r="AM80" i="99"/>
  <c r="AG84" i="99"/>
  <c r="AH88" i="99"/>
  <c r="AL94" i="99"/>
  <c r="AM102" i="99"/>
  <c r="AM108" i="99"/>
  <c r="AJ112" i="99"/>
  <c r="AP118" i="99"/>
  <c r="AG128" i="99"/>
  <c r="AL130" i="99"/>
  <c r="AG134" i="99"/>
  <c r="AL142" i="99"/>
  <c r="AH154" i="99"/>
  <c r="AN166" i="99"/>
  <c r="AL172" i="99"/>
  <c r="AJ184" i="99"/>
  <c r="AJ214" i="99"/>
  <c r="AH232" i="99"/>
  <c r="AO248" i="99"/>
  <c r="AN250" i="99"/>
  <c r="AG268" i="99"/>
  <c r="AK298" i="99"/>
  <c r="AN4" i="99"/>
  <c r="AK6" i="99"/>
  <c r="AK8" i="99"/>
  <c r="AH10" i="99"/>
  <c r="AP10" i="99"/>
  <c r="AO12" i="99"/>
  <c r="AO14" i="99"/>
  <c r="AJ16" i="99"/>
  <c r="AL22" i="99"/>
  <c r="AN28" i="99"/>
  <c r="AK30" i="99"/>
  <c r="AK32" i="99"/>
  <c r="AH34" i="99"/>
  <c r="AP34" i="99"/>
  <c r="AO36" i="99"/>
  <c r="AO38" i="99"/>
  <c r="AJ40" i="99"/>
  <c r="AL46" i="99"/>
  <c r="AP52" i="99"/>
  <c r="AK70" i="99"/>
  <c r="AK76" i="99"/>
  <c r="AG78" i="99"/>
  <c r="AM82" i="99"/>
  <c r="AK86" i="99"/>
  <c r="AM94" i="99"/>
  <c r="AO96" i="99"/>
  <c r="AM100" i="99"/>
  <c r="AO106" i="99"/>
  <c r="AO110" i="99"/>
  <c r="AK112" i="99"/>
  <c r="AG132" i="99"/>
  <c r="AH136" i="99"/>
  <c r="AO142" i="99"/>
  <c r="AK154" i="99"/>
  <c r="AM168" i="99"/>
  <c r="AO170" i="99"/>
  <c r="AK206" i="99"/>
  <c r="AP208" i="99"/>
  <c r="AG234" i="99"/>
  <c r="AH244" i="99"/>
  <c r="AO252" i="99"/>
  <c r="AL256" i="99"/>
  <c r="AG270" i="99"/>
  <c r="AM278" i="99"/>
  <c r="AL280" i="99"/>
  <c r="AJ292" i="99"/>
  <c r="AL298" i="99"/>
  <c r="AM316" i="99"/>
  <c r="AG52" i="99"/>
  <c r="AN58" i="99"/>
  <c r="AK60" i="99"/>
  <c r="AK62" i="99"/>
  <c r="AH64" i="99"/>
  <c r="AG72" i="99"/>
  <c r="AO74" i="99"/>
  <c r="AK84" i="99"/>
  <c r="AI88" i="99"/>
  <c r="AO94" i="99"/>
  <c r="AO108" i="99"/>
  <c r="AM112" i="99"/>
  <c r="AG114" i="99"/>
  <c r="AG116" i="99"/>
  <c r="AG118" i="99"/>
  <c r="AI124" i="99"/>
  <c r="AK128" i="99"/>
  <c r="AM130" i="99"/>
  <c r="AK134" i="99"/>
  <c r="AG160" i="99"/>
  <c r="AO166" i="99"/>
  <c r="AM172" i="99"/>
  <c r="AK184" i="99"/>
  <c r="AG186" i="99"/>
  <c r="AK214" i="99"/>
  <c r="AG220" i="99"/>
  <c r="AI232" i="99"/>
  <c r="AG242" i="99"/>
  <c r="AM246" i="99"/>
  <c r="AO250" i="99"/>
  <c r="AG266" i="99"/>
  <c r="AH268" i="99"/>
  <c r="AM292" i="99"/>
  <c r="AG4" i="99"/>
  <c r="AO4" i="99"/>
  <c r="AM6" i="99"/>
  <c r="AM8" i="99"/>
  <c r="AI10" i="99"/>
  <c r="AK16" i="99"/>
  <c r="AM22" i="99"/>
  <c r="AG24" i="99"/>
  <c r="AG26" i="99"/>
  <c r="AG28" i="99"/>
  <c r="AO28" i="99"/>
  <c r="AM30" i="99"/>
  <c r="AM32" i="99"/>
  <c r="AI34" i="99"/>
  <c r="AK40" i="99"/>
  <c r="AM46" i="99"/>
  <c r="AG48" i="99"/>
  <c r="AG50" i="99"/>
  <c r="AH52" i="99"/>
  <c r="AL70" i="99"/>
  <c r="AM72" i="99"/>
  <c r="AL76" i="99"/>
  <c r="AK78" i="99"/>
  <c r="AN82" i="99"/>
  <c r="AM86" i="99"/>
  <c r="AN100" i="99"/>
  <c r="AP106" i="99"/>
  <c r="AK132" i="99"/>
  <c r="AI136" i="99"/>
  <c r="AP142" i="99"/>
  <c r="AG152" i="99"/>
  <c r="AL154" i="99"/>
  <c r="AG158" i="99"/>
  <c r="AH160" i="99"/>
  <c r="AO168" i="99"/>
  <c r="AG178" i="99"/>
  <c r="AI196" i="99"/>
  <c r="AN214" i="99"/>
  <c r="AK230" i="99"/>
  <c r="AI244" i="99"/>
  <c r="AM256" i="99"/>
  <c r="AJ262" i="99"/>
  <c r="AG274" i="99"/>
  <c r="AK276" i="99"/>
  <c r="AO278" i="99"/>
  <c r="AO320" i="99"/>
  <c r="AI52" i="99"/>
  <c r="AO58" i="99"/>
  <c r="AM60" i="99"/>
  <c r="AM62" i="99"/>
  <c r="AI64" i="99"/>
  <c r="AM78" i="99"/>
  <c r="AM84" i="99"/>
  <c r="AJ88" i="99"/>
  <c r="AP94" i="99"/>
  <c r="AO100" i="99"/>
  <c r="AN112" i="99"/>
  <c r="AK114" i="99"/>
  <c r="AK116" i="99"/>
  <c r="AH118" i="99"/>
  <c r="AJ124" i="99"/>
  <c r="AN130" i="99"/>
  <c r="AM134" i="99"/>
  <c r="AG156" i="99"/>
  <c r="AK158" i="99"/>
  <c r="AP166" i="99"/>
  <c r="AN172" i="99"/>
  <c r="AM182" i="99"/>
  <c r="AL184" i="99"/>
  <c r="AO186" i="99"/>
  <c r="AG202" i="99"/>
  <c r="AH220" i="99"/>
  <c r="AJ232" i="99"/>
  <c r="AK242" i="99"/>
  <c r="AO246" i="99"/>
  <c r="AP250" i="99"/>
  <c r="AK266" i="99"/>
  <c r="AI268" i="99"/>
  <c r="AK274" i="99"/>
  <c r="AK296" i="99"/>
  <c r="AH4" i="99"/>
  <c r="AP4" i="99"/>
  <c r="AO6" i="99"/>
  <c r="AO8" i="99"/>
  <c r="AJ10" i="99"/>
  <c r="AL16" i="99"/>
  <c r="AN22" i="99"/>
  <c r="AK24" i="99"/>
  <c r="AK26" i="99"/>
  <c r="AH28" i="99"/>
  <c r="AP28" i="99"/>
  <c r="AO30" i="99"/>
  <c r="AO32" i="99"/>
  <c r="AJ34" i="99"/>
  <c r="AL40" i="99"/>
  <c r="AN46" i="99"/>
  <c r="AK48" i="99"/>
  <c r="AK50" i="99"/>
  <c r="AM70" i="99"/>
  <c r="AO72" i="99"/>
  <c r="AM76" i="99"/>
  <c r="AO82" i="99"/>
  <c r="AO86" i="99"/>
  <c r="AK88" i="99"/>
  <c r="AG106" i="99"/>
  <c r="AG126" i="99"/>
  <c r="AM132" i="99"/>
  <c r="AJ136" i="99"/>
  <c r="AI148" i="99"/>
  <c r="AK152" i="99"/>
  <c r="AM154" i="99"/>
  <c r="AK156" i="99"/>
  <c r="AI160" i="99"/>
  <c r="AH178" i="99"/>
  <c r="AL196" i="99"/>
  <c r="AG200" i="99"/>
  <c r="AG212" i="99"/>
  <c r="AO214" i="99"/>
  <c r="AM220" i="99"/>
  <c r="AG222" i="99"/>
  <c r="AG224" i="99"/>
  <c r="AG226" i="99"/>
  <c r="AM230" i="99"/>
  <c r="AL244" i="99"/>
  <c r="AK262" i="99"/>
  <c r="AG264" i="99"/>
  <c r="AM276" i="99"/>
  <c r="AO284" i="99"/>
  <c r="AM50" i="99"/>
  <c r="AJ52" i="99"/>
  <c r="AG58" i="99"/>
  <c r="AP58" i="99"/>
  <c r="AO60" i="99"/>
  <c r="AO62" i="99"/>
  <c r="AJ64" i="99"/>
  <c r="AO70" i="99"/>
  <c r="AO84" i="99"/>
  <c r="AM88" i="99"/>
  <c r="AG90" i="99"/>
  <c r="AG92" i="99"/>
  <c r="AG94" i="99"/>
  <c r="AO112" i="99"/>
  <c r="AM114" i="99"/>
  <c r="AM116" i="99"/>
  <c r="AI118" i="99"/>
  <c r="AM122" i="99"/>
  <c r="AK124" i="99"/>
  <c r="AO130" i="99"/>
  <c r="AO134" i="99"/>
  <c r="AM136" i="99"/>
  <c r="AG138" i="99"/>
  <c r="AG140" i="99"/>
  <c r="AG142" i="99"/>
  <c r="AM158" i="99"/>
  <c r="AK178" i="99"/>
  <c r="AK180" i="99"/>
  <c r="AO182" i="99"/>
  <c r="AM184" i="99"/>
  <c r="AG198" i="99"/>
  <c r="AH202" i="99"/>
  <c r="AK232" i="99"/>
  <c r="AG238" i="99"/>
  <c r="AM242" i="99"/>
  <c r="AO244" i="99"/>
  <c r="AM266" i="99"/>
  <c r="AL268" i="99"/>
  <c r="AN274" i="99"/>
  <c r="AM290" i="99"/>
  <c r="AO296" i="99"/>
  <c r="AM332" i="99"/>
  <c r="AI4" i="99"/>
  <c r="AK10" i="99"/>
  <c r="AM16" i="99"/>
  <c r="AG18" i="99"/>
  <c r="AG20" i="99"/>
  <c r="AG22" i="99"/>
  <c r="AO22" i="99"/>
  <c r="AM24" i="99"/>
  <c r="AM26" i="99"/>
  <c r="AI28" i="99"/>
  <c r="AK34" i="99"/>
  <c r="AM40" i="99"/>
  <c r="AG42" i="99"/>
  <c r="AG44" i="99"/>
  <c r="AG46" i="99"/>
  <c r="AO46" i="99"/>
  <c r="AM48" i="99"/>
  <c r="AN76" i="99"/>
  <c r="AP82" i="99"/>
  <c r="AH106" i="99"/>
  <c r="AK126" i="99"/>
  <c r="AO132" i="99"/>
  <c r="AJ148" i="99"/>
  <c r="AN154" i="99"/>
  <c r="AM156" i="99"/>
  <c r="AJ160" i="99"/>
  <c r="AK194" i="99"/>
  <c r="AM196" i="99"/>
  <c r="AK200" i="99"/>
  <c r="AO204" i="99"/>
  <c r="AN220" i="99"/>
  <c r="AK222" i="99"/>
  <c r="AK224" i="99"/>
  <c r="AH226" i="99"/>
  <c r="AO230" i="99"/>
  <c r="AP232" i="99"/>
  <c r="AG240" i="99"/>
  <c r="AG260" i="99"/>
  <c r="AL262" i="99"/>
  <c r="AK264" i="99"/>
  <c r="AO276" i="99"/>
  <c r="AO290" i="99"/>
  <c r="AO50" i="99"/>
  <c r="AK52" i="99"/>
  <c r="AG56" i="99"/>
  <c r="AH58" i="99"/>
  <c r="AK64" i="99"/>
  <c r="AP70" i="99"/>
  <c r="AO76" i="99"/>
  <c r="AN88" i="99"/>
  <c r="AK90" i="99"/>
  <c r="AK92" i="99"/>
  <c r="AH94" i="99"/>
  <c r="AG100" i="99"/>
  <c r="AI106" i="99"/>
  <c r="AP112" i="99"/>
  <c r="AO114" i="99"/>
  <c r="AO116" i="99"/>
  <c r="AJ118" i="99"/>
  <c r="AO122" i="99"/>
  <c r="AL124" i="99"/>
  <c r="AP130" i="99"/>
  <c r="AN136" i="99"/>
  <c r="AK138" i="99"/>
  <c r="AK140" i="99"/>
  <c r="AH142" i="99"/>
  <c r="AG150" i="99"/>
  <c r="AO158" i="99"/>
  <c r="AG176" i="99"/>
  <c r="AN178" i="99"/>
  <c r="AM180" i="99"/>
  <c r="AP184" i="99"/>
  <c r="AG190" i="99"/>
  <c r="AK198" i="99"/>
  <c r="AI202" i="99"/>
  <c r="AK228" i="99"/>
  <c r="AJ238" i="99"/>
  <c r="AP244" i="99"/>
  <c r="AM268" i="99"/>
  <c r="AO274" i="99"/>
  <c r="AG314" i="99"/>
  <c r="AJ4" i="99"/>
  <c r="AL10" i="99"/>
  <c r="AN16" i="99"/>
  <c r="AK18" i="99"/>
  <c r="AK20" i="99"/>
  <c r="AH22" i="99"/>
  <c r="AP22" i="99"/>
  <c r="AO24" i="99"/>
  <c r="AO26" i="99"/>
  <c r="AJ28" i="99"/>
  <c r="AL34" i="99"/>
  <c r="AN40" i="99"/>
  <c r="AK42" i="99"/>
  <c r="AK44" i="99"/>
  <c r="AH46" i="99"/>
  <c r="AP46" i="99"/>
  <c r="AO48" i="99"/>
  <c r="AM64" i="99"/>
  <c r="AG66" i="99"/>
  <c r="AG68" i="99"/>
  <c r="AG70" i="99"/>
  <c r="AG82" i="99"/>
  <c r="AI100" i="99"/>
  <c r="AG104" i="99"/>
  <c r="AK106" i="99"/>
  <c r="AM146" i="99"/>
  <c r="AK148" i="99"/>
  <c r="AO154" i="99"/>
  <c r="AO156" i="99"/>
  <c r="AK160" i="99"/>
  <c r="AG166" i="99"/>
  <c r="AL190" i="99"/>
  <c r="AG192" i="99"/>
  <c r="AM194" i="99"/>
  <c r="AN196" i="99"/>
  <c r="AM200" i="99"/>
  <c r="AG218" i="99"/>
  <c r="AO220" i="99"/>
  <c r="AM222" i="99"/>
  <c r="AM224" i="99"/>
  <c r="AI226" i="99"/>
  <c r="AK240" i="99"/>
  <c r="AH256" i="99"/>
  <c r="AO260" i="99"/>
  <c r="AM262" i="99"/>
  <c r="AM264" i="99"/>
  <c r="AL52" i="99"/>
  <c r="AG54" i="99"/>
  <c r="AK56" i="99"/>
  <c r="AI58" i="99"/>
  <c r="AO88" i="99"/>
  <c r="AM90" i="99"/>
  <c r="AM92" i="99"/>
  <c r="AI94" i="99"/>
  <c r="AG112" i="99"/>
  <c r="AK118" i="99"/>
  <c r="AM120" i="99"/>
  <c r="AM124" i="99"/>
  <c r="AO136" i="99"/>
  <c r="AM138" i="99"/>
  <c r="AM140" i="99"/>
  <c r="AI142" i="99"/>
  <c r="AK150" i="99"/>
  <c r="AH172" i="99"/>
  <c r="AK176" i="99"/>
  <c r="AO178" i="99"/>
  <c r="AO180" i="99"/>
  <c r="AM198" i="99"/>
  <c r="AJ202" i="99"/>
  <c r="AH208" i="99"/>
  <c r="AM228" i="99"/>
  <c r="AG236" i="99"/>
  <c r="AK238" i="99"/>
  <c r="AI250" i="99"/>
  <c r="AG272" i="99"/>
  <c r="AG282" i="99"/>
  <c r="AG288" i="99"/>
  <c r="AK300" i="99"/>
  <c r="AK318" i="99"/>
  <c r="AK4" i="99"/>
  <c r="AM10" i="99"/>
  <c r="AG12" i="99"/>
  <c r="AG14" i="99"/>
  <c r="AG16" i="99"/>
  <c r="AO16" i="99"/>
  <c r="AM18" i="99"/>
  <c r="AM20" i="99"/>
  <c r="AI22" i="99"/>
  <c r="AK28" i="99"/>
  <c r="AM34" i="99"/>
  <c r="AG36" i="99"/>
  <c r="AG38" i="99"/>
  <c r="AG40" i="99"/>
  <c r="AO40" i="99"/>
  <c r="AM42" i="99"/>
  <c r="AM44" i="99"/>
  <c r="AI46" i="99"/>
  <c r="AJ58" i="99"/>
  <c r="AN64" i="99"/>
  <c r="AK66" i="99"/>
  <c r="AK68" i="99"/>
  <c r="AH70" i="99"/>
  <c r="AH82" i="99"/>
  <c r="AG98" i="99"/>
  <c r="AJ100" i="99"/>
  <c r="AK104" i="99"/>
  <c r="AL106" i="99"/>
  <c r="AG110" i="99"/>
  <c r="AG130" i="99"/>
  <c r="AO146" i="99"/>
  <c r="AL148" i="99"/>
  <c r="AP154" i="99"/>
  <c r="AO160" i="99"/>
  <c r="AH166" i="99"/>
  <c r="AM190" i="99"/>
  <c r="AK192" i="99"/>
  <c r="AO196" i="99"/>
  <c r="AO200" i="99"/>
  <c r="AO202" i="99"/>
  <c r="AO210" i="99"/>
  <c r="AP220" i="99"/>
  <c r="AO222" i="99"/>
  <c r="AO224" i="99"/>
  <c r="AJ226" i="99"/>
  <c r="AK254" i="99"/>
  <c r="AI256" i="99"/>
  <c r="AN262" i="99"/>
  <c r="AK294" i="99"/>
  <c r="AM52" i="99"/>
  <c r="AK54" i="99"/>
  <c r="AM56" i="99"/>
  <c r="AK58" i="99"/>
  <c r="AG76" i="99"/>
  <c r="AI82" i="99"/>
  <c r="AP88" i="99"/>
  <c r="AO90" i="99"/>
  <c r="AO92" i="99"/>
  <c r="AJ94" i="99"/>
  <c r="AM98" i="99"/>
  <c r="AM104" i="99"/>
  <c r="AG108" i="99"/>
  <c r="AH112" i="99"/>
  <c r="AL118" i="99"/>
  <c r="AO120" i="99"/>
  <c r="AN124" i="99"/>
  <c r="AP136" i="99"/>
  <c r="AO138" i="99"/>
  <c r="AO140" i="99"/>
  <c r="AJ142" i="99"/>
  <c r="AP160" i="99"/>
  <c r="AI166" i="99"/>
  <c r="AI172" i="99"/>
  <c r="AP178" i="99"/>
  <c r="AO198" i="99"/>
  <c r="AI208" i="99"/>
  <c r="AO236" i="99"/>
  <c r="AL238" i="99"/>
  <c r="AJ250" i="99"/>
  <c r="AG258" i="99"/>
  <c r="AO262" i="99"/>
  <c r="AO282" i="99"/>
  <c r="AL322" i="99"/>
  <c r="AG300" i="99"/>
  <c r="AN304" i="99"/>
  <c r="AK306" i="99"/>
  <c r="AK308" i="99"/>
  <c r="AH310" i="99"/>
  <c r="AK314" i="99"/>
  <c r="AM318" i="99"/>
  <c r="AH328" i="99"/>
  <c r="AK330" i="99"/>
  <c r="AM286" i="99"/>
  <c r="AK288" i="99"/>
  <c r="AM296" i="99"/>
  <c r="AN316" i="99"/>
  <c r="AO318" i="99"/>
  <c r="AM322" i="99"/>
  <c r="AO304" i="99"/>
  <c r="AM306" i="99"/>
  <c r="AM308" i="99"/>
  <c r="AI310" i="99"/>
  <c r="AO316" i="99"/>
  <c r="AM330" i="99"/>
  <c r="AN286" i="99"/>
  <c r="AM288" i="99"/>
  <c r="AP316" i="99"/>
  <c r="AN328" i="99"/>
  <c r="AN292" i="99"/>
  <c r="AM294" i="99"/>
  <c r="AM298" i="99"/>
  <c r="AP304" i="99"/>
  <c r="AO306" i="99"/>
  <c r="AO308" i="99"/>
  <c r="AJ310" i="99"/>
  <c r="AG312" i="99"/>
  <c r="AP274" i="99"/>
  <c r="AM280" i="99"/>
  <c r="AO286" i="99"/>
  <c r="AO294" i="99"/>
  <c r="AO312" i="99"/>
  <c r="AO328" i="99"/>
  <c r="AO292" i="99"/>
  <c r="AN298" i="99"/>
  <c r="AK310" i="99"/>
  <c r="AP280" i="99"/>
  <c r="AP292" i="99"/>
  <c r="AK326" i="99"/>
  <c r="AG304" i="99"/>
  <c r="AL310" i="99"/>
  <c r="AN268" i="99"/>
  <c r="AK270" i="99"/>
  <c r="AK272" i="99"/>
  <c r="AH274" i="99"/>
  <c r="AG286" i="99"/>
  <c r="AH322" i="99"/>
  <c r="AL160" i="99"/>
  <c r="AG162" i="99"/>
  <c r="AK164" i="99"/>
  <c r="AJ166" i="99"/>
  <c r="AH304" i="99"/>
  <c r="AP310" i="99"/>
  <c r="AG316" i="99"/>
  <c r="AI322" i="99"/>
  <c r="AH334" i="99"/>
  <c r="AG120" i="99"/>
  <c r="AG122" i="99"/>
  <c r="AG124" i="99"/>
  <c r="AO124" i="99"/>
  <c r="AM126" i="99"/>
  <c r="AM128" i="99"/>
  <c r="AI130" i="99"/>
  <c r="AK136" i="99"/>
  <c r="AM142" i="99"/>
  <c r="AG144" i="99"/>
  <c r="AG146" i="99"/>
  <c r="AG148" i="99"/>
  <c r="AO148" i="99"/>
  <c r="AM150" i="99"/>
  <c r="AM152" i="99"/>
  <c r="AI154" i="99"/>
  <c r="AM164" i="99"/>
  <c r="AO172" i="99"/>
  <c r="AM174" i="99"/>
  <c r="AM176" i="99"/>
  <c r="AI178" i="99"/>
  <c r="AH184" i="99"/>
  <c r="AJ190" i="99"/>
  <c r="AG196" i="99"/>
  <c r="AK202" i="99"/>
  <c r="AK204" i="99"/>
  <c r="AM206" i="99"/>
  <c r="AJ208" i="99"/>
  <c r="AO212" i="99"/>
  <c r="AL214" i="99"/>
  <c r="AG216" i="99"/>
  <c r="AK218" i="99"/>
  <c r="AI220" i="99"/>
  <c r="AO226" i="99"/>
  <c r="AO228" i="99"/>
  <c r="AL232" i="99"/>
  <c r="AO234" i="99"/>
  <c r="AN238" i="99"/>
  <c r="AM240" i="99"/>
  <c r="AM244" i="99"/>
  <c r="AG246" i="99"/>
  <c r="AG248" i="99"/>
  <c r="AG250" i="99"/>
  <c r="AP256" i="99"/>
  <c r="AO268" i="99"/>
  <c r="AM270" i="99"/>
  <c r="AM272" i="99"/>
  <c r="AI274" i="99"/>
  <c r="AH280" i="99"/>
  <c r="AJ286" i="99"/>
  <c r="AG292" i="99"/>
  <c r="AK316" i="99"/>
  <c r="AG320" i="99"/>
  <c r="AJ322" i="99"/>
  <c r="AG324" i="99"/>
  <c r="AM160" i="99"/>
  <c r="AK162" i="99"/>
  <c r="AO164" i="99"/>
  <c r="AK166" i="99"/>
  <c r="AH292" i="99"/>
  <c r="AG302" i="99"/>
  <c r="AI304" i="99"/>
  <c r="AI334" i="99"/>
  <c r="AL64" i="99"/>
  <c r="AN70" i="99"/>
  <c r="AK72" i="99"/>
  <c r="AK74" i="99"/>
  <c r="AH76" i="99"/>
  <c r="AP76" i="99"/>
  <c r="AO78" i="99"/>
  <c r="AO80" i="99"/>
  <c r="AJ82" i="99"/>
  <c r="AL88" i="99"/>
  <c r="AN94" i="99"/>
  <c r="AK96" i="99"/>
  <c r="AK98" i="99"/>
  <c r="AH100" i="99"/>
  <c r="AP100" i="99"/>
  <c r="AO102" i="99"/>
  <c r="AO104" i="99"/>
  <c r="AJ106" i="99"/>
  <c r="AL112" i="99"/>
  <c r="AN118" i="99"/>
  <c r="AK120" i="99"/>
  <c r="AK122" i="99"/>
  <c r="AH124" i="99"/>
  <c r="AP124" i="99"/>
  <c r="AO126" i="99"/>
  <c r="AO128" i="99"/>
  <c r="AJ130" i="99"/>
  <c r="AL136" i="99"/>
  <c r="AN142" i="99"/>
  <c r="AK144" i="99"/>
  <c r="AK146" i="99"/>
  <c r="AH148" i="99"/>
  <c r="AP148" i="99"/>
  <c r="AO150" i="99"/>
  <c r="AO152" i="99"/>
  <c r="AJ154" i="99"/>
  <c r="AM162" i="99"/>
  <c r="AG172" i="99"/>
  <c r="AP172" i="99"/>
  <c r="AO174" i="99"/>
  <c r="AO176" i="99"/>
  <c r="AJ178" i="99"/>
  <c r="AK182" i="99"/>
  <c r="AI184" i="99"/>
  <c r="AG188" i="99"/>
  <c r="AK190" i="99"/>
  <c r="AG194" i="99"/>
  <c r="AH196" i="99"/>
  <c r="AN202" i="99"/>
  <c r="AM204" i="99"/>
  <c r="AO206" i="99"/>
  <c r="AK208" i="99"/>
  <c r="AG210" i="99"/>
  <c r="AM214" i="99"/>
  <c r="AK216" i="99"/>
  <c r="AM218" i="99"/>
  <c r="AL220" i="99"/>
  <c r="AP226" i="99"/>
  <c r="AM232" i="99"/>
  <c r="AO238" i="99"/>
  <c r="AN244" i="99"/>
  <c r="AK246" i="99"/>
  <c r="AK248" i="99"/>
  <c r="AH250" i="99"/>
  <c r="AG262" i="99"/>
  <c r="AP268" i="99"/>
  <c r="AO270" i="99"/>
  <c r="AO272" i="99"/>
  <c r="AJ274" i="99"/>
  <c r="AK278" i="99"/>
  <c r="AI280" i="99"/>
  <c r="AG284" i="99"/>
  <c r="AK286" i="99"/>
  <c r="AG290" i="99"/>
  <c r="AI298" i="99"/>
  <c r="AL316" i="99"/>
  <c r="AG318" i="99"/>
  <c r="AK320" i="99"/>
  <c r="AK322" i="99"/>
  <c r="AK324" i="99"/>
  <c r="AK332" i="99"/>
  <c r="AN160" i="99"/>
  <c r="AO162" i="99"/>
  <c r="AL166" i="99"/>
  <c r="AG170" i="99"/>
  <c r="AK290" i="99"/>
  <c r="AI292" i="99"/>
  <c r="AJ298" i="99"/>
  <c r="AK302" i="99"/>
  <c r="AM304" i="99"/>
  <c r="AG306" i="99"/>
  <c r="AG308" i="99"/>
  <c r="AG310" i="99"/>
  <c r="AM320" i="99"/>
  <c r="AH346" i="99"/>
  <c r="AM362" i="99"/>
  <c r="AG366" i="99"/>
  <c r="AO372" i="99"/>
  <c r="AJ388" i="99"/>
  <c r="AK398" i="99"/>
  <c r="AP352" i="99"/>
  <c r="AO354" i="99"/>
  <c r="AO356" i="99"/>
  <c r="AJ358" i="99"/>
  <c r="AK364" i="99"/>
  <c r="AK366" i="99"/>
  <c r="AO370" i="99"/>
  <c r="AO376" i="99"/>
  <c r="AM378" i="99"/>
  <c r="AM380" i="99"/>
  <c r="AI382" i="99"/>
  <c r="AM386" i="99"/>
  <c r="AO400" i="99"/>
  <c r="AO402" i="99"/>
  <c r="AI340" i="99"/>
  <c r="AG344" i="99"/>
  <c r="AK346" i="99"/>
  <c r="AO362" i="99"/>
  <c r="AP370" i="99"/>
  <c r="AK388" i="99"/>
  <c r="AK394" i="99"/>
  <c r="AG396" i="99"/>
  <c r="AG352" i="99"/>
  <c r="AK358" i="99"/>
  <c r="AM360" i="99"/>
  <c r="AL364" i="99"/>
  <c r="AP376" i="99"/>
  <c r="AO378" i="99"/>
  <c r="AO380" i="99"/>
  <c r="AJ382" i="99"/>
  <c r="AO386" i="99"/>
  <c r="AP400" i="99"/>
  <c r="AJ340" i="99"/>
  <c r="AK344" i="99"/>
  <c r="AL346" i="99"/>
  <c r="AG350" i="99"/>
  <c r="AL358" i="99"/>
  <c r="AM384" i="99"/>
  <c r="AL388" i="99"/>
  <c r="AL394" i="99"/>
  <c r="AK396" i="99"/>
  <c r="AG328" i="99"/>
  <c r="AP328" i="99"/>
  <c r="AO330" i="99"/>
  <c r="AO332" i="99"/>
  <c r="AJ334" i="99"/>
  <c r="AM338" i="99"/>
  <c r="AG348" i="99"/>
  <c r="AH352" i="99"/>
  <c r="AO360" i="99"/>
  <c r="AM364" i="99"/>
  <c r="AL382" i="99"/>
  <c r="AG326" i="99"/>
  <c r="AK340" i="99"/>
  <c r="AG342" i="99"/>
  <c r="AM346" i="99"/>
  <c r="AK350" i="99"/>
  <c r="AO358" i="99"/>
  <c r="AN364" i="99"/>
  <c r="AG370" i="99"/>
  <c r="AO384" i="99"/>
  <c r="AM394" i="99"/>
  <c r="AK334" i="99"/>
  <c r="AO338" i="99"/>
  <c r="AK348" i="99"/>
  <c r="AI352" i="99"/>
  <c r="AH370" i="99"/>
  <c r="AG376" i="99"/>
  <c r="AO382" i="99"/>
  <c r="AM336" i="99"/>
  <c r="AL340" i="99"/>
  <c r="AK342" i="99"/>
  <c r="AN346" i="99"/>
  <c r="AM350" i="99"/>
  <c r="AP358" i="99"/>
  <c r="AN394" i="99"/>
  <c r="AI328" i="99"/>
  <c r="AL334" i="99"/>
  <c r="AM348" i="99"/>
  <c r="AJ352" i="99"/>
  <c r="AK370" i="99"/>
  <c r="AG374" i="99"/>
  <c r="AH376" i="99"/>
  <c r="AP382" i="99"/>
  <c r="AH316" i="99"/>
  <c r="AN322" i="99"/>
  <c r="AM326" i="99"/>
  <c r="AO336" i="99"/>
  <c r="AM340" i="99"/>
  <c r="AO346" i="99"/>
  <c r="AO350" i="99"/>
  <c r="AG400" i="99"/>
  <c r="AM324" i="99"/>
  <c r="AJ328" i="99"/>
  <c r="AO334" i="99"/>
  <c r="AO348" i="99"/>
  <c r="AM352" i="99"/>
  <c r="AG354" i="99"/>
  <c r="AG356" i="99"/>
  <c r="AG358" i="99"/>
  <c r="AG368" i="99"/>
  <c r="AL370" i="99"/>
  <c r="AG372" i="99"/>
  <c r="AK374" i="99"/>
  <c r="AJ376" i="99"/>
  <c r="AL178" i="99"/>
  <c r="AN184" i="99"/>
  <c r="AK186" i="99"/>
  <c r="AK188" i="99"/>
  <c r="AH190" i="99"/>
  <c r="AP190" i="99"/>
  <c r="AO192" i="99"/>
  <c r="AO194" i="99"/>
  <c r="AJ196" i="99"/>
  <c r="AL202" i="99"/>
  <c r="AN208" i="99"/>
  <c r="AK210" i="99"/>
  <c r="AK212" i="99"/>
  <c r="AH214" i="99"/>
  <c r="AP214" i="99"/>
  <c r="AO216" i="99"/>
  <c r="AO218" i="99"/>
  <c r="AJ220" i="99"/>
  <c r="AL226" i="99"/>
  <c r="AN232" i="99"/>
  <c r="AK234" i="99"/>
  <c r="AK236" i="99"/>
  <c r="AH238" i="99"/>
  <c r="AP238" i="99"/>
  <c r="AO240" i="99"/>
  <c r="AO242" i="99"/>
  <c r="AJ244" i="99"/>
  <c r="AL250" i="99"/>
  <c r="AN256" i="99"/>
  <c r="AK258" i="99"/>
  <c r="AK260" i="99"/>
  <c r="AH262" i="99"/>
  <c r="AP262" i="99"/>
  <c r="AO264" i="99"/>
  <c r="AO266" i="99"/>
  <c r="AJ268" i="99"/>
  <c r="AL274" i="99"/>
  <c r="AN280" i="99"/>
  <c r="AK282" i="99"/>
  <c r="AK284" i="99"/>
  <c r="AH286" i="99"/>
  <c r="AP286" i="99"/>
  <c r="AO288" i="99"/>
  <c r="AK292" i="99"/>
  <c r="AO298" i="99"/>
  <c r="AM300" i="99"/>
  <c r="AM302" i="99"/>
  <c r="AM310" i="99"/>
  <c r="AK312" i="99"/>
  <c r="AI316" i="99"/>
  <c r="AO322" i="99"/>
  <c r="AO326" i="99"/>
  <c r="AK328" i="99"/>
  <c r="AN340" i="99"/>
  <c r="AP346" i="99"/>
  <c r="AK368" i="99"/>
  <c r="AH400" i="99"/>
  <c r="AG298" i="99"/>
  <c r="AJ304" i="99"/>
  <c r="AN310" i="99"/>
  <c r="AM314" i="99"/>
  <c r="AO324" i="99"/>
  <c r="AL328" i="99"/>
  <c r="AP334" i="99"/>
  <c r="AN352" i="99"/>
  <c r="AK354" i="99"/>
  <c r="AK356" i="99"/>
  <c r="AH358" i="99"/>
  <c r="AI364" i="99"/>
  <c r="AM370" i="99"/>
  <c r="AK372" i="99"/>
  <c r="AM374" i="99"/>
  <c r="AM376" i="99"/>
  <c r="AG378" i="99"/>
  <c r="AG380" i="99"/>
  <c r="AG382" i="99"/>
  <c r="AM404" i="99"/>
  <c r="AM178" i="99"/>
  <c r="AG180" i="99"/>
  <c r="AG182" i="99"/>
  <c r="AG184" i="99"/>
  <c r="AO184" i="99"/>
  <c r="AM186" i="99"/>
  <c r="AM188" i="99"/>
  <c r="AI190" i="99"/>
  <c r="AK196" i="99"/>
  <c r="AM202" i="99"/>
  <c r="AG204" i="99"/>
  <c r="AG206" i="99"/>
  <c r="AG208" i="99"/>
  <c r="AO208" i="99"/>
  <c r="AM210" i="99"/>
  <c r="AM212" i="99"/>
  <c r="AI214" i="99"/>
  <c r="AK220" i="99"/>
  <c r="AM226" i="99"/>
  <c r="AG228" i="99"/>
  <c r="AG230" i="99"/>
  <c r="AG232" i="99"/>
  <c r="AO232" i="99"/>
  <c r="AM234" i="99"/>
  <c r="AM236" i="99"/>
  <c r="AI238" i="99"/>
  <c r="AK244" i="99"/>
  <c r="AM250" i="99"/>
  <c r="AG252" i="99"/>
  <c r="AG254" i="99"/>
  <c r="AG256" i="99"/>
  <c r="AO256" i="99"/>
  <c r="AM258" i="99"/>
  <c r="AM260" i="99"/>
  <c r="AI262" i="99"/>
  <c r="AK268" i="99"/>
  <c r="AM274" i="99"/>
  <c r="AG276" i="99"/>
  <c r="AG278" i="99"/>
  <c r="AG280" i="99"/>
  <c r="AO280" i="99"/>
  <c r="AM282" i="99"/>
  <c r="AM284" i="99"/>
  <c r="AI286" i="99"/>
  <c r="AL292" i="99"/>
  <c r="AG296" i="99"/>
  <c r="AP298" i="99"/>
  <c r="AO300" i="99"/>
  <c r="AO302" i="99"/>
  <c r="AK304" i="99"/>
  <c r="AM312" i="99"/>
  <c r="AJ316" i="99"/>
  <c r="AG322" i="99"/>
  <c r="AP322" i="99"/>
  <c r="AG346" i="99"/>
  <c r="AO374" i="99"/>
  <c r="AI388" i="99"/>
  <c r="AG398" i="99"/>
  <c r="AG294" i="99"/>
  <c r="AH298" i="99"/>
  <c r="AL304" i="99"/>
  <c r="AO310" i="99"/>
  <c r="AO314" i="99"/>
  <c r="AM328" i="99"/>
  <c r="AG330" i="99"/>
  <c r="AG332" i="99"/>
  <c r="AG334" i="99"/>
  <c r="AO352" i="99"/>
  <c r="AM354" i="99"/>
  <c r="AM356" i="99"/>
  <c r="AI358" i="99"/>
  <c r="AJ364" i="99"/>
  <c r="AN370" i="99"/>
  <c r="AM372" i="99"/>
  <c r="AN376" i="99"/>
  <c r="AK378" i="99"/>
  <c r="AK380" i="99"/>
  <c r="AH382" i="99"/>
  <c r="AM402" i="99"/>
  <c r="AO404" i="99"/>
  <c r="AM400" i="99"/>
  <c r="AG402" i="99"/>
  <c r="AG404" i="99"/>
  <c r="AN400" i="99"/>
  <c r="AK402" i="99"/>
  <c r="AK404" i="99"/>
  <c r="AI376" i="99"/>
  <c r="AK382" i="99"/>
  <c r="AM388" i="99"/>
  <c r="AG390" i="99"/>
  <c r="AG392" i="99"/>
  <c r="AG394" i="99"/>
  <c r="AO394" i="99"/>
  <c r="AM396" i="99"/>
  <c r="AM398" i="99"/>
  <c r="AI400" i="99"/>
  <c r="AN388" i="99"/>
  <c r="AK390" i="99"/>
  <c r="AK392" i="99"/>
  <c r="AH394" i="99"/>
  <c r="AP394" i="99"/>
  <c r="AO396" i="99"/>
  <c r="AO398" i="99"/>
  <c r="AJ400" i="99"/>
  <c r="AM334" i="99"/>
  <c r="AG336" i="99"/>
  <c r="AG338" i="99"/>
  <c r="AG340" i="99"/>
  <c r="AO340" i="99"/>
  <c r="AM342" i="99"/>
  <c r="AM344" i="99"/>
  <c r="AI346" i="99"/>
  <c r="AK352" i="99"/>
  <c r="AM358" i="99"/>
  <c r="AG360" i="99"/>
  <c r="AG362" i="99"/>
  <c r="AG364" i="99"/>
  <c r="AO364" i="99"/>
  <c r="AM366" i="99"/>
  <c r="AM368" i="99"/>
  <c r="AI370" i="99"/>
  <c r="AK376" i="99"/>
  <c r="AM382" i="99"/>
  <c r="AG384" i="99"/>
  <c r="AG386" i="99"/>
  <c r="AG388" i="99"/>
  <c r="AO388" i="99"/>
  <c r="AM390" i="99"/>
  <c r="AM392" i="99"/>
  <c r="AI394" i="99"/>
  <c r="AK400" i="99"/>
  <c r="AN334" i="99"/>
  <c r="AK336" i="99"/>
  <c r="AK338" i="99"/>
  <c r="AH340" i="99"/>
  <c r="AP340" i="99"/>
  <c r="AO342" i="99"/>
  <c r="AO344" i="99"/>
  <c r="AJ346" i="99"/>
  <c r="AL352" i="99"/>
  <c r="AN358" i="99"/>
  <c r="AK360" i="99"/>
  <c r="AK362" i="99"/>
  <c r="AH364" i="99"/>
  <c r="AP364" i="99"/>
  <c r="AO366" i="99"/>
  <c r="AO368" i="99"/>
  <c r="AJ370" i="99"/>
  <c r="AL376" i="99"/>
  <c r="AN382" i="99"/>
  <c r="AK384" i="99"/>
  <c r="AK386" i="99"/>
  <c r="AH388" i="99"/>
  <c r="AP388" i="99"/>
  <c r="AO390" i="99"/>
  <c r="AO392" i="99"/>
  <c r="AJ394" i="99"/>
  <c r="AL400" i="99"/>
  <c r="AC439" i="99"/>
  <c r="AC438" i="99"/>
  <c r="AC437" i="99"/>
  <c r="AC436" i="99"/>
  <c r="P418" i="99"/>
  <c r="P421" i="99"/>
  <c r="P420" i="99"/>
  <c r="P419" i="99"/>
  <c r="P412" i="99"/>
  <c r="P411" i="99"/>
  <c r="P410" i="99"/>
  <c r="P409" i="99"/>
  <c r="P484" i="99"/>
  <c r="P483" i="99"/>
  <c r="P485" i="99"/>
  <c r="P486" i="99"/>
  <c r="AA418" i="99"/>
  <c r="AA422" i="99" s="1"/>
  <c r="AA419" i="99"/>
  <c r="AA421" i="99"/>
  <c r="AA420" i="99"/>
  <c r="AA484" i="99"/>
  <c r="AA483" i="99"/>
  <c r="AA487" i="99" s="1"/>
  <c r="AA485" i="99"/>
  <c r="AA486" i="99"/>
  <c r="AA412" i="99"/>
  <c r="AA411" i="99"/>
  <c r="AA410" i="99"/>
  <c r="AA409" i="99"/>
  <c r="AB421" i="99"/>
  <c r="AB420" i="99"/>
  <c r="AB419" i="99"/>
  <c r="AB418" i="99"/>
  <c r="AB483" i="99"/>
  <c r="AB409" i="99"/>
  <c r="AB410" i="99"/>
  <c r="AB412" i="99"/>
  <c r="AB411" i="99"/>
  <c r="AC418" i="99"/>
  <c r="AC419" i="99"/>
  <c r="AC421" i="99"/>
  <c r="AC420" i="99"/>
  <c r="AB457" i="99"/>
  <c r="AB456" i="99"/>
  <c r="AB455" i="99"/>
  <c r="AB454" i="99"/>
  <c r="AC483" i="99"/>
  <c r="AC412" i="99"/>
  <c r="AC411" i="99"/>
  <c r="AC410" i="99"/>
  <c r="AC409" i="99"/>
  <c r="AC457" i="99"/>
  <c r="AC456" i="99"/>
  <c r="AC455" i="99"/>
  <c r="AC454" i="99"/>
  <c r="P430" i="99"/>
  <c r="P429" i="99"/>
  <c r="P428" i="99"/>
  <c r="P427" i="99"/>
  <c r="AA430" i="99"/>
  <c r="AA429" i="99"/>
  <c r="AA428" i="99"/>
  <c r="AA427" i="99"/>
  <c r="AB427" i="99"/>
  <c r="AB430" i="99"/>
  <c r="AB429" i="99"/>
  <c r="AB428" i="99"/>
  <c r="AC430" i="99"/>
  <c r="AC429" i="99"/>
  <c r="AC428" i="99"/>
  <c r="AC427" i="99"/>
  <c r="AB448" i="99"/>
  <c r="AB447" i="99"/>
  <c r="AB446" i="99"/>
  <c r="AB445" i="99"/>
  <c r="P439" i="99"/>
  <c r="P438" i="99"/>
  <c r="P437" i="99"/>
  <c r="P436" i="99"/>
  <c r="AA439" i="99"/>
  <c r="AA438" i="99"/>
  <c r="AA437" i="99"/>
  <c r="AA436" i="99"/>
  <c r="AB439" i="99"/>
  <c r="AB438" i="99"/>
  <c r="AB437" i="99"/>
  <c r="AB436" i="99"/>
  <c r="AC448" i="99"/>
  <c r="AC447" i="99"/>
  <c r="AC446" i="99"/>
  <c r="AC445" i="99"/>
  <c r="AC466" i="99"/>
  <c r="P475" i="99"/>
  <c r="P474" i="99"/>
  <c r="P473" i="99"/>
  <c r="P472" i="99"/>
  <c r="AA475" i="99"/>
  <c r="AB475" i="99"/>
  <c r="AB474" i="99"/>
  <c r="AB473" i="99"/>
  <c r="AB472" i="99"/>
  <c r="AC475" i="99"/>
  <c r="P466" i="99"/>
  <c r="P465" i="99"/>
  <c r="P464" i="99"/>
  <c r="P463" i="99"/>
  <c r="P448" i="99"/>
  <c r="P447" i="99"/>
  <c r="P446" i="99"/>
  <c r="P445" i="99"/>
  <c r="P457" i="99"/>
  <c r="P456" i="99"/>
  <c r="P455" i="99"/>
  <c r="P454" i="99"/>
  <c r="AA466" i="99"/>
  <c r="AA465" i="99"/>
  <c r="AA464" i="99"/>
  <c r="AA463" i="99"/>
  <c r="AA467" i="99" s="1"/>
  <c r="AA448" i="99"/>
  <c r="AA447" i="99"/>
  <c r="AA446" i="99"/>
  <c r="AA445" i="99"/>
  <c r="AA457" i="99"/>
  <c r="AA456" i="99"/>
  <c r="AA455" i="99"/>
  <c r="AA454" i="99"/>
  <c r="AB466" i="99"/>
  <c r="AB465" i="99"/>
  <c r="AB464" i="99"/>
  <c r="AB463" i="99"/>
  <c r="AA472" i="99"/>
  <c r="AC463" i="99"/>
  <c r="AA473" i="99"/>
  <c r="AA474" i="99"/>
  <c r="AC464" i="99"/>
  <c r="AC465" i="99"/>
  <c r="AC472" i="99"/>
  <c r="AC473" i="99"/>
  <c r="AC474" i="99"/>
  <c r="Z449" i="98"/>
  <c r="AA439" i="98"/>
  <c r="Z467" i="98"/>
  <c r="Z431" i="98"/>
  <c r="Z458" i="98"/>
  <c r="AC428" i="98"/>
  <c r="AC439" i="98"/>
  <c r="AC429" i="98"/>
  <c r="AA438" i="98"/>
  <c r="P430" i="98"/>
  <c r="P439" i="98"/>
  <c r="P448" i="98"/>
  <c r="P457" i="98"/>
  <c r="AA448" i="98"/>
  <c r="AA457" i="98"/>
  <c r="AB448" i="98"/>
  <c r="AB457" i="98"/>
  <c r="P465" i="98"/>
  <c r="AC448" i="98"/>
  <c r="AC457" i="98"/>
  <c r="AB439" i="98"/>
  <c r="P464" i="98"/>
  <c r="P475" i="98"/>
  <c r="AA466" i="98"/>
  <c r="AA475" i="98"/>
  <c r="AA430" i="98"/>
  <c r="AB430" i="98"/>
  <c r="AB466" i="98"/>
  <c r="AB475" i="98"/>
  <c r="AC466" i="98"/>
  <c r="AC475" i="98"/>
  <c r="AC430" i="98"/>
  <c r="AA446" i="98"/>
  <c r="P466" i="98"/>
  <c r="P473" i="98"/>
  <c r="AB437" i="98"/>
  <c r="AA447" i="98"/>
  <c r="P474" i="98"/>
  <c r="P437" i="98"/>
  <c r="AB438" i="98"/>
  <c r="AA455" i="98"/>
  <c r="P438" i="98"/>
  <c r="AB446" i="98"/>
  <c r="AA456" i="98"/>
  <c r="AC437" i="98"/>
  <c r="AB447" i="98"/>
  <c r="AA464" i="98"/>
  <c r="AC438" i="98"/>
  <c r="AB455" i="98"/>
  <c r="AA465" i="98"/>
  <c r="P428" i="98"/>
  <c r="AC446" i="98"/>
  <c r="AB456" i="98"/>
  <c r="AA473" i="98"/>
  <c r="P429" i="98"/>
  <c r="AC447" i="98"/>
  <c r="AB464" i="98"/>
  <c r="AA474" i="98"/>
  <c r="AA437" i="98"/>
  <c r="AC455" i="98"/>
  <c r="AB465" i="98"/>
  <c r="AC456" i="98"/>
  <c r="AB473" i="98"/>
  <c r="P446" i="98"/>
  <c r="AC464" i="98"/>
  <c r="AB474" i="98"/>
  <c r="AB428" i="98"/>
  <c r="P447" i="98"/>
  <c r="AC465" i="98"/>
  <c r="AA428" i="98"/>
  <c r="AB429" i="98"/>
  <c r="P455" i="98"/>
  <c r="AC473" i="98"/>
  <c r="AA429" i="98"/>
  <c r="P456" i="98"/>
  <c r="AC474" i="98"/>
  <c r="Z487" i="98"/>
  <c r="P421" i="98"/>
  <c r="AA421" i="98"/>
  <c r="AC421" i="98"/>
  <c r="AB421" i="98"/>
  <c r="Z413" i="98"/>
  <c r="AA483" i="98"/>
  <c r="Z422" i="98"/>
  <c r="AB419" i="98"/>
  <c r="AB420" i="98"/>
  <c r="AC419" i="98"/>
  <c r="AC420" i="98"/>
  <c r="P419" i="98"/>
  <c r="P420" i="98"/>
  <c r="AA484" i="98"/>
  <c r="AA410" i="98"/>
  <c r="AA485" i="98"/>
  <c r="AA411" i="98"/>
  <c r="AA486" i="98"/>
  <c r="AA412" i="98"/>
  <c r="AA419" i="98"/>
  <c r="AA420" i="98"/>
  <c r="P427" i="98"/>
  <c r="P436" i="98"/>
  <c r="P445" i="98"/>
  <c r="P463" i="98"/>
  <c r="AA427" i="98"/>
  <c r="AA436" i="98"/>
  <c r="AA445" i="98"/>
  <c r="AA472" i="98"/>
  <c r="AP10" i="98"/>
  <c r="AP16" i="98"/>
  <c r="AP22" i="98"/>
  <c r="AP28" i="98"/>
  <c r="AH34" i="98"/>
  <c r="AH40" i="98"/>
  <c r="AH46" i="98"/>
  <c r="AH52" i="98"/>
  <c r="AK54" i="98"/>
  <c r="AI58" i="98"/>
  <c r="AK60" i="98"/>
  <c r="AI64" i="98"/>
  <c r="AK66" i="98"/>
  <c r="AI70" i="98"/>
  <c r="AK72" i="98"/>
  <c r="AJ76" i="98"/>
  <c r="AM78" i="98"/>
  <c r="AJ82" i="98"/>
  <c r="AM84" i="98"/>
  <c r="AJ88" i="98"/>
  <c r="AM90" i="98"/>
  <c r="AJ94" i="98"/>
  <c r="AO96" i="98"/>
  <c r="AK100" i="98"/>
  <c r="AO102" i="98"/>
  <c r="AK106" i="98"/>
  <c r="AO108" i="98"/>
  <c r="AK112" i="98"/>
  <c r="AO114" i="98"/>
  <c r="AL118" i="98"/>
  <c r="AL124" i="98"/>
  <c r="AL130" i="98"/>
  <c r="AO140" i="98"/>
  <c r="AH184" i="98"/>
  <c r="AM186" i="98"/>
  <c r="AP208" i="98"/>
  <c r="AM214" i="98"/>
  <c r="AI232" i="98"/>
  <c r="AK134" i="98"/>
  <c r="AO136" i="98"/>
  <c r="AP142" i="98"/>
  <c r="AJ148" i="98"/>
  <c r="AO150" i="98"/>
  <c r="AL154" i="98"/>
  <c r="AO158" i="98"/>
  <c r="AP160" i="98"/>
  <c r="AH166" i="98"/>
  <c r="AO168" i="98"/>
  <c r="AL172" i="98"/>
  <c r="AK176" i="98"/>
  <c r="AP178" i="98"/>
  <c r="AI184" i="98"/>
  <c r="AN190" i="98"/>
  <c r="AM206" i="98"/>
  <c r="AO210" i="98"/>
  <c r="AK220" i="98"/>
  <c r="AJ226" i="98"/>
  <c r="AH10" i="98"/>
  <c r="AH16" i="98"/>
  <c r="AH22" i="98"/>
  <c r="AH28" i="98"/>
  <c r="AK30" i="98"/>
  <c r="AI34" i="98"/>
  <c r="AK36" i="98"/>
  <c r="AI40" i="98"/>
  <c r="AK42" i="98"/>
  <c r="AI46" i="98"/>
  <c r="AK48" i="98"/>
  <c r="AJ52" i="98"/>
  <c r="AM54" i="98"/>
  <c r="AJ58" i="98"/>
  <c r="AM60" i="98"/>
  <c r="AJ64" i="98"/>
  <c r="AM66" i="98"/>
  <c r="AJ70" i="98"/>
  <c r="AO72" i="98"/>
  <c r="AK76" i="98"/>
  <c r="AO78" i="98"/>
  <c r="AK82" i="98"/>
  <c r="AO84" i="98"/>
  <c r="AK88" i="98"/>
  <c r="AO90" i="98"/>
  <c r="AL94" i="98"/>
  <c r="AL100" i="98"/>
  <c r="AL106" i="98"/>
  <c r="AL112" i="98"/>
  <c r="AK116" i="98"/>
  <c r="AM118" i="98"/>
  <c r="AK122" i="98"/>
  <c r="AM124" i="98"/>
  <c r="AK128" i="98"/>
  <c r="AM130" i="98"/>
  <c r="AO134" i="98"/>
  <c r="AO186" i="98"/>
  <c r="AO190" i="98"/>
  <c r="AK198" i="98"/>
  <c r="AM202" i="98"/>
  <c r="AN214" i="98"/>
  <c r="AL220" i="98"/>
  <c r="AP136" i="98"/>
  <c r="AK148" i="98"/>
  <c r="AM154" i="98"/>
  <c r="AI166" i="98"/>
  <c r="AM172" i="98"/>
  <c r="AM176" i="98"/>
  <c r="AJ184" i="98"/>
  <c r="AH196" i="98"/>
  <c r="AO206" i="98"/>
  <c r="AO214" i="98"/>
  <c r="AM220" i="98"/>
  <c r="AL226" i="98"/>
  <c r="AK232" i="98"/>
  <c r="AI10" i="98"/>
  <c r="AK12" i="98"/>
  <c r="AI16" i="98"/>
  <c r="AK18" i="98"/>
  <c r="AI22" i="98"/>
  <c r="AK24" i="98"/>
  <c r="AJ28" i="98"/>
  <c r="AM30" i="98"/>
  <c r="AJ34" i="98"/>
  <c r="AM36" i="98"/>
  <c r="AJ40" i="98"/>
  <c r="AM42" i="98"/>
  <c r="AJ46" i="98"/>
  <c r="AO48" i="98"/>
  <c r="AK52" i="98"/>
  <c r="AO54" i="98"/>
  <c r="AK58" i="98"/>
  <c r="AO60" i="98"/>
  <c r="AK64" i="98"/>
  <c r="AO66" i="98"/>
  <c r="AL70" i="98"/>
  <c r="AL76" i="98"/>
  <c r="AL82" i="98"/>
  <c r="AL88" i="98"/>
  <c r="AK92" i="98"/>
  <c r="AM94" i="98"/>
  <c r="AK98" i="98"/>
  <c r="AM100" i="98"/>
  <c r="AK104" i="98"/>
  <c r="AM106" i="98"/>
  <c r="AK110" i="98"/>
  <c r="AN112" i="98"/>
  <c r="AM116" i="98"/>
  <c r="AN118" i="98"/>
  <c r="AM122" i="98"/>
  <c r="AN124" i="98"/>
  <c r="AM128" i="98"/>
  <c r="AN130" i="98"/>
  <c r="AH142" i="98"/>
  <c r="AP190" i="98"/>
  <c r="AM198" i="98"/>
  <c r="AN202" i="98"/>
  <c r="AP130" i="98"/>
  <c r="AO144" i="98"/>
  <c r="AL148" i="98"/>
  <c r="AK152" i="98"/>
  <c r="AP154" i="98"/>
  <c r="AH160" i="98"/>
  <c r="AK162" i="98"/>
  <c r="AL166" i="98"/>
  <c r="AK170" i="98"/>
  <c r="AN172" i="98"/>
  <c r="AH178" i="98"/>
  <c r="AK180" i="98"/>
  <c r="AK184" i="98"/>
  <c r="AI196" i="98"/>
  <c r="AK200" i="98"/>
  <c r="AK212" i="98"/>
  <c r="AM216" i="98"/>
  <c r="AN220" i="98"/>
  <c r="AM226" i="98"/>
  <c r="AL232" i="98"/>
  <c r="AJ10" i="98"/>
  <c r="AM12" i="98"/>
  <c r="AJ16" i="98"/>
  <c r="AM18" i="98"/>
  <c r="AJ22" i="98"/>
  <c r="AO24" i="98"/>
  <c r="AK28" i="98"/>
  <c r="AO30" i="98"/>
  <c r="AK34" i="98"/>
  <c r="AO36" i="98"/>
  <c r="AK40" i="98"/>
  <c r="AO42" i="98"/>
  <c r="AL46" i="98"/>
  <c r="AL52" i="98"/>
  <c r="AL58" i="98"/>
  <c r="AL64" i="98"/>
  <c r="AK68" i="98"/>
  <c r="AM70" i="98"/>
  <c r="AK74" i="98"/>
  <c r="AM76" i="98"/>
  <c r="AK80" i="98"/>
  <c r="AM82" i="98"/>
  <c r="AK86" i="98"/>
  <c r="AN88" i="98"/>
  <c r="AM92" i="98"/>
  <c r="AN94" i="98"/>
  <c r="AM98" i="98"/>
  <c r="AN100" i="98"/>
  <c r="AM104" i="98"/>
  <c r="AN106" i="98"/>
  <c r="AO110" i="98"/>
  <c r="AO112" i="98"/>
  <c r="AO116" i="98"/>
  <c r="AO118" i="98"/>
  <c r="AO122" i="98"/>
  <c r="AO124" i="98"/>
  <c r="AO128" i="98"/>
  <c r="AH136" i="98"/>
  <c r="AI142" i="98"/>
  <c r="AM180" i="98"/>
  <c r="AO188" i="98"/>
  <c r="AO202" i="98"/>
  <c r="AK222" i="98"/>
  <c r="AK138" i="98"/>
  <c r="AM148" i="98"/>
  <c r="AM152" i="98"/>
  <c r="AI160" i="98"/>
  <c r="AM162" i="98"/>
  <c r="AM166" i="98"/>
  <c r="AM170" i="98"/>
  <c r="AO172" i="98"/>
  <c r="AI178" i="98"/>
  <c r="AL184" i="98"/>
  <c r="AJ196" i="98"/>
  <c r="AM200" i="98"/>
  <c r="AM212" i="98"/>
  <c r="AO216" i="98"/>
  <c r="AK234" i="98"/>
  <c r="AK10" i="98"/>
  <c r="AO12" i="98"/>
  <c r="AK16" i="98"/>
  <c r="AO18" i="98"/>
  <c r="AL22" i="98"/>
  <c r="AL28" i="98"/>
  <c r="AL34" i="98"/>
  <c r="AL40" i="98"/>
  <c r="AK44" i="98"/>
  <c r="AM46" i="98"/>
  <c r="AK50" i="98"/>
  <c r="AM52" i="98"/>
  <c r="AK56" i="98"/>
  <c r="AM58" i="98"/>
  <c r="AK62" i="98"/>
  <c r="AN64" i="98"/>
  <c r="AM68" i="98"/>
  <c r="AN70" i="98"/>
  <c r="AM74" i="98"/>
  <c r="AN76" i="98"/>
  <c r="AM80" i="98"/>
  <c r="AN82" i="98"/>
  <c r="AO86" i="98"/>
  <c r="AO88" i="98"/>
  <c r="AO92" i="98"/>
  <c r="AO94" i="98"/>
  <c r="AO98" i="98"/>
  <c r="AO100" i="98"/>
  <c r="AO104" i="98"/>
  <c r="AP106" i="98"/>
  <c r="AP112" i="98"/>
  <c r="AP118" i="98"/>
  <c r="AP124" i="98"/>
  <c r="AH130" i="98"/>
  <c r="AI136" i="98"/>
  <c r="AJ142" i="98"/>
  <c r="AO180" i="98"/>
  <c r="AK192" i="98"/>
  <c r="AP202" i="98"/>
  <c r="AL208" i="98"/>
  <c r="AM222" i="98"/>
  <c r="AK228" i="98"/>
  <c r="AK132" i="98"/>
  <c r="AM138" i="98"/>
  <c r="AL142" i="98"/>
  <c r="AK146" i="98"/>
  <c r="AN148" i="98"/>
  <c r="AH154" i="98"/>
  <c r="AK156" i="98"/>
  <c r="AJ160" i="98"/>
  <c r="AK164" i="98"/>
  <c r="AN166" i="98"/>
  <c r="AO170" i="98"/>
  <c r="AK174" i="98"/>
  <c r="AJ178" i="98"/>
  <c r="AO184" i="98"/>
  <c r="AH190" i="98"/>
  <c r="AO200" i="98"/>
  <c r="AO212" i="98"/>
  <c r="AM228" i="98"/>
  <c r="AM234" i="98"/>
  <c r="AL10" i="98"/>
  <c r="AL16" i="98"/>
  <c r="AK20" i="98"/>
  <c r="AM22" i="98"/>
  <c r="AK26" i="98"/>
  <c r="AM28" i="98"/>
  <c r="AK32" i="98"/>
  <c r="AM34" i="98"/>
  <c r="AK38" i="98"/>
  <c r="AN40" i="98"/>
  <c r="AM44" i="98"/>
  <c r="AN46" i="98"/>
  <c r="AM50" i="98"/>
  <c r="AN52" i="98"/>
  <c r="AM56" i="98"/>
  <c r="AN58" i="98"/>
  <c r="AO62" i="98"/>
  <c r="AO64" i="98"/>
  <c r="AO68" i="98"/>
  <c r="AO70" i="98"/>
  <c r="AO74" i="98"/>
  <c r="AO76" i="98"/>
  <c r="AO80" i="98"/>
  <c r="AP82" i="98"/>
  <c r="AP88" i="98"/>
  <c r="AP94" i="98"/>
  <c r="AP100" i="98"/>
  <c r="AH106" i="98"/>
  <c r="AH112" i="98"/>
  <c r="AH118" i="98"/>
  <c r="AH124" i="98"/>
  <c r="AK126" i="98"/>
  <c r="AI130" i="98"/>
  <c r="AJ136" i="98"/>
  <c r="AM192" i="98"/>
  <c r="AN196" i="98"/>
  <c r="AM208" i="98"/>
  <c r="AO228" i="98"/>
  <c r="AI238" i="98"/>
  <c r="AM132" i="98"/>
  <c r="AO138" i="98"/>
  <c r="AM142" i="98"/>
  <c r="AM146" i="98"/>
  <c r="AO148" i="98"/>
  <c r="AI154" i="98"/>
  <c r="AM156" i="98"/>
  <c r="AK160" i="98"/>
  <c r="AM164" i="98"/>
  <c r="AO166" i="98"/>
  <c r="AM174" i="98"/>
  <c r="AK178" i="98"/>
  <c r="AP184" i="98"/>
  <c r="AI190" i="98"/>
  <c r="AK218" i="98"/>
  <c r="AM10" i="98"/>
  <c r="AK14" i="98"/>
  <c r="AN16" i="98"/>
  <c r="AM20" i="98"/>
  <c r="AN22" i="98"/>
  <c r="AM26" i="98"/>
  <c r="AN28" i="98"/>
  <c r="AM32" i="98"/>
  <c r="AN34" i="98"/>
  <c r="AO38" i="98"/>
  <c r="AO40" i="98"/>
  <c r="AO44" i="98"/>
  <c r="AO46" i="98"/>
  <c r="AO50" i="98"/>
  <c r="AO52" i="98"/>
  <c r="AO56" i="98"/>
  <c r="AP58" i="98"/>
  <c r="AP64" i="98"/>
  <c r="AP70" i="98"/>
  <c r="AP76" i="98"/>
  <c r="AH82" i="98"/>
  <c r="AH88" i="98"/>
  <c r="AH94" i="98"/>
  <c r="AH100" i="98"/>
  <c r="AK102" i="98"/>
  <c r="AI106" i="98"/>
  <c r="AK108" i="98"/>
  <c r="AI112" i="98"/>
  <c r="AK114" i="98"/>
  <c r="AI118" i="98"/>
  <c r="AK120" i="98"/>
  <c r="AJ124" i="98"/>
  <c r="AM126" i="98"/>
  <c r="AJ130" i="98"/>
  <c r="AK136" i="98"/>
  <c r="AK140" i="98"/>
  <c r="AK182" i="98"/>
  <c r="AO192" i="98"/>
  <c r="AO196" i="98"/>
  <c r="AK204" i="98"/>
  <c r="AN208" i="98"/>
  <c r="AK214" i="98"/>
  <c r="AM218" i="98"/>
  <c r="AK224" i="98"/>
  <c r="AJ238" i="98"/>
  <c r="AO132" i="98"/>
  <c r="AN142" i="98"/>
  <c r="AO146" i="98"/>
  <c r="AK150" i="98"/>
  <c r="AJ154" i="98"/>
  <c r="AO156" i="98"/>
  <c r="AN160" i="98"/>
  <c r="AO164" i="98"/>
  <c r="AP166" i="98"/>
  <c r="AJ172" i="98"/>
  <c r="AO174" i="98"/>
  <c r="AL178" i="98"/>
  <c r="AJ190" i="98"/>
  <c r="AM194" i="98"/>
  <c r="AH202" i="98"/>
  <c r="AN10" i="98"/>
  <c r="AO14" i="98"/>
  <c r="AO16" i="98"/>
  <c r="AO20" i="98"/>
  <c r="AO22" i="98"/>
  <c r="AO26" i="98"/>
  <c r="AO28" i="98"/>
  <c r="AP34" i="98"/>
  <c r="AP40" i="98"/>
  <c r="AP46" i="98"/>
  <c r="AP52" i="98"/>
  <c r="AH58" i="98"/>
  <c r="AH64" i="98"/>
  <c r="AH70" i="98"/>
  <c r="AH76" i="98"/>
  <c r="AK78" i="98"/>
  <c r="AI82" i="98"/>
  <c r="AK84" i="98"/>
  <c r="AI88" i="98"/>
  <c r="AK90" i="98"/>
  <c r="AI94" i="98"/>
  <c r="AK96" i="98"/>
  <c r="AJ100" i="98"/>
  <c r="AM102" i="98"/>
  <c r="AJ106" i="98"/>
  <c r="AM108" i="98"/>
  <c r="AJ112" i="98"/>
  <c r="AM114" i="98"/>
  <c r="AJ118" i="98"/>
  <c r="AO120" i="98"/>
  <c r="AK124" i="98"/>
  <c r="AO126" i="98"/>
  <c r="AK130" i="98"/>
  <c r="AL136" i="98"/>
  <c r="AM140" i="98"/>
  <c r="AK186" i="98"/>
  <c r="AP196" i="98"/>
  <c r="AO208" i="98"/>
  <c r="AL214" i="98"/>
  <c r="AO32" i="98"/>
  <c r="AN136" i="98"/>
  <c r="AO142" i="98"/>
  <c r="AM150" i="98"/>
  <c r="AK154" i="98"/>
  <c r="AO160" i="98"/>
  <c r="AK172" i="98"/>
  <c r="AM178" i="98"/>
  <c r="AK190" i="98"/>
  <c r="AO194" i="98"/>
  <c r="AI202" i="98"/>
  <c r="AK206" i="98"/>
  <c r="AJ220" i="98"/>
  <c r="AI226" i="98"/>
  <c r="AH232" i="98"/>
  <c r="AM240" i="98"/>
  <c r="AJ244" i="98"/>
  <c r="AK254" i="98"/>
  <c r="AO260" i="98"/>
  <c r="AP262" i="98"/>
  <c r="AI274" i="98"/>
  <c r="AK280" i="98"/>
  <c r="AL286" i="98"/>
  <c r="AM290" i="98"/>
  <c r="AO296" i="98"/>
  <c r="AH304" i="98"/>
  <c r="AK306" i="98"/>
  <c r="AJ310" i="98"/>
  <c r="AM314" i="98"/>
  <c r="AP316" i="98"/>
  <c r="AJ328" i="98"/>
  <c r="AO344" i="98"/>
  <c r="AM352" i="98"/>
  <c r="AM362" i="98"/>
  <c r="AM370" i="98"/>
  <c r="AK244" i="98"/>
  <c r="AM250" i="98"/>
  <c r="AN256" i="98"/>
  <c r="AH268" i="98"/>
  <c r="AJ274" i="98"/>
  <c r="AO276" i="98"/>
  <c r="AM286" i="98"/>
  <c r="AO292" i="98"/>
  <c r="AP298" i="98"/>
  <c r="AI304" i="98"/>
  <c r="AM322" i="98"/>
  <c r="AK328" i="98"/>
  <c r="AK336" i="98"/>
  <c r="AO362" i="98"/>
  <c r="AN370" i="98"/>
  <c r="AL244" i="98"/>
  <c r="AK248" i="98"/>
  <c r="AM254" i="98"/>
  <c r="AO256" i="98"/>
  <c r="AK270" i="98"/>
  <c r="AK274" i="98"/>
  <c r="AL280" i="98"/>
  <c r="AN286" i="98"/>
  <c r="AO290" i="98"/>
  <c r="AM306" i="98"/>
  <c r="AK310" i="98"/>
  <c r="AO314" i="98"/>
  <c r="AL328" i="98"/>
  <c r="AM336" i="98"/>
  <c r="AK346" i="98"/>
  <c r="AK354" i="98"/>
  <c r="AM372" i="98"/>
  <c r="AO240" i="98"/>
  <c r="AM244" i="98"/>
  <c r="AN250" i="98"/>
  <c r="AP256" i="98"/>
  <c r="AH262" i="98"/>
  <c r="AI268" i="98"/>
  <c r="AM270" i="98"/>
  <c r="AK284" i="98"/>
  <c r="AO286" i="98"/>
  <c r="AP292" i="98"/>
  <c r="AK300" i="98"/>
  <c r="AJ304" i="98"/>
  <c r="AL310" i="98"/>
  <c r="AK318" i="98"/>
  <c r="AN322" i="98"/>
  <c r="AM328" i="98"/>
  <c r="AM338" i="98"/>
  <c r="AL346" i="98"/>
  <c r="AM354" i="98"/>
  <c r="AH364" i="98"/>
  <c r="AO372" i="98"/>
  <c r="AO222" i="98"/>
  <c r="AK226" i="98"/>
  <c r="AJ232" i="98"/>
  <c r="AK238" i="98"/>
  <c r="AM248" i="98"/>
  <c r="AO254" i="98"/>
  <c r="AK264" i="98"/>
  <c r="AO270" i="98"/>
  <c r="AL274" i="98"/>
  <c r="AM280" i="98"/>
  <c r="AM284" i="98"/>
  <c r="AH298" i="98"/>
  <c r="AM300" i="98"/>
  <c r="AO306" i="98"/>
  <c r="AM310" i="98"/>
  <c r="AO322" i="98"/>
  <c r="AO338" i="98"/>
  <c r="AM346" i="98"/>
  <c r="AO354" i="98"/>
  <c r="AI364" i="98"/>
  <c r="AO234" i="98"/>
  <c r="AK242" i="98"/>
  <c r="AN244" i="98"/>
  <c r="AO250" i="98"/>
  <c r="AI262" i="98"/>
  <c r="AJ268" i="98"/>
  <c r="AK278" i="98"/>
  <c r="AO284" i="98"/>
  <c r="AP286" i="98"/>
  <c r="AI298" i="98"/>
  <c r="AK304" i="98"/>
  <c r="AO310" i="98"/>
  <c r="AP322" i="98"/>
  <c r="AK330" i="98"/>
  <c r="AN346" i="98"/>
  <c r="AM364" i="98"/>
  <c r="AK374" i="98"/>
  <c r="AL238" i="98"/>
  <c r="AM242" i="98"/>
  <c r="AO248" i="98"/>
  <c r="AH256" i="98"/>
  <c r="AK258" i="98"/>
  <c r="AM264" i="98"/>
  <c r="AK268" i="98"/>
  <c r="AM274" i="98"/>
  <c r="AN280" i="98"/>
  <c r="AH292" i="98"/>
  <c r="AJ298" i="98"/>
  <c r="AO300" i="98"/>
  <c r="AH316" i="98"/>
  <c r="AK320" i="98"/>
  <c r="AM324" i="98"/>
  <c r="AM330" i="98"/>
  <c r="AH340" i="98"/>
  <c r="AO346" i="98"/>
  <c r="AN364" i="98"/>
  <c r="AI376" i="98"/>
  <c r="AM238" i="98"/>
  <c r="AO244" i="98"/>
  <c r="AP250" i="98"/>
  <c r="AI256" i="98"/>
  <c r="AJ262" i="98"/>
  <c r="AL268" i="98"/>
  <c r="AK272" i="98"/>
  <c r="AM278" i="98"/>
  <c r="AO280" i="98"/>
  <c r="AK294" i="98"/>
  <c r="AK298" i="98"/>
  <c r="AL304" i="98"/>
  <c r="AP310" i="98"/>
  <c r="AO330" i="98"/>
  <c r="AI340" i="98"/>
  <c r="AM348" i="98"/>
  <c r="AH358" i="98"/>
  <c r="AO364" i="98"/>
  <c r="AJ376" i="98"/>
  <c r="AN238" i="98"/>
  <c r="AO242" i="98"/>
  <c r="AM258" i="98"/>
  <c r="AO264" i="98"/>
  <c r="AM268" i="98"/>
  <c r="AN274" i="98"/>
  <c r="AP280" i="98"/>
  <c r="AH286" i="98"/>
  <c r="AI292" i="98"/>
  <c r="AM294" i="98"/>
  <c r="AK308" i="98"/>
  <c r="AI316" i="98"/>
  <c r="AM320" i="98"/>
  <c r="AO324" i="98"/>
  <c r="AM340" i="98"/>
  <c r="AO348" i="98"/>
  <c r="AI358" i="98"/>
  <c r="AP364" i="98"/>
  <c r="AK376" i="98"/>
  <c r="AO218" i="98"/>
  <c r="AM224" i="98"/>
  <c r="AK230" i="98"/>
  <c r="AK236" i="98"/>
  <c r="AO238" i="98"/>
  <c r="AP244" i="98"/>
  <c r="AK252" i="98"/>
  <c r="AJ256" i="98"/>
  <c r="AK262" i="98"/>
  <c r="AM272" i="98"/>
  <c r="AO278" i="98"/>
  <c r="AK288" i="98"/>
  <c r="AO294" i="98"/>
  <c r="AL298" i="98"/>
  <c r="AM304" i="98"/>
  <c r="AM308" i="98"/>
  <c r="AJ316" i="98"/>
  <c r="AN340" i="98"/>
  <c r="AJ358" i="98"/>
  <c r="AH208" i="98"/>
  <c r="AP214" i="98"/>
  <c r="AO220" i="98"/>
  <c r="AN226" i="98"/>
  <c r="AM232" i="98"/>
  <c r="AM236" i="98"/>
  <c r="AH250" i="98"/>
  <c r="AM252" i="98"/>
  <c r="AO258" i="98"/>
  <c r="AK266" i="98"/>
  <c r="AN268" i="98"/>
  <c r="AO274" i="98"/>
  <c r="AI286" i="98"/>
  <c r="AJ292" i="98"/>
  <c r="AK302" i="98"/>
  <c r="AM316" i="98"/>
  <c r="AO320" i="98"/>
  <c r="AH334" i="98"/>
  <c r="AO340" i="98"/>
  <c r="AK350" i="98"/>
  <c r="AK358" i="98"/>
  <c r="AK378" i="98"/>
  <c r="AI208" i="98"/>
  <c r="AH214" i="98"/>
  <c r="AO224" i="98"/>
  <c r="AM230" i="98"/>
  <c r="AO236" i="98"/>
  <c r="AP238" i="98"/>
  <c r="AI250" i="98"/>
  <c r="AK256" i="98"/>
  <c r="AL262" i="98"/>
  <c r="AM266" i="98"/>
  <c r="AO272" i="98"/>
  <c r="AH280" i="98"/>
  <c r="AK282" i="98"/>
  <c r="AM288" i="98"/>
  <c r="AK292" i="98"/>
  <c r="AM298" i="98"/>
  <c r="AN304" i="98"/>
  <c r="AK312" i="98"/>
  <c r="AI334" i="98"/>
  <c r="AP340" i="98"/>
  <c r="AM350" i="98"/>
  <c r="AO358" i="98"/>
  <c r="AK368" i="98"/>
  <c r="AM378" i="98"/>
  <c r="AK144" i="98"/>
  <c r="AH148" i="98"/>
  <c r="AP148" i="98"/>
  <c r="AO152" i="98"/>
  <c r="AN154" i="98"/>
  <c r="AK158" i="98"/>
  <c r="AL160" i="98"/>
  <c r="AO162" i="98"/>
  <c r="AJ166" i="98"/>
  <c r="AK168" i="98"/>
  <c r="AH172" i="98"/>
  <c r="AP172" i="98"/>
  <c r="AO176" i="98"/>
  <c r="AN178" i="98"/>
  <c r="AM184" i="98"/>
  <c r="AL190" i="98"/>
  <c r="AK196" i="98"/>
  <c r="AJ202" i="98"/>
  <c r="AM204" i="98"/>
  <c r="AK210" i="98"/>
  <c r="AP220" i="98"/>
  <c r="AO226" i="98"/>
  <c r="AN232" i="98"/>
  <c r="AH244" i="98"/>
  <c r="AJ250" i="98"/>
  <c r="AO252" i="98"/>
  <c r="AM262" i="98"/>
  <c r="AO268" i="98"/>
  <c r="AP274" i="98"/>
  <c r="AI280" i="98"/>
  <c r="AJ286" i="98"/>
  <c r="AL292" i="98"/>
  <c r="AK296" i="98"/>
  <c r="AM302" i="98"/>
  <c r="AO304" i="98"/>
  <c r="AH310" i="98"/>
  <c r="AN316" i="98"/>
  <c r="AH322" i="98"/>
  <c r="AK326" i="98"/>
  <c r="AJ334" i="98"/>
  <c r="AI352" i="98"/>
  <c r="AP358" i="98"/>
  <c r="AM368" i="98"/>
  <c r="AH382" i="98"/>
  <c r="AM182" i="98"/>
  <c r="AK188" i="98"/>
  <c r="AO198" i="98"/>
  <c r="AK202" i="98"/>
  <c r="AJ208" i="98"/>
  <c r="AI214" i="98"/>
  <c r="AH220" i="98"/>
  <c r="AO230" i="98"/>
  <c r="AO232" i="98"/>
  <c r="AK246" i="98"/>
  <c r="AK250" i="98"/>
  <c r="AL256" i="98"/>
  <c r="AN262" i="98"/>
  <c r="AO266" i="98"/>
  <c r="AM282" i="98"/>
  <c r="AO288" i="98"/>
  <c r="AM292" i="98"/>
  <c r="AN298" i="98"/>
  <c r="AP304" i="98"/>
  <c r="AM312" i="98"/>
  <c r="AK322" i="98"/>
  <c r="AM326" i="98"/>
  <c r="AK334" i="98"/>
  <c r="AJ352" i="98"/>
  <c r="AO368" i="98"/>
  <c r="AI382" i="98"/>
  <c r="AO10" i="98"/>
  <c r="AM14" i="98"/>
  <c r="AM16" i="98"/>
  <c r="AK22" i="98"/>
  <c r="AM24" i="98"/>
  <c r="AI28" i="98"/>
  <c r="AO34" i="98"/>
  <c r="AM38" i="98"/>
  <c r="AM40" i="98"/>
  <c r="AK46" i="98"/>
  <c r="AM48" i="98"/>
  <c r="AI52" i="98"/>
  <c r="AO58" i="98"/>
  <c r="AM62" i="98"/>
  <c r="AM64" i="98"/>
  <c r="AK70" i="98"/>
  <c r="AM72" i="98"/>
  <c r="AI76" i="98"/>
  <c r="AO82" i="98"/>
  <c r="AM86" i="98"/>
  <c r="AM88" i="98"/>
  <c r="AK94" i="98"/>
  <c r="AM96" i="98"/>
  <c r="AI100" i="98"/>
  <c r="AO106" i="98"/>
  <c r="AM110" i="98"/>
  <c r="AM112" i="98"/>
  <c r="AK118" i="98"/>
  <c r="AM120" i="98"/>
  <c r="AI124" i="98"/>
  <c r="AO130" i="98"/>
  <c r="AM134" i="98"/>
  <c r="AM136" i="98"/>
  <c r="AK142" i="98"/>
  <c r="AM144" i="98"/>
  <c r="AI148" i="98"/>
  <c r="AO154" i="98"/>
  <c r="AM158" i="98"/>
  <c r="AM160" i="98"/>
  <c r="AK166" i="98"/>
  <c r="AM168" i="98"/>
  <c r="AI172" i="98"/>
  <c r="AO178" i="98"/>
  <c r="AN184" i="98"/>
  <c r="AM190" i="98"/>
  <c r="AL196" i="98"/>
  <c r="AO204" i="98"/>
  <c r="AM210" i="98"/>
  <c r="AK216" i="98"/>
  <c r="AP226" i="98"/>
  <c r="AP232" i="98"/>
  <c r="AH238" i="98"/>
  <c r="AI244" i="98"/>
  <c r="AM246" i="98"/>
  <c r="AK260" i="98"/>
  <c r="AO262" i="98"/>
  <c r="AP268" i="98"/>
  <c r="AK276" i="98"/>
  <c r="AJ280" i="98"/>
  <c r="AK286" i="98"/>
  <c r="AM296" i="98"/>
  <c r="AO302" i="98"/>
  <c r="AI310" i="98"/>
  <c r="AO312" i="98"/>
  <c r="AO316" i="98"/>
  <c r="AO326" i="98"/>
  <c r="AO334" i="98"/>
  <c r="AK344" i="98"/>
  <c r="AK352" i="98"/>
  <c r="AK360" i="98"/>
  <c r="AK370" i="98"/>
  <c r="AP382" i="98"/>
  <c r="AO182" i="98"/>
  <c r="AM188" i="98"/>
  <c r="AK194" i="98"/>
  <c r="AM196" i="98"/>
  <c r="AL202" i="98"/>
  <c r="AK208" i="98"/>
  <c r="AJ214" i="98"/>
  <c r="AI220" i="98"/>
  <c r="AH226" i="98"/>
  <c r="AK240" i="98"/>
  <c r="AO246" i="98"/>
  <c r="AL250" i="98"/>
  <c r="AM256" i="98"/>
  <c r="AM260" i="98"/>
  <c r="AH274" i="98"/>
  <c r="AM276" i="98"/>
  <c r="AO282" i="98"/>
  <c r="AK290" i="98"/>
  <c r="AN292" i="98"/>
  <c r="AO298" i="98"/>
  <c r="AL322" i="98"/>
  <c r="AI328" i="98"/>
  <c r="AP334" i="98"/>
  <c r="AM344" i="98"/>
  <c r="AL352" i="98"/>
  <c r="AM360" i="98"/>
  <c r="AL370" i="98"/>
  <c r="AO382" i="98"/>
  <c r="AM386" i="98"/>
  <c r="AM388" i="98"/>
  <c r="AK394" i="98"/>
  <c r="AM396" i="98"/>
  <c r="AI400" i="98"/>
  <c r="AO386" i="98"/>
  <c r="AN388" i="98"/>
  <c r="AK392" i="98"/>
  <c r="AL394" i="98"/>
  <c r="AO396" i="98"/>
  <c r="AJ400" i="98"/>
  <c r="AK402" i="98"/>
  <c r="AO388" i="98"/>
  <c r="AM392" i="98"/>
  <c r="AM394" i="98"/>
  <c r="AK400" i="98"/>
  <c r="AM402" i="98"/>
  <c r="AL376" i="98"/>
  <c r="AO378" i="98"/>
  <c r="AJ382" i="98"/>
  <c r="AK384" i="98"/>
  <c r="AH388" i="98"/>
  <c r="AP388" i="98"/>
  <c r="AO392" i="98"/>
  <c r="AN394" i="98"/>
  <c r="AK398" i="98"/>
  <c r="AL400" i="98"/>
  <c r="AO402" i="98"/>
  <c r="AO370" i="98"/>
  <c r="AM374" i="98"/>
  <c r="AM376" i="98"/>
  <c r="AK382" i="98"/>
  <c r="AM384" i="98"/>
  <c r="AI388" i="98"/>
  <c r="AO394" i="98"/>
  <c r="AM398" i="98"/>
  <c r="AM400" i="98"/>
  <c r="AN328" i="98"/>
  <c r="AK332" i="98"/>
  <c r="AL334" i="98"/>
  <c r="AO336" i="98"/>
  <c r="AJ340" i="98"/>
  <c r="AK342" i="98"/>
  <c r="AH346" i="98"/>
  <c r="AP346" i="98"/>
  <c r="AO350" i="98"/>
  <c r="AN352" i="98"/>
  <c r="AK356" i="98"/>
  <c r="AL358" i="98"/>
  <c r="AO360" i="98"/>
  <c r="AJ364" i="98"/>
  <c r="AK366" i="98"/>
  <c r="AH370" i="98"/>
  <c r="AP370" i="98"/>
  <c r="AO374" i="98"/>
  <c r="AN376" i="98"/>
  <c r="AK380" i="98"/>
  <c r="AL382" i="98"/>
  <c r="AO384" i="98"/>
  <c r="AJ388" i="98"/>
  <c r="AK390" i="98"/>
  <c r="AH394" i="98"/>
  <c r="AP394" i="98"/>
  <c r="AO398" i="98"/>
  <c r="AN400" i="98"/>
  <c r="AK404" i="98"/>
  <c r="AK316" i="98"/>
  <c r="AM318" i="98"/>
  <c r="AI322" i="98"/>
  <c r="AO328" i="98"/>
  <c r="AM332" i="98"/>
  <c r="AM334" i="98"/>
  <c r="AK340" i="98"/>
  <c r="AM342" i="98"/>
  <c r="AI346" i="98"/>
  <c r="AO352" i="98"/>
  <c r="AM356" i="98"/>
  <c r="AM358" i="98"/>
  <c r="AK364" i="98"/>
  <c r="AM366" i="98"/>
  <c r="AI370" i="98"/>
  <c r="AO376" i="98"/>
  <c r="AM380" i="98"/>
  <c r="AM382" i="98"/>
  <c r="AK388" i="98"/>
  <c r="AM390" i="98"/>
  <c r="AI394" i="98"/>
  <c r="AO400" i="98"/>
  <c r="AM404" i="98"/>
  <c r="AO308" i="98"/>
  <c r="AN310" i="98"/>
  <c r="AK314" i="98"/>
  <c r="AL316" i="98"/>
  <c r="AO318" i="98"/>
  <c r="AJ322" i="98"/>
  <c r="AK324" i="98"/>
  <c r="AH328" i="98"/>
  <c r="AP328" i="98"/>
  <c r="AO332" i="98"/>
  <c r="AN334" i="98"/>
  <c r="AK338" i="98"/>
  <c r="AL340" i="98"/>
  <c r="AO342" i="98"/>
  <c r="AJ346" i="98"/>
  <c r="AK348" i="98"/>
  <c r="AH352" i="98"/>
  <c r="AP352" i="98"/>
  <c r="AO356" i="98"/>
  <c r="AN358" i="98"/>
  <c r="AK362" i="98"/>
  <c r="AL364" i="98"/>
  <c r="AO366" i="98"/>
  <c r="AJ370" i="98"/>
  <c r="AK372" i="98"/>
  <c r="AH376" i="98"/>
  <c r="AP376" i="98"/>
  <c r="AO380" i="98"/>
  <c r="AN382" i="98"/>
  <c r="AK386" i="98"/>
  <c r="AL388" i="98"/>
  <c r="AO390" i="98"/>
  <c r="AJ394" i="98"/>
  <c r="AK396" i="98"/>
  <c r="AH400" i="98"/>
  <c r="AP400" i="98"/>
  <c r="AO404" i="98"/>
  <c r="AP4" i="98"/>
  <c r="AL4" i="98"/>
  <c r="AN4" i="98"/>
  <c r="AA454" i="98"/>
  <c r="P454" i="98"/>
  <c r="AA463" i="98"/>
  <c r="AA467" i="98" s="1"/>
  <c r="P472" i="98"/>
  <c r="AM4" i="98"/>
  <c r="AM6" i="98"/>
  <c r="AM8" i="98"/>
  <c r="AO4" i="98"/>
  <c r="AO6" i="98"/>
  <c r="AO8" i="98"/>
  <c r="AK4" i="98"/>
  <c r="AK6" i="98"/>
  <c r="AK8" i="98"/>
  <c r="AC454" i="98"/>
  <c r="AB463" i="98"/>
  <c r="AC463" i="98"/>
  <c r="AB418" i="98"/>
  <c r="AB472" i="98"/>
  <c r="AC472" i="98"/>
  <c r="AC445" i="98"/>
  <c r="AB454" i="98"/>
  <c r="AB427" i="98"/>
  <c r="AC418" i="98"/>
  <c r="AC427" i="98"/>
  <c r="AB436" i="98"/>
  <c r="AB445" i="98"/>
  <c r="AC436" i="98"/>
  <c r="P418" i="98"/>
  <c r="AA418" i="98"/>
  <c r="AA409" i="98"/>
  <c r="AH4" i="98"/>
  <c r="AK344" i="100" l="1"/>
  <c r="AK342" i="100"/>
  <c r="AK343" i="100"/>
  <c r="AK350" i="100"/>
  <c r="AK348" i="100"/>
  <c r="AK349" i="100"/>
  <c r="AG346" i="100"/>
  <c r="AG347" i="100"/>
  <c r="AR31" i="97" s="1"/>
  <c r="AG345" i="100"/>
  <c r="AM350" i="100"/>
  <c r="AM348" i="100"/>
  <c r="AM349" i="100"/>
  <c r="AM342" i="100"/>
  <c r="AM344" i="100"/>
  <c r="AM343" i="100"/>
  <c r="AC31" i="97" s="1"/>
  <c r="AK345" i="100"/>
  <c r="AK346" i="100"/>
  <c r="AK347" i="100"/>
  <c r="AM346" i="100"/>
  <c r="AM345" i="100"/>
  <c r="AM347" i="100"/>
  <c r="AG343" i="100"/>
  <c r="AG344" i="100"/>
  <c r="AE31" i="97" s="1"/>
  <c r="AG342" i="100"/>
  <c r="AO344" i="100"/>
  <c r="AO342" i="100"/>
  <c r="AO343" i="100"/>
  <c r="AO350" i="100"/>
  <c r="AO348" i="100"/>
  <c r="AO349" i="100"/>
  <c r="AO346" i="100"/>
  <c r="AQ31" i="97" s="1"/>
  <c r="AO347" i="100"/>
  <c r="AU31" i="97" s="1"/>
  <c r="AO345" i="100"/>
  <c r="AG349" i="100"/>
  <c r="AG350" i="100"/>
  <c r="AG348" i="100"/>
  <c r="AA476" i="99"/>
  <c r="AA440" i="99"/>
  <c r="AA413" i="99"/>
  <c r="AA308" i="100"/>
  <c r="AA335" i="100"/>
  <c r="AA299" i="100"/>
  <c r="AA346" i="100"/>
  <c r="AM325" i="100"/>
  <c r="AL29" i="97" s="1"/>
  <c r="AM327" i="100"/>
  <c r="AT29" i="97" s="1"/>
  <c r="AM326" i="100"/>
  <c r="AP29" i="97" s="1"/>
  <c r="AK312" i="100"/>
  <c r="BF27" i="97" s="1"/>
  <c r="AK311" i="100"/>
  <c r="BB27" i="97" s="1"/>
  <c r="AK310" i="100"/>
  <c r="AX27" i="97" s="1"/>
  <c r="AP315" i="100"/>
  <c r="U28" i="97" s="1"/>
  <c r="AP314" i="100"/>
  <c r="O28" i="97" s="1"/>
  <c r="AP313" i="100"/>
  <c r="I28" i="97" s="1"/>
  <c r="AM321" i="100"/>
  <c r="BG28" i="97" s="1"/>
  <c r="AM320" i="100"/>
  <c r="BC28" i="97" s="1"/>
  <c r="AM319" i="100"/>
  <c r="AY28" i="97" s="1"/>
  <c r="AK321" i="100"/>
  <c r="BF28" i="97" s="1"/>
  <c r="AK320" i="100"/>
  <c r="BB28" i="97" s="1"/>
  <c r="AK319" i="100"/>
  <c r="AX28" i="97" s="1"/>
  <c r="AM303" i="100"/>
  <c r="BG26" i="97" s="1"/>
  <c r="AM302" i="100"/>
  <c r="BC26" i="97" s="1"/>
  <c r="AM301" i="100"/>
  <c r="AY26" i="97" s="1"/>
  <c r="AO324" i="100"/>
  <c r="AH29" i="97" s="1"/>
  <c r="AO323" i="100"/>
  <c r="AD29" i="97" s="1"/>
  <c r="AO322" i="100"/>
  <c r="Z29" i="97" s="1"/>
  <c r="AK306" i="100"/>
  <c r="AF27" i="97" s="1"/>
  <c r="AK305" i="100"/>
  <c r="AB27" i="97" s="1"/>
  <c r="AK304" i="100"/>
  <c r="X27" i="97" s="1"/>
  <c r="AK338" i="100"/>
  <c r="BB30" i="97" s="1"/>
  <c r="AK337" i="100"/>
  <c r="AX30" i="97" s="1"/>
  <c r="AK339" i="100"/>
  <c r="BF30" i="97" s="1"/>
  <c r="AM312" i="100"/>
  <c r="BG27" i="97" s="1"/>
  <c r="AM311" i="100"/>
  <c r="BC27" i="97" s="1"/>
  <c r="AM310" i="100"/>
  <c r="AY27" i="97" s="1"/>
  <c r="AK308" i="100"/>
  <c r="AO27" i="97" s="1"/>
  <c r="AK307" i="100"/>
  <c r="AK27" i="97" s="1"/>
  <c r="AK309" i="100"/>
  <c r="AS27" i="97" s="1"/>
  <c r="AK303" i="100"/>
  <c r="BF26" i="97" s="1"/>
  <c r="AK302" i="100"/>
  <c r="BB26" i="97" s="1"/>
  <c r="AK301" i="100"/>
  <c r="AX26" i="97" s="1"/>
  <c r="AM317" i="100"/>
  <c r="AP28" i="97" s="1"/>
  <c r="AM316" i="100"/>
  <c r="AL28" i="97" s="1"/>
  <c r="AM318" i="100"/>
  <c r="AT28" i="97" s="1"/>
  <c r="AK317" i="100"/>
  <c r="AO28" i="97" s="1"/>
  <c r="AK316" i="100"/>
  <c r="AK28" i="97" s="1"/>
  <c r="AK318" i="100"/>
  <c r="AS28" i="97" s="1"/>
  <c r="BE31" i="97"/>
  <c r="BA31" i="97"/>
  <c r="AW31" i="97"/>
  <c r="BG31" i="97"/>
  <c r="BC31" i="97"/>
  <c r="AY31" i="97"/>
  <c r="AG324" i="100"/>
  <c r="AE29" i="97" s="1"/>
  <c r="AG323" i="100"/>
  <c r="AA29" i="97" s="1"/>
  <c r="AG322" i="100"/>
  <c r="W29" i="97" s="1"/>
  <c r="AK334" i="100"/>
  <c r="AK30" i="97" s="1"/>
  <c r="AK336" i="100"/>
  <c r="AS30" i="97" s="1"/>
  <c r="AK335" i="100"/>
  <c r="AO30" i="97" s="1"/>
  <c r="AM308" i="100"/>
  <c r="AP27" i="97" s="1"/>
  <c r="AM307" i="100"/>
  <c r="AL27" i="97" s="1"/>
  <c r="AM309" i="100"/>
  <c r="AT27" i="97" s="1"/>
  <c r="AN306" i="100"/>
  <c r="T27" i="97" s="1"/>
  <c r="AN305" i="100"/>
  <c r="N27" i="97" s="1"/>
  <c r="AN304" i="100"/>
  <c r="H27" i="97" s="1"/>
  <c r="AK299" i="100"/>
  <c r="AO26" i="97" s="1"/>
  <c r="AK298" i="100"/>
  <c r="AK26" i="97" s="1"/>
  <c r="AK300" i="100"/>
  <c r="AS26" i="97" s="1"/>
  <c r="AO315" i="100"/>
  <c r="AH28" i="97" s="1"/>
  <c r="AO314" i="100"/>
  <c r="AD28" i="97" s="1"/>
  <c r="AO313" i="100"/>
  <c r="Z28" i="97" s="1"/>
  <c r="AN315" i="100"/>
  <c r="T28" i="97" s="1"/>
  <c r="AN314" i="100"/>
  <c r="N28" i="97" s="1"/>
  <c r="AN313" i="100"/>
  <c r="H28" i="97" s="1"/>
  <c r="AM299" i="100"/>
  <c r="AP26" i="97" s="1"/>
  <c r="AM298" i="100"/>
  <c r="AL26" i="97" s="1"/>
  <c r="AM300" i="100"/>
  <c r="AT26" i="97" s="1"/>
  <c r="AI342" i="100"/>
  <c r="E31" i="97" s="1"/>
  <c r="AI343" i="100"/>
  <c r="K31" i="97" s="1"/>
  <c r="AI344" i="100"/>
  <c r="Q31" i="97" s="1"/>
  <c r="AO31" i="97"/>
  <c r="AK31" i="97"/>
  <c r="AS31" i="97"/>
  <c r="AN333" i="100"/>
  <c r="T30" i="97" s="1"/>
  <c r="AN332" i="100"/>
  <c r="N30" i="97" s="1"/>
  <c r="AN331" i="100"/>
  <c r="H30" i="97" s="1"/>
  <c r="AL315" i="100"/>
  <c r="S28" i="97" s="1"/>
  <c r="AL314" i="100"/>
  <c r="M28" i="97" s="1"/>
  <c r="AL313" i="100"/>
  <c r="G28" i="97" s="1"/>
  <c r="AM324" i="100"/>
  <c r="AG29" i="97" s="1"/>
  <c r="AM323" i="100"/>
  <c r="AC29" i="97" s="1"/>
  <c r="AM322" i="100"/>
  <c r="Y29" i="97" s="1"/>
  <c r="AO306" i="100"/>
  <c r="AH27" i="97" s="1"/>
  <c r="AO305" i="100"/>
  <c r="AD27" i="97" s="1"/>
  <c r="AO304" i="100"/>
  <c r="Z27" i="97" s="1"/>
  <c r="AG315" i="100"/>
  <c r="AE28" i="97" s="1"/>
  <c r="AG314" i="100"/>
  <c r="AA28" i="97" s="1"/>
  <c r="AG313" i="100"/>
  <c r="W28" i="97" s="1"/>
  <c r="AN297" i="100"/>
  <c r="T26" i="97" s="1"/>
  <c r="AN296" i="100"/>
  <c r="N26" i="97" s="1"/>
  <c r="AN295" i="100"/>
  <c r="H26" i="97" s="1"/>
  <c r="AL297" i="100"/>
  <c r="S26" i="97" s="1"/>
  <c r="AL296" i="100"/>
  <c r="M26" i="97" s="1"/>
  <c r="AL295" i="100"/>
  <c r="G26" i="97" s="1"/>
  <c r="AO303" i="100"/>
  <c r="BH26" i="97" s="1"/>
  <c r="AO302" i="100"/>
  <c r="BD26" i="97" s="1"/>
  <c r="AO301" i="100"/>
  <c r="AZ26" i="97" s="1"/>
  <c r="AP342" i="100"/>
  <c r="I31" i="97" s="1"/>
  <c r="AP343" i="100"/>
  <c r="O31" i="97" s="1"/>
  <c r="AP344" i="100"/>
  <c r="U31" i="97" s="1"/>
  <c r="AK297" i="100"/>
  <c r="AF26" i="97" s="1"/>
  <c r="AK296" i="100"/>
  <c r="AB26" i="97" s="1"/>
  <c r="AK295" i="100"/>
  <c r="X26" i="97" s="1"/>
  <c r="W31" i="97"/>
  <c r="AA31" i="97"/>
  <c r="AM31" i="97"/>
  <c r="AO299" i="100"/>
  <c r="AQ26" i="97" s="1"/>
  <c r="AO298" i="100"/>
  <c r="AM26" i="97" s="1"/>
  <c r="AO300" i="100"/>
  <c r="AU26" i="97" s="1"/>
  <c r="Z31" i="97"/>
  <c r="AD31" i="97"/>
  <c r="AH31" i="97"/>
  <c r="AM338" i="100"/>
  <c r="BC30" i="97" s="1"/>
  <c r="AM337" i="100"/>
  <c r="AY30" i="97" s="1"/>
  <c r="AM339" i="100"/>
  <c r="BG30" i="97" s="1"/>
  <c r="AG321" i="100"/>
  <c r="BE28" i="97" s="1"/>
  <c r="AG320" i="100"/>
  <c r="BA28" i="97" s="1"/>
  <c r="AG319" i="100"/>
  <c r="AW28" i="97" s="1"/>
  <c r="AB31" i="97"/>
  <c r="AF31" i="97"/>
  <c r="X31" i="97"/>
  <c r="AI297" i="100"/>
  <c r="Q26" i="97" s="1"/>
  <c r="AI296" i="100"/>
  <c r="K26" i="97" s="1"/>
  <c r="AI295" i="100"/>
  <c r="E26" i="97" s="1"/>
  <c r="AO334" i="100"/>
  <c r="AM30" i="97" s="1"/>
  <c r="AO336" i="100"/>
  <c r="AU30" i="97" s="1"/>
  <c r="AO335" i="100"/>
  <c r="AQ30" i="97" s="1"/>
  <c r="AG335" i="100"/>
  <c r="AN30" i="97" s="1"/>
  <c r="AG334" i="100"/>
  <c r="AJ30" i="97" s="1"/>
  <c r="AG336" i="100"/>
  <c r="AR30" i="97" s="1"/>
  <c r="AL343" i="100"/>
  <c r="M31" i="97" s="1"/>
  <c r="AL344" i="100"/>
  <c r="S31" i="97" s="1"/>
  <c r="AL342" i="100"/>
  <c r="G31" i="97" s="1"/>
  <c r="AH342" i="100"/>
  <c r="D31" i="97" s="1"/>
  <c r="AH343" i="100"/>
  <c r="J31" i="97" s="1"/>
  <c r="AH344" i="100"/>
  <c r="P31" i="97" s="1"/>
  <c r="BH31" i="97"/>
  <c r="BD31" i="97"/>
  <c r="AZ31" i="97"/>
  <c r="AM334" i="100"/>
  <c r="AL30" i="97" s="1"/>
  <c r="AM336" i="100"/>
  <c r="AT30" i="97" s="1"/>
  <c r="AM335" i="100"/>
  <c r="AP30" i="97" s="1"/>
  <c r="AJ315" i="100"/>
  <c r="R28" i="97" s="1"/>
  <c r="AJ314" i="100"/>
  <c r="L28" i="97" s="1"/>
  <c r="AJ313" i="100"/>
  <c r="F28" i="97" s="1"/>
  <c r="AG317" i="100"/>
  <c r="AN28" i="97" s="1"/>
  <c r="AG316" i="100"/>
  <c r="AJ28" i="97" s="1"/>
  <c r="AG318" i="100"/>
  <c r="AR28" i="97" s="1"/>
  <c r="AL333" i="100"/>
  <c r="S30" i="97" s="1"/>
  <c r="AL332" i="100"/>
  <c r="M30" i="97" s="1"/>
  <c r="AL331" i="100"/>
  <c r="G30" i="97" s="1"/>
  <c r="AL306" i="100"/>
  <c r="S27" i="97" s="1"/>
  <c r="AL305" i="100"/>
  <c r="M27" i="97" s="1"/>
  <c r="AL304" i="100"/>
  <c r="G27" i="97" s="1"/>
  <c r="AK333" i="100"/>
  <c r="AF30" i="97" s="1"/>
  <c r="AK332" i="100"/>
  <c r="AB30" i="97" s="1"/>
  <c r="AK331" i="100"/>
  <c r="X30" i="97" s="1"/>
  <c r="AO338" i="100"/>
  <c r="BD30" i="97" s="1"/>
  <c r="AO337" i="100"/>
  <c r="AZ30" i="97" s="1"/>
  <c r="AO339" i="100"/>
  <c r="BH30" i="97" s="1"/>
  <c r="AG339" i="100"/>
  <c r="BE30" i="97" s="1"/>
  <c r="AG338" i="100"/>
  <c r="BA30" i="97" s="1"/>
  <c r="AG337" i="100"/>
  <c r="AW30" i="97" s="1"/>
  <c r="AN344" i="100"/>
  <c r="T31" i="97" s="1"/>
  <c r="AN342" i="100"/>
  <c r="H31" i="97" s="1"/>
  <c r="AN343" i="100"/>
  <c r="N31" i="97" s="1"/>
  <c r="AO333" i="100"/>
  <c r="AH30" i="97" s="1"/>
  <c r="AO332" i="100"/>
  <c r="AD30" i="97" s="1"/>
  <c r="AO331" i="100"/>
  <c r="Z30" i="97" s="1"/>
  <c r="AM315" i="100"/>
  <c r="AG28" i="97" s="1"/>
  <c r="AM314" i="100"/>
  <c r="AC28" i="97" s="1"/>
  <c r="AM313" i="100"/>
  <c r="Y28" i="97" s="1"/>
  <c r="AJ333" i="100"/>
  <c r="R30" i="97" s="1"/>
  <c r="AJ332" i="100"/>
  <c r="L30" i="97" s="1"/>
  <c r="AJ331" i="100"/>
  <c r="F30" i="97" s="1"/>
  <c r="AI333" i="100"/>
  <c r="Q30" i="97" s="1"/>
  <c r="AI332" i="100"/>
  <c r="K30" i="97" s="1"/>
  <c r="AI331" i="100"/>
  <c r="E30" i="97" s="1"/>
  <c r="AO297" i="100"/>
  <c r="AH26" i="97" s="1"/>
  <c r="AO296" i="100"/>
  <c r="AD26" i="97" s="1"/>
  <c r="AO295" i="100"/>
  <c r="Z26" i="97" s="1"/>
  <c r="AG333" i="100"/>
  <c r="AE30" i="97" s="1"/>
  <c r="AG332" i="100"/>
  <c r="AA30" i="97" s="1"/>
  <c r="AG331" i="100"/>
  <c r="W30" i="97" s="1"/>
  <c r="AJ306" i="100"/>
  <c r="R27" i="97" s="1"/>
  <c r="AJ305" i="100"/>
  <c r="L27" i="97" s="1"/>
  <c r="AJ304" i="100"/>
  <c r="F27" i="97" s="1"/>
  <c r="AO312" i="100"/>
  <c r="BH27" i="97" s="1"/>
  <c r="AO311" i="100"/>
  <c r="BD27" i="97" s="1"/>
  <c r="AO310" i="100"/>
  <c r="AZ27" i="97" s="1"/>
  <c r="AG312" i="100"/>
  <c r="BE27" i="97" s="1"/>
  <c r="AG311" i="100"/>
  <c r="BA27" i="97" s="1"/>
  <c r="AG310" i="100"/>
  <c r="AW27" i="97" s="1"/>
  <c r="AH306" i="100"/>
  <c r="P27" i="97" s="1"/>
  <c r="AH305" i="100"/>
  <c r="J27" i="97" s="1"/>
  <c r="AH304" i="100"/>
  <c r="D27" i="97" s="1"/>
  <c r="AK330" i="100"/>
  <c r="BF29" i="97" s="1"/>
  <c r="AK329" i="100"/>
  <c r="BB29" i="97" s="1"/>
  <c r="AK328" i="100"/>
  <c r="AX29" i="97" s="1"/>
  <c r="AO308" i="100"/>
  <c r="AQ27" i="97" s="1"/>
  <c r="AO307" i="100"/>
  <c r="AM27" i="97" s="1"/>
  <c r="AO309" i="100"/>
  <c r="AU27" i="97" s="1"/>
  <c r="AH315" i="100"/>
  <c r="P28" i="97" s="1"/>
  <c r="AH314" i="100"/>
  <c r="J28" i="97" s="1"/>
  <c r="AH313" i="100"/>
  <c r="D28" i="97" s="1"/>
  <c r="AG308" i="100"/>
  <c r="AN27" i="97" s="1"/>
  <c r="AG307" i="100"/>
  <c r="AJ27" i="97" s="1"/>
  <c r="AG309" i="100"/>
  <c r="AR27" i="97" s="1"/>
  <c r="AO329" i="100"/>
  <c r="BD29" i="97" s="1"/>
  <c r="AO328" i="100"/>
  <c r="AZ29" i="97" s="1"/>
  <c r="AO330" i="100"/>
  <c r="BH29" i="97" s="1"/>
  <c r="AI306" i="100"/>
  <c r="Q27" i="97" s="1"/>
  <c r="AI305" i="100"/>
  <c r="K27" i="97" s="1"/>
  <c r="AI304" i="100"/>
  <c r="E27" i="97" s="1"/>
  <c r="AG300" i="100"/>
  <c r="AR26" i="97" s="1"/>
  <c r="AG299" i="100"/>
  <c r="AN26" i="97" s="1"/>
  <c r="AG298" i="100"/>
  <c r="AJ26" i="97" s="1"/>
  <c r="AK326" i="100"/>
  <c r="AO29" i="97" s="1"/>
  <c r="AK325" i="100"/>
  <c r="AK29" i="97" s="1"/>
  <c r="AK327" i="100"/>
  <c r="AS29" i="97" s="1"/>
  <c r="AP306" i="100"/>
  <c r="U27" i="97" s="1"/>
  <c r="AP305" i="100"/>
  <c r="O27" i="97" s="1"/>
  <c r="AP304" i="100"/>
  <c r="I27" i="97" s="1"/>
  <c r="AM306" i="100"/>
  <c r="AG27" i="97" s="1"/>
  <c r="AM305" i="100"/>
  <c r="AC27" i="97" s="1"/>
  <c r="AM304" i="100"/>
  <c r="Y27" i="97" s="1"/>
  <c r="AJ324" i="100"/>
  <c r="R29" i="97" s="1"/>
  <c r="AJ323" i="100"/>
  <c r="L29" i="97" s="1"/>
  <c r="AJ322" i="100"/>
  <c r="F29" i="97" s="1"/>
  <c r="AG330" i="100"/>
  <c r="BE29" i="97" s="1"/>
  <c r="AG329" i="100"/>
  <c r="BA29" i="97" s="1"/>
  <c r="AG328" i="100"/>
  <c r="AW29" i="97" s="1"/>
  <c r="BF31" i="97"/>
  <c r="BB31" i="97"/>
  <c r="AX31" i="97"/>
  <c r="AG297" i="100"/>
  <c r="AE26" i="97" s="1"/>
  <c r="AG296" i="100"/>
  <c r="AA26" i="97" s="1"/>
  <c r="AG295" i="100"/>
  <c r="W26" i="97" s="1"/>
  <c r="AA317" i="100"/>
  <c r="AN324" i="100"/>
  <c r="T29" i="97" s="1"/>
  <c r="AN323" i="100"/>
  <c r="N29" i="97" s="1"/>
  <c r="AN322" i="100"/>
  <c r="H29" i="97" s="1"/>
  <c r="AH333" i="100"/>
  <c r="P30" i="97" s="1"/>
  <c r="AH332" i="100"/>
  <c r="J30" i="97" s="1"/>
  <c r="AH331" i="100"/>
  <c r="D30" i="97" s="1"/>
  <c r="AI315" i="100"/>
  <c r="Q28" i="97" s="1"/>
  <c r="AI314" i="100"/>
  <c r="K28" i="97" s="1"/>
  <c r="AI313" i="100"/>
  <c r="E28" i="97" s="1"/>
  <c r="AP333" i="100"/>
  <c r="U30" i="97" s="1"/>
  <c r="AP332" i="100"/>
  <c r="O30" i="97" s="1"/>
  <c r="AP331" i="100"/>
  <c r="I30" i="97" s="1"/>
  <c r="AM333" i="100"/>
  <c r="AG30" i="97" s="1"/>
  <c r="AM332" i="100"/>
  <c r="AC30" i="97" s="1"/>
  <c r="AM331" i="100"/>
  <c r="Y30" i="97" s="1"/>
  <c r="AI324" i="100"/>
  <c r="Q29" i="97" s="1"/>
  <c r="AI323" i="100"/>
  <c r="K29" i="97" s="1"/>
  <c r="AI322" i="100"/>
  <c r="E29" i="97" s="1"/>
  <c r="AH324" i="100"/>
  <c r="P29" i="97" s="1"/>
  <c r="AH323" i="100"/>
  <c r="J29" i="97" s="1"/>
  <c r="AH322" i="100"/>
  <c r="D29" i="97" s="1"/>
  <c r="AN31" i="97"/>
  <c r="AJ31" i="97"/>
  <c r="AP324" i="100"/>
  <c r="U29" i="97" s="1"/>
  <c r="AP323" i="100"/>
  <c r="O29" i="97" s="1"/>
  <c r="AP322" i="100"/>
  <c r="I29" i="97" s="1"/>
  <c r="AJ297" i="100"/>
  <c r="R26" i="97" s="1"/>
  <c r="AJ296" i="100"/>
  <c r="L26" i="97" s="1"/>
  <c r="AJ295" i="100"/>
  <c r="F26" i="97" s="1"/>
  <c r="AP297" i="100"/>
  <c r="U26" i="97" s="1"/>
  <c r="AP296" i="100"/>
  <c r="O26" i="97" s="1"/>
  <c r="AP295" i="100"/>
  <c r="I26" i="97" s="1"/>
  <c r="AP31" i="97"/>
  <c r="AL31" i="97"/>
  <c r="AT31" i="97"/>
  <c r="AO325" i="100"/>
  <c r="AM29" i="97" s="1"/>
  <c r="AO327" i="100"/>
  <c r="AU29" i="97" s="1"/>
  <c r="AO326" i="100"/>
  <c r="AQ29" i="97" s="1"/>
  <c r="AG326" i="100"/>
  <c r="AN29" i="97" s="1"/>
  <c r="AG325" i="100"/>
  <c r="AJ29" i="97" s="1"/>
  <c r="AG327" i="100"/>
  <c r="AR29" i="97" s="1"/>
  <c r="AO320" i="100"/>
  <c r="BD28" i="97" s="1"/>
  <c r="AO319" i="100"/>
  <c r="AZ28" i="97" s="1"/>
  <c r="AO321" i="100"/>
  <c r="BH28" i="97" s="1"/>
  <c r="AH297" i="100"/>
  <c r="P26" i="97" s="1"/>
  <c r="AH296" i="100"/>
  <c r="J26" i="97" s="1"/>
  <c r="AH295" i="100"/>
  <c r="D26" i="97" s="1"/>
  <c r="AM297" i="100"/>
  <c r="AG26" i="97" s="1"/>
  <c r="AM296" i="100"/>
  <c r="AC26" i="97" s="1"/>
  <c r="AM295" i="100"/>
  <c r="Y26" i="97" s="1"/>
  <c r="AM329" i="100"/>
  <c r="BC29" i="97" s="1"/>
  <c r="AM328" i="100"/>
  <c r="AY29" i="97" s="1"/>
  <c r="AM330" i="100"/>
  <c r="BG29" i="97" s="1"/>
  <c r="AK315" i="100"/>
  <c r="AF28" i="97" s="1"/>
  <c r="AK314" i="100"/>
  <c r="AB28" i="97" s="1"/>
  <c r="AK313" i="100"/>
  <c r="X28" i="97" s="1"/>
  <c r="AG306" i="100"/>
  <c r="AE27" i="97" s="1"/>
  <c r="AG305" i="100"/>
  <c r="AA27" i="97" s="1"/>
  <c r="AG304" i="100"/>
  <c r="W27" i="97" s="1"/>
  <c r="AJ342" i="100"/>
  <c r="F31" i="97" s="1"/>
  <c r="AJ343" i="100"/>
  <c r="L31" i="97" s="1"/>
  <c r="AJ344" i="100"/>
  <c r="R31" i="97" s="1"/>
  <c r="AL324" i="100"/>
  <c r="S29" i="97" s="1"/>
  <c r="AL323" i="100"/>
  <c r="M29" i="97" s="1"/>
  <c r="AL322" i="100"/>
  <c r="G29" i="97" s="1"/>
  <c r="AK324" i="100"/>
  <c r="AF29" i="97" s="1"/>
  <c r="AK323" i="100"/>
  <c r="AB29" i="97" s="1"/>
  <c r="AK322" i="100"/>
  <c r="X29" i="97" s="1"/>
  <c r="AO316" i="100"/>
  <c r="AM28" i="97" s="1"/>
  <c r="AO318" i="100"/>
  <c r="AU28" i="97" s="1"/>
  <c r="AO317" i="100"/>
  <c r="AQ28" i="97" s="1"/>
  <c r="AG303" i="100"/>
  <c r="BE26" i="97" s="1"/>
  <c r="AG302" i="100"/>
  <c r="BA26" i="97" s="1"/>
  <c r="AG301" i="100"/>
  <c r="AW26" i="97" s="1"/>
  <c r="AG31" i="97"/>
  <c r="Y31" i="97"/>
  <c r="AM440" i="99"/>
  <c r="AP19" i="97" s="1"/>
  <c r="AM439" i="99"/>
  <c r="AL19" i="97" s="1"/>
  <c r="AM441" i="99"/>
  <c r="AT19" i="97" s="1"/>
  <c r="AA449" i="99"/>
  <c r="AH465" i="99"/>
  <c r="P22" i="97" s="1"/>
  <c r="AH464" i="99"/>
  <c r="J22" i="97" s="1"/>
  <c r="AH463" i="99"/>
  <c r="D22" i="97" s="1"/>
  <c r="AM475" i="99"/>
  <c r="AL23" i="97" s="1"/>
  <c r="AM477" i="99"/>
  <c r="AT23" i="97" s="1"/>
  <c r="AM476" i="99"/>
  <c r="AP23" i="97" s="1"/>
  <c r="AG462" i="99"/>
  <c r="BE21" i="97" s="1"/>
  <c r="AG461" i="99"/>
  <c r="BA21" i="97" s="1"/>
  <c r="AG460" i="99"/>
  <c r="AW21" i="97" s="1"/>
  <c r="AG475" i="99"/>
  <c r="AJ23" i="97" s="1"/>
  <c r="AG477" i="99"/>
  <c r="AR23" i="97" s="1"/>
  <c r="AG476" i="99"/>
  <c r="AN23" i="97" s="1"/>
  <c r="AI456" i="99"/>
  <c r="Q21" i="97" s="1"/>
  <c r="AI455" i="99"/>
  <c r="K21" i="97" s="1"/>
  <c r="AI454" i="99"/>
  <c r="E21" i="97" s="1"/>
  <c r="AK444" i="99"/>
  <c r="BF19" i="97" s="1"/>
  <c r="AK443" i="99"/>
  <c r="BB19" i="97" s="1"/>
  <c r="AK442" i="99"/>
  <c r="AX19" i="97" s="1"/>
  <c r="AK484" i="99"/>
  <c r="AB24" i="97" s="1"/>
  <c r="AK485" i="99"/>
  <c r="AF24" i="97" s="1"/>
  <c r="AK411" i="99"/>
  <c r="AF16" i="97" s="1"/>
  <c r="AK410" i="99"/>
  <c r="AB16" i="97" s="1"/>
  <c r="AK409" i="99"/>
  <c r="X16" i="97" s="1"/>
  <c r="AK483" i="99"/>
  <c r="X24" i="97" s="1"/>
  <c r="AG423" i="99"/>
  <c r="AR17" i="97" s="1"/>
  <c r="AG422" i="99"/>
  <c r="AN17" i="97" s="1"/>
  <c r="AG421" i="99"/>
  <c r="AJ17" i="97" s="1"/>
  <c r="AI483" i="99"/>
  <c r="E24" i="97" s="1"/>
  <c r="AI484" i="99"/>
  <c r="K24" i="97" s="1"/>
  <c r="AI485" i="99"/>
  <c r="Q24" i="97" s="1"/>
  <c r="AI409" i="99"/>
  <c r="E16" i="97" s="1"/>
  <c r="AI411" i="99"/>
  <c r="Q16" i="97" s="1"/>
  <c r="AI410" i="99"/>
  <c r="K16" i="97" s="1"/>
  <c r="AG456" i="99"/>
  <c r="AE21" i="97" s="1"/>
  <c r="AG455" i="99"/>
  <c r="AA21" i="97" s="1"/>
  <c r="AG454" i="99"/>
  <c r="W21" i="97" s="1"/>
  <c r="AM461" i="99"/>
  <c r="BC21" i="97" s="1"/>
  <c r="AM460" i="99"/>
  <c r="AY21" i="97" s="1"/>
  <c r="AM462" i="99"/>
  <c r="BG21" i="97" s="1"/>
  <c r="AK449" i="99"/>
  <c r="AO20" i="97" s="1"/>
  <c r="AK448" i="99"/>
  <c r="AK20" i="97" s="1"/>
  <c r="AK450" i="99"/>
  <c r="AS20" i="97" s="1"/>
  <c r="AP465" i="99"/>
  <c r="U22" i="97" s="1"/>
  <c r="AP464" i="99"/>
  <c r="O22" i="97" s="1"/>
  <c r="AP463" i="99"/>
  <c r="I22" i="97" s="1"/>
  <c r="AO474" i="99"/>
  <c r="AH23" i="97" s="1"/>
  <c r="AO473" i="99"/>
  <c r="AD23" i="97" s="1"/>
  <c r="AO472" i="99"/>
  <c r="Z23" i="97" s="1"/>
  <c r="AG458" i="99"/>
  <c r="AN21" i="97" s="1"/>
  <c r="AG457" i="99"/>
  <c r="AJ21" i="97" s="1"/>
  <c r="AG459" i="99"/>
  <c r="AR21" i="97" s="1"/>
  <c r="AH447" i="99"/>
  <c r="P20" i="97" s="1"/>
  <c r="AH446" i="99"/>
  <c r="J20" i="97" s="1"/>
  <c r="AH445" i="99"/>
  <c r="D20" i="97" s="1"/>
  <c r="AG440" i="99"/>
  <c r="AN19" i="97" s="1"/>
  <c r="AG439" i="99"/>
  <c r="AJ19" i="97" s="1"/>
  <c r="AG441" i="99"/>
  <c r="AR19" i="97" s="1"/>
  <c r="AL420" i="99"/>
  <c r="S17" i="97" s="1"/>
  <c r="AL419" i="99"/>
  <c r="M17" i="97" s="1"/>
  <c r="AL418" i="99"/>
  <c r="G17" i="97" s="1"/>
  <c r="AG429" i="99"/>
  <c r="AE18" i="97" s="1"/>
  <c r="AG428" i="99"/>
  <c r="AA18" i="97" s="1"/>
  <c r="AG427" i="99"/>
  <c r="W18" i="97" s="1"/>
  <c r="AO456" i="99"/>
  <c r="AH21" i="97" s="1"/>
  <c r="AO455" i="99"/>
  <c r="AD21" i="97" s="1"/>
  <c r="AO454" i="99"/>
  <c r="Z21" i="97" s="1"/>
  <c r="AJ438" i="99"/>
  <c r="R19" i="97" s="1"/>
  <c r="AJ437" i="99"/>
  <c r="L19" i="97" s="1"/>
  <c r="AJ436" i="99"/>
  <c r="F19" i="97" s="1"/>
  <c r="AK435" i="99"/>
  <c r="BF18" i="97" s="1"/>
  <c r="AK434" i="99"/>
  <c r="BB18" i="97" s="1"/>
  <c r="AK433" i="99"/>
  <c r="AX18" i="97" s="1"/>
  <c r="AJ483" i="99"/>
  <c r="F24" i="97" s="1"/>
  <c r="AJ484" i="99"/>
  <c r="L24" i="97" s="1"/>
  <c r="AJ485" i="99"/>
  <c r="R24" i="97" s="1"/>
  <c r="AJ409" i="99"/>
  <c r="F16" i="97" s="1"/>
  <c r="AJ411" i="99"/>
  <c r="R16" i="97" s="1"/>
  <c r="AJ410" i="99"/>
  <c r="L16" i="97" s="1"/>
  <c r="AP447" i="99"/>
  <c r="U20" i="97" s="1"/>
  <c r="AP446" i="99"/>
  <c r="O20" i="97" s="1"/>
  <c r="AP445" i="99"/>
  <c r="I20" i="97" s="1"/>
  <c r="AG438" i="99"/>
  <c r="AE19" i="97" s="1"/>
  <c r="AG437" i="99"/>
  <c r="AA19" i="97" s="1"/>
  <c r="AG436" i="99"/>
  <c r="W19" i="97" s="1"/>
  <c r="AG474" i="99"/>
  <c r="AE23" i="97" s="1"/>
  <c r="AG473" i="99"/>
  <c r="AA23" i="97" s="1"/>
  <c r="AG472" i="99"/>
  <c r="W23" i="97" s="1"/>
  <c r="AM456" i="99"/>
  <c r="AG21" i="97" s="1"/>
  <c r="AM455" i="99"/>
  <c r="AC21" i="97" s="1"/>
  <c r="AM454" i="99"/>
  <c r="Y21" i="97" s="1"/>
  <c r="AN474" i="99"/>
  <c r="T23" i="97" s="1"/>
  <c r="AN473" i="99"/>
  <c r="N23" i="97" s="1"/>
  <c r="AN472" i="99"/>
  <c r="H23" i="97" s="1"/>
  <c r="AL438" i="99"/>
  <c r="S19" i="97" s="1"/>
  <c r="AL437" i="99"/>
  <c r="M19" i="97" s="1"/>
  <c r="AL436" i="99"/>
  <c r="G19" i="97" s="1"/>
  <c r="AJ447" i="99"/>
  <c r="R20" i="97" s="1"/>
  <c r="AJ446" i="99"/>
  <c r="L20" i="97" s="1"/>
  <c r="AJ445" i="99"/>
  <c r="F20" i="97" s="1"/>
  <c r="AM429" i="99"/>
  <c r="AG18" i="97" s="1"/>
  <c r="AM428" i="99"/>
  <c r="AC18" i="97" s="1"/>
  <c r="AM427" i="99"/>
  <c r="Y18" i="97" s="1"/>
  <c r="AI474" i="99"/>
  <c r="Q23" i="97" s="1"/>
  <c r="AI473" i="99"/>
  <c r="K23" i="97" s="1"/>
  <c r="AI472" i="99"/>
  <c r="E23" i="97" s="1"/>
  <c r="AO443" i="99"/>
  <c r="BD19" i="97" s="1"/>
  <c r="AO442" i="99"/>
  <c r="AZ19" i="97" s="1"/>
  <c r="AO444" i="99"/>
  <c r="BH19" i="97" s="1"/>
  <c r="AL474" i="99"/>
  <c r="S23" i="97" s="1"/>
  <c r="AL473" i="99"/>
  <c r="M23" i="97" s="1"/>
  <c r="AL472" i="99"/>
  <c r="G23" i="97" s="1"/>
  <c r="AK453" i="99"/>
  <c r="BF20" i="97" s="1"/>
  <c r="AK452" i="99"/>
  <c r="BB20" i="97" s="1"/>
  <c r="AK451" i="99"/>
  <c r="AX20" i="97" s="1"/>
  <c r="AK438" i="99"/>
  <c r="AF19" i="97" s="1"/>
  <c r="AK437" i="99"/>
  <c r="AB19" i="97" s="1"/>
  <c r="AK436" i="99"/>
  <c r="X19" i="97" s="1"/>
  <c r="AO448" i="99"/>
  <c r="AM20" i="97" s="1"/>
  <c r="AO450" i="99"/>
  <c r="AU20" i="97" s="1"/>
  <c r="AO449" i="99"/>
  <c r="AQ20" i="97" s="1"/>
  <c r="AK426" i="99"/>
  <c r="BF17" i="97" s="1"/>
  <c r="AK425" i="99"/>
  <c r="BB17" i="97" s="1"/>
  <c r="AK424" i="99"/>
  <c r="AX17" i="97" s="1"/>
  <c r="AK457" i="99"/>
  <c r="AK21" i="97" s="1"/>
  <c r="AK459" i="99"/>
  <c r="AS21" i="97" s="1"/>
  <c r="AK458" i="99"/>
  <c r="AO21" i="97" s="1"/>
  <c r="AO478" i="99"/>
  <c r="AZ23" i="97" s="1"/>
  <c r="AO480" i="99"/>
  <c r="BH23" i="97" s="1"/>
  <c r="AO479" i="99"/>
  <c r="BD23" i="97" s="1"/>
  <c r="AO439" i="99"/>
  <c r="AM19" i="97" s="1"/>
  <c r="AO441" i="99"/>
  <c r="AU19" i="97" s="1"/>
  <c r="AO440" i="99"/>
  <c r="AQ19" i="97" s="1"/>
  <c r="AM465" i="99"/>
  <c r="AG22" i="97" s="1"/>
  <c r="AM464" i="99"/>
  <c r="AC22" i="97" s="1"/>
  <c r="AM463" i="99"/>
  <c r="Y22" i="97" s="1"/>
  <c r="AG426" i="99"/>
  <c r="BE17" i="97" s="1"/>
  <c r="AG425" i="99"/>
  <c r="BA17" i="97" s="1"/>
  <c r="AG424" i="99"/>
  <c r="AW17" i="97" s="1"/>
  <c r="AN456" i="99"/>
  <c r="T21" i="97" s="1"/>
  <c r="AN455" i="99"/>
  <c r="N21" i="97" s="1"/>
  <c r="AN454" i="99"/>
  <c r="H21" i="97" s="1"/>
  <c r="AN429" i="99"/>
  <c r="T18" i="97" s="1"/>
  <c r="AN428" i="99"/>
  <c r="N18" i="97" s="1"/>
  <c r="AN427" i="99"/>
  <c r="H18" i="97" s="1"/>
  <c r="AM435" i="99"/>
  <c r="BG18" i="97" s="1"/>
  <c r="AM434" i="99"/>
  <c r="BC18" i="97" s="1"/>
  <c r="AM433" i="99"/>
  <c r="AY18" i="97" s="1"/>
  <c r="AJ474" i="99"/>
  <c r="R23" i="97" s="1"/>
  <c r="AJ473" i="99"/>
  <c r="L23" i="97" s="1"/>
  <c r="AJ472" i="99"/>
  <c r="F23" i="97" s="1"/>
  <c r="AM420" i="99"/>
  <c r="AG17" i="97" s="1"/>
  <c r="AM419" i="99"/>
  <c r="AC17" i="97" s="1"/>
  <c r="AM418" i="99"/>
  <c r="Y17" i="97" s="1"/>
  <c r="AN420" i="99"/>
  <c r="T17" i="97" s="1"/>
  <c r="AN419" i="99"/>
  <c r="N17" i="97" s="1"/>
  <c r="AN418" i="99"/>
  <c r="H17" i="97" s="1"/>
  <c r="AO475" i="99"/>
  <c r="AM23" i="97" s="1"/>
  <c r="AO477" i="99"/>
  <c r="AU23" i="97" s="1"/>
  <c r="AO476" i="99"/>
  <c r="AQ23" i="97" s="1"/>
  <c r="AP438" i="99"/>
  <c r="U19" i="97" s="1"/>
  <c r="AP437" i="99"/>
  <c r="O19" i="97" s="1"/>
  <c r="AP436" i="99"/>
  <c r="I19" i="97" s="1"/>
  <c r="AK466" i="99"/>
  <c r="AK22" i="97" s="1"/>
  <c r="AK468" i="99"/>
  <c r="AS22" i="97" s="1"/>
  <c r="AK467" i="99"/>
  <c r="AO22" i="97" s="1"/>
  <c r="AK429" i="99"/>
  <c r="AF18" i="97" s="1"/>
  <c r="AK428" i="99"/>
  <c r="AB18" i="97" s="1"/>
  <c r="AK427" i="99"/>
  <c r="X18" i="97" s="1"/>
  <c r="AG447" i="99"/>
  <c r="AE20" i="97" s="1"/>
  <c r="AG446" i="99"/>
  <c r="AA20" i="97" s="1"/>
  <c r="AG445" i="99"/>
  <c r="W20" i="97" s="1"/>
  <c r="AJ429" i="99"/>
  <c r="R18" i="97" s="1"/>
  <c r="AJ428" i="99"/>
  <c r="L18" i="97" s="1"/>
  <c r="AJ427" i="99"/>
  <c r="F18" i="97" s="1"/>
  <c r="AK420" i="99"/>
  <c r="AF17" i="97" s="1"/>
  <c r="AK419" i="99"/>
  <c r="AB17" i="97" s="1"/>
  <c r="AK418" i="99"/>
  <c r="X17" i="97" s="1"/>
  <c r="AO438" i="99"/>
  <c r="AH19" i="97" s="1"/>
  <c r="AO437" i="99"/>
  <c r="AD19" i="97" s="1"/>
  <c r="AO436" i="99"/>
  <c r="Z19" i="97" s="1"/>
  <c r="AN438" i="99"/>
  <c r="T19" i="97" s="1"/>
  <c r="AN437" i="99"/>
  <c r="N19" i="97" s="1"/>
  <c r="AN436" i="99"/>
  <c r="H19" i="97" s="1"/>
  <c r="AK431" i="99"/>
  <c r="AO18" i="97" s="1"/>
  <c r="AK430" i="99"/>
  <c r="AK18" i="97" s="1"/>
  <c r="AK432" i="99"/>
  <c r="AS18" i="97" s="1"/>
  <c r="AM479" i="99"/>
  <c r="BC23" i="97" s="1"/>
  <c r="AM478" i="99"/>
  <c r="AY23" i="97" s="1"/>
  <c r="AM480" i="99"/>
  <c r="BG23" i="97" s="1"/>
  <c r="AL456" i="99"/>
  <c r="S21" i="97" s="1"/>
  <c r="AL455" i="99"/>
  <c r="M21" i="97" s="1"/>
  <c r="AL454" i="99"/>
  <c r="G21" i="97" s="1"/>
  <c r="AP474" i="99"/>
  <c r="U23" i="97" s="1"/>
  <c r="AP473" i="99"/>
  <c r="O23" i="97" s="1"/>
  <c r="AP472" i="99"/>
  <c r="I23" i="97" s="1"/>
  <c r="AI438" i="99"/>
  <c r="Q19" i="97" s="1"/>
  <c r="AI437" i="99"/>
  <c r="K19" i="97" s="1"/>
  <c r="AI436" i="99"/>
  <c r="E19" i="97" s="1"/>
  <c r="AH438" i="99"/>
  <c r="P19" i="97" s="1"/>
  <c r="AH437" i="99"/>
  <c r="J19" i="97" s="1"/>
  <c r="AH436" i="99"/>
  <c r="D19" i="97" s="1"/>
  <c r="AL465" i="99"/>
  <c r="S22" i="97" s="1"/>
  <c r="AL464" i="99"/>
  <c r="M22" i="97" s="1"/>
  <c r="AL463" i="99"/>
  <c r="G22" i="97" s="1"/>
  <c r="AG466" i="99"/>
  <c r="AJ22" i="97" s="1"/>
  <c r="AG468" i="99"/>
  <c r="AR22" i="97" s="1"/>
  <c r="AG467" i="99"/>
  <c r="AN22" i="97" s="1"/>
  <c r="AI447" i="99"/>
  <c r="Q20" i="97" s="1"/>
  <c r="AI446" i="99"/>
  <c r="K20" i="97" s="1"/>
  <c r="AI445" i="99"/>
  <c r="E20" i="97" s="1"/>
  <c r="AO426" i="99"/>
  <c r="BH17" i="97" s="1"/>
  <c r="AO425" i="99"/>
  <c r="BD17" i="97" s="1"/>
  <c r="AO424" i="99"/>
  <c r="AZ17" i="97" s="1"/>
  <c r="AH474" i="99"/>
  <c r="P23" i="97" s="1"/>
  <c r="AH473" i="99"/>
  <c r="J23" i="97" s="1"/>
  <c r="AH472" i="99"/>
  <c r="D23" i="97" s="1"/>
  <c r="AK465" i="99"/>
  <c r="AF22" i="97" s="1"/>
  <c r="AK464" i="99"/>
  <c r="AB22" i="97" s="1"/>
  <c r="AK463" i="99"/>
  <c r="X22" i="97" s="1"/>
  <c r="AK475" i="99"/>
  <c r="AK23" i="97" s="1"/>
  <c r="AK477" i="99"/>
  <c r="AS23" i="97" s="1"/>
  <c r="AK476" i="99"/>
  <c r="AO23" i="97" s="1"/>
  <c r="AO491" i="99"/>
  <c r="BH24" i="97" s="1"/>
  <c r="AO490" i="99"/>
  <c r="BD24" i="97" s="1"/>
  <c r="AO489" i="99"/>
  <c r="AZ24" i="97" s="1"/>
  <c r="AM491" i="99"/>
  <c r="BG24" i="97" s="1"/>
  <c r="AM490" i="99"/>
  <c r="BC24" i="97" s="1"/>
  <c r="AM489" i="99"/>
  <c r="AY24" i="97" s="1"/>
  <c r="AO429" i="99"/>
  <c r="AH18" i="97" s="1"/>
  <c r="AO428" i="99"/>
  <c r="AD18" i="97" s="1"/>
  <c r="AO427" i="99"/>
  <c r="Z18" i="97" s="1"/>
  <c r="AO420" i="99"/>
  <c r="AH17" i="97" s="1"/>
  <c r="AO419" i="99"/>
  <c r="AD17" i="97" s="1"/>
  <c r="AO418" i="99"/>
  <c r="Z17" i="97" s="1"/>
  <c r="AM452" i="99"/>
  <c r="BC20" i="97" s="1"/>
  <c r="AM451" i="99"/>
  <c r="AY20" i="97" s="1"/>
  <c r="AM453" i="99"/>
  <c r="BG20" i="97" s="1"/>
  <c r="AL484" i="99"/>
  <c r="M24" i="97" s="1"/>
  <c r="AL485" i="99"/>
  <c r="S24" i="97" s="1"/>
  <c r="AL411" i="99"/>
  <c r="S16" i="97" s="1"/>
  <c r="AL410" i="99"/>
  <c r="M16" i="97" s="1"/>
  <c r="AL409" i="99"/>
  <c r="G16" i="97" s="1"/>
  <c r="AL483" i="99"/>
  <c r="G24" i="97" s="1"/>
  <c r="AM470" i="99"/>
  <c r="BC22" i="97" s="1"/>
  <c r="AM469" i="99"/>
  <c r="AY22" i="97" s="1"/>
  <c r="AM471" i="99"/>
  <c r="BG22" i="97" s="1"/>
  <c r="AL447" i="99"/>
  <c r="S20" i="97" s="1"/>
  <c r="AL446" i="99"/>
  <c r="M20" i="97" s="1"/>
  <c r="AL445" i="99"/>
  <c r="G20" i="97" s="1"/>
  <c r="AG479" i="99"/>
  <c r="BA23" i="97" s="1"/>
  <c r="AG478" i="99"/>
  <c r="AW23" i="97" s="1"/>
  <c r="AG480" i="99"/>
  <c r="BE23" i="97" s="1"/>
  <c r="AK474" i="99"/>
  <c r="AF23" i="97" s="1"/>
  <c r="AK473" i="99"/>
  <c r="AB23" i="97" s="1"/>
  <c r="AK472" i="99"/>
  <c r="X23" i="97" s="1"/>
  <c r="AO457" i="99"/>
  <c r="AM21" i="97" s="1"/>
  <c r="AO459" i="99"/>
  <c r="AU21" i="97" s="1"/>
  <c r="AO458" i="99"/>
  <c r="AQ21" i="97" s="1"/>
  <c r="AO487" i="99"/>
  <c r="AQ24" i="97" s="1"/>
  <c r="AO417" i="99"/>
  <c r="BH16" i="97" s="1"/>
  <c r="AO413" i="99"/>
  <c r="AQ16" i="97" s="1"/>
  <c r="AO486" i="99"/>
  <c r="AM24" i="97" s="1"/>
  <c r="AO416" i="99"/>
  <c r="BD16" i="97" s="1"/>
  <c r="AO412" i="99"/>
  <c r="AM16" i="97" s="1"/>
  <c r="AO488" i="99"/>
  <c r="AU24" i="97" s="1"/>
  <c r="AO414" i="99"/>
  <c r="AU16" i="97" s="1"/>
  <c r="AO415" i="99"/>
  <c r="AZ16" i="97" s="1"/>
  <c r="AO431" i="99"/>
  <c r="AQ18" i="97" s="1"/>
  <c r="AO430" i="99"/>
  <c r="AM18" i="97" s="1"/>
  <c r="AO432" i="99"/>
  <c r="AU18" i="97" s="1"/>
  <c r="AH420" i="99"/>
  <c r="P17" i="97" s="1"/>
  <c r="AH418" i="99"/>
  <c r="D17" i="97" s="1"/>
  <c r="AH419" i="99"/>
  <c r="J17" i="97" s="1"/>
  <c r="AM487" i="99"/>
  <c r="AP24" i="97" s="1"/>
  <c r="AM417" i="99"/>
  <c r="BG16" i="97" s="1"/>
  <c r="AM413" i="99"/>
  <c r="AP16" i="97" s="1"/>
  <c r="AM486" i="99"/>
  <c r="AL24" i="97" s="1"/>
  <c r="AM416" i="99"/>
  <c r="BC16" i="97" s="1"/>
  <c r="AM488" i="99"/>
  <c r="AT24" i="97" s="1"/>
  <c r="AM414" i="99"/>
  <c r="AT16" i="97" s="1"/>
  <c r="AM412" i="99"/>
  <c r="AL16" i="97" s="1"/>
  <c r="AM415" i="99"/>
  <c r="AY16" i="97" s="1"/>
  <c r="AO435" i="99"/>
  <c r="BH18" i="97" s="1"/>
  <c r="AO434" i="99"/>
  <c r="BD18" i="97" s="1"/>
  <c r="AO433" i="99"/>
  <c r="AZ18" i="97" s="1"/>
  <c r="AO422" i="99"/>
  <c r="AQ17" i="97" s="1"/>
  <c r="AO421" i="99"/>
  <c r="AM17" i="97" s="1"/>
  <c r="AO423" i="99"/>
  <c r="AU17" i="97" s="1"/>
  <c r="AG491" i="99"/>
  <c r="BE24" i="97" s="1"/>
  <c r="AG490" i="99"/>
  <c r="BA24" i="97" s="1"/>
  <c r="AG489" i="99"/>
  <c r="AW24" i="97" s="1"/>
  <c r="AM466" i="99"/>
  <c r="AL22" i="97" s="1"/>
  <c r="AM468" i="99"/>
  <c r="AT22" i="97" s="1"/>
  <c r="AM467" i="99"/>
  <c r="AP22" i="97" s="1"/>
  <c r="AG453" i="99"/>
  <c r="BE20" i="97" s="1"/>
  <c r="AG452" i="99"/>
  <c r="BA20" i="97" s="1"/>
  <c r="AG451" i="99"/>
  <c r="AW20" i="97" s="1"/>
  <c r="AM444" i="99"/>
  <c r="BG19" i="97" s="1"/>
  <c r="AM443" i="99"/>
  <c r="BC19" i="97" s="1"/>
  <c r="AM442" i="99"/>
  <c r="AY19" i="97" s="1"/>
  <c r="AI429" i="99"/>
  <c r="Q18" i="97" s="1"/>
  <c r="AI428" i="99"/>
  <c r="K18" i="97" s="1"/>
  <c r="AI427" i="99"/>
  <c r="E18" i="97" s="1"/>
  <c r="AJ420" i="99"/>
  <c r="R17" i="97" s="1"/>
  <c r="AJ419" i="99"/>
  <c r="L17" i="97" s="1"/>
  <c r="AJ418" i="99"/>
  <c r="F17" i="97" s="1"/>
  <c r="AP411" i="99"/>
  <c r="U16" i="97" s="1"/>
  <c r="AP410" i="99"/>
  <c r="O16" i="97" s="1"/>
  <c r="AP409" i="99"/>
  <c r="I16" i="97" s="1"/>
  <c r="AP483" i="99"/>
  <c r="I24" i="97" s="1"/>
  <c r="AP484" i="99"/>
  <c r="O24" i="97" s="1"/>
  <c r="AP485" i="99"/>
  <c r="U24" i="97" s="1"/>
  <c r="AP429" i="99"/>
  <c r="U18" i="97" s="1"/>
  <c r="AP428" i="99"/>
  <c r="O18" i="97" s="1"/>
  <c r="AP427" i="99"/>
  <c r="I18" i="97" s="1"/>
  <c r="AO411" i="99"/>
  <c r="AH16" i="97" s="1"/>
  <c r="AO410" i="99"/>
  <c r="AD16" i="97" s="1"/>
  <c r="AO409" i="99"/>
  <c r="Z16" i="97" s="1"/>
  <c r="AO483" i="99"/>
  <c r="Z24" i="97" s="1"/>
  <c r="AO484" i="99"/>
  <c r="AD24" i="97" s="1"/>
  <c r="AO485" i="99"/>
  <c r="AH24" i="97" s="1"/>
  <c r="AM431" i="99"/>
  <c r="AP18" i="97" s="1"/>
  <c r="AM430" i="99"/>
  <c r="AL18" i="97" s="1"/>
  <c r="AM432" i="99"/>
  <c r="AT18" i="97" s="1"/>
  <c r="AP420" i="99"/>
  <c r="U17" i="97" s="1"/>
  <c r="AP419" i="99"/>
  <c r="O17" i="97" s="1"/>
  <c r="AP418" i="99"/>
  <c r="I17" i="97" s="1"/>
  <c r="AK491" i="99"/>
  <c r="BF24" i="97" s="1"/>
  <c r="AK490" i="99"/>
  <c r="BB24" i="97" s="1"/>
  <c r="AK489" i="99"/>
  <c r="AX24" i="97" s="1"/>
  <c r="AG414" i="99"/>
  <c r="AR16" i="97" s="1"/>
  <c r="AG487" i="99"/>
  <c r="AN24" i="97" s="1"/>
  <c r="AG417" i="99"/>
  <c r="BE16" i="97" s="1"/>
  <c r="AG413" i="99"/>
  <c r="AN16" i="97" s="1"/>
  <c r="AG486" i="99"/>
  <c r="AJ24" i="97" s="1"/>
  <c r="AG488" i="99"/>
  <c r="AR24" i="97" s="1"/>
  <c r="AG412" i="99"/>
  <c r="AJ16" i="97" s="1"/>
  <c r="AG416" i="99"/>
  <c r="BA16" i="97" s="1"/>
  <c r="AG415" i="99"/>
  <c r="AW16" i="97" s="1"/>
  <c r="AO465" i="99"/>
  <c r="AH22" i="97" s="1"/>
  <c r="AO464" i="99"/>
  <c r="AD22" i="97" s="1"/>
  <c r="AO463" i="99"/>
  <c r="Z22" i="97" s="1"/>
  <c r="AG449" i="99"/>
  <c r="AN20" i="97" s="1"/>
  <c r="AG448" i="99"/>
  <c r="AJ20" i="97" s="1"/>
  <c r="AG450" i="99"/>
  <c r="AR20" i="97" s="1"/>
  <c r="AM474" i="99"/>
  <c r="AG23" i="97" s="1"/>
  <c r="AM473" i="99"/>
  <c r="AC23" i="97" s="1"/>
  <c r="AM472" i="99"/>
  <c r="Y23" i="97" s="1"/>
  <c r="AK440" i="99"/>
  <c r="AO19" i="97" s="1"/>
  <c r="AK439" i="99"/>
  <c r="AK19" i="97" s="1"/>
  <c r="AK441" i="99"/>
  <c r="AS19" i="97" s="1"/>
  <c r="AH483" i="99"/>
  <c r="D24" i="97" s="1"/>
  <c r="AH484" i="99"/>
  <c r="J24" i="97" s="1"/>
  <c r="AH485" i="99"/>
  <c r="P24" i="97" s="1"/>
  <c r="AH409" i="99"/>
  <c r="D16" i="97" s="1"/>
  <c r="AH411" i="99"/>
  <c r="P16" i="97" s="1"/>
  <c r="AH410" i="99"/>
  <c r="J16" i="97" s="1"/>
  <c r="AG483" i="99"/>
  <c r="W24" i="97" s="1"/>
  <c r="AG484" i="99"/>
  <c r="AA24" i="97" s="1"/>
  <c r="AG485" i="99"/>
  <c r="AE24" i="97" s="1"/>
  <c r="AG410" i="99"/>
  <c r="AA16" i="97" s="1"/>
  <c r="AG409" i="99"/>
  <c r="W16" i="97" s="1"/>
  <c r="AG411" i="99"/>
  <c r="AE16" i="97" s="1"/>
  <c r="AK414" i="99"/>
  <c r="AS16" i="97" s="1"/>
  <c r="AK487" i="99"/>
  <c r="AO24" i="97" s="1"/>
  <c r="AK417" i="99"/>
  <c r="BF16" i="97" s="1"/>
  <c r="AK413" i="99"/>
  <c r="AO16" i="97" s="1"/>
  <c r="AK486" i="99"/>
  <c r="AK24" i="97" s="1"/>
  <c r="AK416" i="99"/>
  <c r="BB16" i="97" s="1"/>
  <c r="AK415" i="99"/>
  <c r="AX16" i="97" s="1"/>
  <c r="AK488" i="99"/>
  <c r="AS24" i="97" s="1"/>
  <c r="AK412" i="99"/>
  <c r="AK16" i="97" s="1"/>
  <c r="AM485" i="99"/>
  <c r="AG24" i="97" s="1"/>
  <c r="AM411" i="99"/>
  <c r="AG16" i="97" s="1"/>
  <c r="AM410" i="99"/>
  <c r="AC16" i="97" s="1"/>
  <c r="AM409" i="99"/>
  <c r="Y16" i="97" s="1"/>
  <c r="AM483" i="99"/>
  <c r="Y24" i="97" s="1"/>
  <c r="AM484" i="99"/>
  <c r="AC24" i="97" s="1"/>
  <c r="AA431" i="99"/>
  <c r="AG465" i="99"/>
  <c r="AE22" i="97" s="1"/>
  <c r="AG464" i="99"/>
  <c r="AA22" i="97" s="1"/>
  <c r="AG463" i="99"/>
  <c r="W22" i="97" s="1"/>
  <c r="AM447" i="99"/>
  <c r="AG20" i="97" s="1"/>
  <c r="AM446" i="99"/>
  <c r="AC20" i="97" s="1"/>
  <c r="AM445" i="99"/>
  <c r="Y20" i="97" s="1"/>
  <c r="AK470" i="99"/>
  <c r="BB22" i="97" s="1"/>
  <c r="AK469" i="99"/>
  <c r="AX22" i="97" s="1"/>
  <c r="AK471" i="99"/>
  <c r="BF22" i="97" s="1"/>
  <c r="AK461" i="99"/>
  <c r="BB21" i="97" s="1"/>
  <c r="AK460" i="99"/>
  <c r="AX21" i="97" s="1"/>
  <c r="AK462" i="99"/>
  <c r="BF21" i="97" s="1"/>
  <c r="AM438" i="99"/>
  <c r="AG19" i="97" s="1"/>
  <c r="AM437" i="99"/>
  <c r="AC19" i="97" s="1"/>
  <c r="AM436" i="99"/>
  <c r="Y19" i="97" s="1"/>
  <c r="AH456" i="99"/>
  <c r="P21" i="97" s="1"/>
  <c r="AH455" i="99"/>
  <c r="J21" i="97" s="1"/>
  <c r="AH454" i="99"/>
  <c r="D21" i="97" s="1"/>
  <c r="AG444" i="99"/>
  <c r="BE19" i="97" s="1"/>
  <c r="AG443" i="99"/>
  <c r="BA19" i="97" s="1"/>
  <c r="AG442" i="99"/>
  <c r="AW19" i="97" s="1"/>
  <c r="AG419" i="99"/>
  <c r="AA17" i="97" s="1"/>
  <c r="AG418" i="99"/>
  <c r="W17" i="97" s="1"/>
  <c r="AG420" i="99"/>
  <c r="AE17" i="97" s="1"/>
  <c r="AN485" i="99"/>
  <c r="T24" i="97" s="1"/>
  <c r="AN411" i="99"/>
  <c r="T16" i="97" s="1"/>
  <c r="AN410" i="99"/>
  <c r="N16" i="97" s="1"/>
  <c r="AN409" i="99"/>
  <c r="H16" i="97" s="1"/>
  <c r="AN483" i="99"/>
  <c r="H24" i="97" s="1"/>
  <c r="AN484" i="99"/>
  <c r="N24" i="97" s="1"/>
  <c r="AO452" i="99"/>
  <c r="BD20" i="97" s="1"/>
  <c r="AO451" i="99"/>
  <c r="AZ20" i="97" s="1"/>
  <c r="AO453" i="99"/>
  <c r="BH20" i="97" s="1"/>
  <c r="AG431" i="99"/>
  <c r="AN18" i="97" s="1"/>
  <c r="AG430" i="99"/>
  <c r="AJ18" i="97" s="1"/>
  <c r="AG432" i="99"/>
  <c r="AR18" i="97" s="1"/>
  <c r="AA458" i="99"/>
  <c r="AK479" i="99"/>
  <c r="BB23" i="97" s="1"/>
  <c r="AK478" i="99"/>
  <c r="AX23" i="97" s="1"/>
  <c r="AK480" i="99"/>
  <c r="BF23" i="97" s="1"/>
  <c r="AJ465" i="99"/>
  <c r="R22" i="97" s="1"/>
  <c r="AJ464" i="99"/>
  <c r="L22" i="97" s="1"/>
  <c r="AJ463" i="99"/>
  <c r="F22" i="97" s="1"/>
  <c r="AG435" i="99"/>
  <c r="BE18" i="97" s="1"/>
  <c r="AG434" i="99"/>
  <c r="BA18" i="97" s="1"/>
  <c r="AG433" i="99"/>
  <c r="AW18" i="97" s="1"/>
  <c r="AJ456" i="99"/>
  <c r="R21" i="97" s="1"/>
  <c r="AJ455" i="99"/>
  <c r="L21" i="97" s="1"/>
  <c r="AJ454" i="99"/>
  <c r="F21" i="97" s="1"/>
  <c r="AP456" i="99"/>
  <c r="U21" i="97" s="1"/>
  <c r="AP455" i="99"/>
  <c r="O21" i="97" s="1"/>
  <c r="AP454" i="99"/>
  <c r="I21" i="97" s="1"/>
  <c r="AM457" i="99"/>
  <c r="AL21" i="97" s="1"/>
  <c r="AM459" i="99"/>
  <c r="AT21" i="97" s="1"/>
  <c r="AM458" i="99"/>
  <c r="AP21" i="97" s="1"/>
  <c r="AK456" i="99"/>
  <c r="AF21" i="97" s="1"/>
  <c r="AK455" i="99"/>
  <c r="AB21" i="97" s="1"/>
  <c r="AK454" i="99"/>
  <c r="X21" i="97" s="1"/>
  <c r="AI420" i="99"/>
  <c r="Q17" i="97" s="1"/>
  <c r="AI419" i="99"/>
  <c r="K17" i="97" s="1"/>
  <c r="AI418" i="99"/>
  <c r="E17" i="97" s="1"/>
  <c r="AM448" i="99"/>
  <c r="AL20" i="97" s="1"/>
  <c r="AM450" i="99"/>
  <c r="AT20" i="97" s="1"/>
  <c r="AM449" i="99"/>
  <c r="AP20" i="97" s="1"/>
  <c r="AK447" i="99"/>
  <c r="AF20" i="97" s="1"/>
  <c r="AK446" i="99"/>
  <c r="AB20" i="97" s="1"/>
  <c r="AK445" i="99"/>
  <c r="X20" i="97" s="1"/>
  <c r="AO470" i="99"/>
  <c r="BD22" i="97" s="1"/>
  <c r="AO469" i="99"/>
  <c r="AZ22" i="97" s="1"/>
  <c r="AO471" i="99"/>
  <c r="BH22" i="97" s="1"/>
  <c r="AG470" i="99"/>
  <c r="BA22" i="97" s="1"/>
  <c r="AG469" i="99"/>
  <c r="AW22" i="97" s="1"/>
  <c r="AG471" i="99"/>
  <c r="BE22" i="97" s="1"/>
  <c r="AL429" i="99"/>
  <c r="S18" i="97" s="1"/>
  <c r="AL428" i="99"/>
  <c r="M18" i="97" s="1"/>
  <c r="AL427" i="99"/>
  <c r="G18" i="97" s="1"/>
  <c r="AM426" i="99"/>
  <c r="BG17" i="97" s="1"/>
  <c r="AM425" i="99"/>
  <c r="BC17" i="97" s="1"/>
  <c r="AM424" i="99"/>
  <c r="AY17" i="97" s="1"/>
  <c r="AO466" i="99"/>
  <c r="AM22" i="97" s="1"/>
  <c r="AO468" i="99"/>
  <c r="AU22" i="97" s="1"/>
  <c r="AO467" i="99"/>
  <c r="AQ22" i="97" s="1"/>
  <c r="AN465" i="99"/>
  <c r="T22" i="97" s="1"/>
  <c r="AN464" i="99"/>
  <c r="N22" i="97" s="1"/>
  <c r="AN463" i="99"/>
  <c r="H22" i="97" s="1"/>
  <c r="AI465" i="99"/>
  <c r="Q22" i="97" s="1"/>
  <c r="AI464" i="99"/>
  <c r="K22" i="97" s="1"/>
  <c r="AI463" i="99"/>
  <c r="E22" i="97" s="1"/>
  <c r="AK422" i="99"/>
  <c r="AO17" i="97" s="1"/>
  <c r="AK421" i="99"/>
  <c r="AK17" i="97" s="1"/>
  <c r="AK423" i="99"/>
  <c r="AS17" i="97" s="1"/>
  <c r="AH429" i="99"/>
  <c r="P18" i="97" s="1"/>
  <c r="AH428" i="99"/>
  <c r="J18" i="97" s="1"/>
  <c r="AH427" i="99"/>
  <c r="D18" i="97" s="1"/>
  <c r="AO461" i="99"/>
  <c r="BD21" i="97" s="1"/>
  <c r="AO460" i="99"/>
  <c r="AZ21" i="97" s="1"/>
  <c r="AO462" i="99"/>
  <c r="BH21" i="97" s="1"/>
  <c r="AO447" i="99"/>
  <c r="AH20" i="97" s="1"/>
  <c r="AO446" i="99"/>
  <c r="AD20" i="97" s="1"/>
  <c r="AO445" i="99"/>
  <c r="Z20" i="97" s="1"/>
  <c r="AN447" i="99"/>
  <c r="T20" i="97" s="1"/>
  <c r="AN446" i="99"/>
  <c r="N20" i="97" s="1"/>
  <c r="AN445" i="99"/>
  <c r="H20" i="97" s="1"/>
  <c r="AM422" i="99"/>
  <c r="AP17" i="97" s="1"/>
  <c r="AM421" i="99"/>
  <c r="AL17" i="97" s="1"/>
  <c r="AM423" i="99"/>
  <c r="AT17" i="97" s="1"/>
  <c r="AA449" i="98"/>
  <c r="AA440" i="98"/>
  <c r="AA476" i="98"/>
  <c r="AA431" i="98"/>
  <c r="AA458" i="98"/>
  <c r="AA422" i="98"/>
  <c r="AG483" i="98"/>
  <c r="W14" i="97" s="1"/>
  <c r="AG485" i="98"/>
  <c r="AE14" i="97" s="1"/>
  <c r="AG484" i="98"/>
  <c r="AA14" i="97" s="1"/>
  <c r="AN484" i="98"/>
  <c r="N14" i="97" s="1"/>
  <c r="AN485" i="98"/>
  <c r="T14" i="97" s="1"/>
  <c r="AN483" i="98"/>
  <c r="AL485" i="98"/>
  <c r="S14" i="97" s="1"/>
  <c r="AL484" i="98"/>
  <c r="M14" i="97" s="1"/>
  <c r="AL483" i="98"/>
  <c r="AP483" i="98"/>
  <c r="AP485" i="98"/>
  <c r="U14" i="97" s="1"/>
  <c r="AP484" i="98"/>
  <c r="O14" i="97" s="1"/>
  <c r="AG491" i="98"/>
  <c r="BE14" i="97" s="1"/>
  <c r="AG490" i="98"/>
  <c r="BA14" i="97" s="1"/>
  <c r="AG489" i="98"/>
  <c r="AW14" i="97" s="1"/>
  <c r="AK488" i="98"/>
  <c r="AS14" i="97" s="1"/>
  <c r="AK487" i="98"/>
  <c r="AO14" i="97" s="1"/>
  <c r="AK486" i="98"/>
  <c r="AK14" i="97" s="1"/>
  <c r="AO491" i="98"/>
  <c r="BH14" i="97" s="1"/>
  <c r="AO490" i="98"/>
  <c r="BD14" i="97" s="1"/>
  <c r="AO489" i="98"/>
  <c r="AZ14" i="97" s="1"/>
  <c r="AG486" i="98"/>
  <c r="AJ14" i="97" s="1"/>
  <c r="AG488" i="98"/>
  <c r="AR14" i="97" s="1"/>
  <c r="AG487" i="98"/>
  <c r="AN14" i="97" s="1"/>
  <c r="AK489" i="98"/>
  <c r="AX14" i="97" s="1"/>
  <c r="AK491" i="98"/>
  <c r="BF14" i="97" s="1"/>
  <c r="AK490" i="98"/>
  <c r="BB14" i="97" s="1"/>
  <c r="AO487" i="98"/>
  <c r="AQ14" i="97" s="1"/>
  <c r="AO486" i="98"/>
  <c r="AM14" i="97" s="1"/>
  <c r="AO488" i="98"/>
  <c r="AU14" i="97" s="1"/>
  <c r="AO485" i="98"/>
  <c r="AH14" i="97" s="1"/>
  <c r="AO484" i="98"/>
  <c r="AD14" i="97" s="1"/>
  <c r="AO483" i="98"/>
  <c r="Z14" i="97" s="1"/>
  <c r="AK484" i="98"/>
  <c r="AB14" i="97" s="1"/>
  <c r="AK485" i="98"/>
  <c r="AF14" i="97" s="1"/>
  <c r="AK483" i="98"/>
  <c r="X14" i="97" s="1"/>
  <c r="AM491" i="98"/>
  <c r="BG14" i="97" s="1"/>
  <c r="AM490" i="98"/>
  <c r="BC14" i="97" s="1"/>
  <c r="AM489" i="98"/>
  <c r="AY14" i="97" s="1"/>
  <c r="AM485" i="98"/>
  <c r="AG14" i="97" s="1"/>
  <c r="AM484" i="98"/>
  <c r="AC14" i="97" s="1"/>
  <c r="AM483" i="98"/>
  <c r="Y14" i="97" s="1"/>
  <c r="AM488" i="98"/>
  <c r="AT14" i="97" s="1"/>
  <c r="AM487" i="98"/>
  <c r="AP14" i="97" s="1"/>
  <c r="AM486" i="98"/>
  <c r="AL14" i="97" s="1"/>
  <c r="AH485" i="98"/>
  <c r="P14" i="97" s="1"/>
  <c r="AH484" i="98"/>
  <c r="J14" i="97" s="1"/>
  <c r="AH483" i="98"/>
  <c r="AO477" i="98"/>
  <c r="AU13" i="97" s="1"/>
  <c r="AO476" i="98"/>
  <c r="AQ13" i="97" s="1"/>
  <c r="AO475" i="98"/>
  <c r="AM13" i="97" s="1"/>
  <c r="AK468" i="98"/>
  <c r="AS12" i="97" s="1"/>
  <c r="AK467" i="98"/>
  <c r="AO12" i="97" s="1"/>
  <c r="AK466" i="98"/>
  <c r="AK12" i="97" s="1"/>
  <c r="AJ438" i="98"/>
  <c r="R9" i="97" s="1"/>
  <c r="AJ437" i="98"/>
  <c r="L9" i="97" s="1"/>
  <c r="AJ436" i="98"/>
  <c r="AJ445" i="98"/>
  <c r="AJ447" i="98"/>
  <c r="R10" i="97" s="1"/>
  <c r="AJ446" i="98"/>
  <c r="L10" i="97" s="1"/>
  <c r="AP437" i="98"/>
  <c r="O9" i="97" s="1"/>
  <c r="AP436" i="98"/>
  <c r="AP438" i="98"/>
  <c r="U9" i="97" s="1"/>
  <c r="AG450" i="98"/>
  <c r="AR10" i="97" s="1"/>
  <c r="AG449" i="98"/>
  <c r="AN10" i="97" s="1"/>
  <c r="AG448" i="98"/>
  <c r="AJ10" i="97" s="1"/>
  <c r="AM460" i="98"/>
  <c r="AY11" i="97" s="1"/>
  <c r="AM462" i="98"/>
  <c r="BG11" i="97" s="1"/>
  <c r="AM461" i="98"/>
  <c r="BC11" i="97" s="1"/>
  <c r="AO420" i="98"/>
  <c r="AH7" i="97" s="1"/>
  <c r="AO419" i="98"/>
  <c r="AD7" i="97" s="1"/>
  <c r="AO418" i="98"/>
  <c r="Z7" i="97" s="1"/>
  <c r="AM429" i="98"/>
  <c r="AG8" i="97" s="1"/>
  <c r="AM428" i="98"/>
  <c r="AC8" i="97" s="1"/>
  <c r="AM427" i="98"/>
  <c r="Y8" i="97" s="1"/>
  <c r="AL474" i="98"/>
  <c r="S13" i="97" s="1"/>
  <c r="AL473" i="98"/>
  <c r="M13" i="97" s="1"/>
  <c r="AL472" i="98"/>
  <c r="AJ465" i="98"/>
  <c r="R12" i="97" s="1"/>
  <c r="AJ464" i="98"/>
  <c r="L12" i="97" s="1"/>
  <c r="AJ463" i="98"/>
  <c r="AK432" i="98"/>
  <c r="AS8" i="97" s="1"/>
  <c r="AK431" i="98"/>
  <c r="AO8" i="97" s="1"/>
  <c r="AK430" i="98"/>
  <c r="AK8" i="97" s="1"/>
  <c r="AO462" i="98"/>
  <c r="BH11" i="97" s="1"/>
  <c r="AO461" i="98"/>
  <c r="BD11" i="97" s="1"/>
  <c r="AO460" i="98"/>
  <c r="AZ11" i="97" s="1"/>
  <c r="AM465" i="98"/>
  <c r="AG12" i="97" s="1"/>
  <c r="AM464" i="98"/>
  <c r="AC12" i="97" s="1"/>
  <c r="AM463" i="98"/>
  <c r="Y12" i="97" s="1"/>
  <c r="AG445" i="98"/>
  <c r="W10" i="97" s="1"/>
  <c r="AG447" i="98"/>
  <c r="AE10" i="97" s="1"/>
  <c r="AG446" i="98"/>
  <c r="AA10" i="97" s="1"/>
  <c r="AM474" i="98"/>
  <c r="AG13" i="97" s="1"/>
  <c r="AM473" i="98"/>
  <c r="AC13" i="97" s="1"/>
  <c r="AM472" i="98"/>
  <c r="Y13" i="97" s="1"/>
  <c r="AG432" i="98"/>
  <c r="AR8" i="97" s="1"/>
  <c r="AG431" i="98"/>
  <c r="AN8" i="97" s="1"/>
  <c r="AG430" i="98"/>
  <c r="AJ8" i="97" s="1"/>
  <c r="AP427" i="98"/>
  <c r="AP429" i="98"/>
  <c r="U8" i="97" s="1"/>
  <c r="AP428" i="98"/>
  <c r="O8" i="97" s="1"/>
  <c r="AO436" i="98"/>
  <c r="Z9" i="97" s="1"/>
  <c r="AO438" i="98"/>
  <c r="AH9" i="97" s="1"/>
  <c r="AO437" i="98"/>
  <c r="AD9" i="97" s="1"/>
  <c r="AK440" i="98"/>
  <c r="AO9" i="97" s="1"/>
  <c r="AK439" i="98"/>
  <c r="AK9" i="97" s="1"/>
  <c r="AK441" i="98"/>
  <c r="AS9" i="97" s="1"/>
  <c r="AJ429" i="98"/>
  <c r="R8" i="97" s="1"/>
  <c r="AJ428" i="98"/>
  <c r="L8" i="97" s="1"/>
  <c r="AJ427" i="98"/>
  <c r="AO447" i="98"/>
  <c r="AH10" i="97" s="1"/>
  <c r="AO446" i="98"/>
  <c r="AD10" i="97" s="1"/>
  <c r="AO445" i="98"/>
  <c r="Z10" i="97" s="1"/>
  <c r="AH474" i="98"/>
  <c r="P13" i="97" s="1"/>
  <c r="AH473" i="98"/>
  <c r="J13" i="97" s="1"/>
  <c r="AH472" i="98"/>
  <c r="AG429" i="98"/>
  <c r="AE8" i="97" s="1"/>
  <c r="AG428" i="98"/>
  <c r="AA8" i="97" s="1"/>
  <c r="AG427" i="98"/>
  <c r="W8" i="97" s="1"/>
  <c r="AM426" i="98"/>
  <c r="BG7" i="97" s="1"/>
  <c r="AM425" i="98"/>
  <c r="BC7" i="97" s="1"/>
  <c r="AM424" i="98"/>
  <c r="AY7" i="97" s="1"/>
  <c r="AO469" i="98"/>
  <c r="AZ12" i="97" s="1"/>
  <c r="AO471" i="98"/>
  <c r="BH12" i="97" s="1"/>
  <c r="AO470" i="98"/>
  <c r="BD12" i="97" s="1"/>
  <c r="AK453" i="98"/>
  <c r="BF10" i="97" s="1"/>
  <c r="AK452" i="98"/>
  <c r="BB10" i="97" s="1"/>
  <c r="AK451" i="98"/>
  <c r="AX10" i="97" s="1"/>
  <c r="AG438" i="98"/>
  <c r="AE9" i="97" s="1"/>
  <c r="AG437" i="98"/>
  <c r="AA9" i="97" s="1"/>
  <c r="AG436" i="98"/>
  <c r="W9" i="97" s="1"/>
  <c r="AN420" i="98"/>
  <c r="T7" i="97" s="1"/>
  <c r="AN419" i="98"/>
  <c r="N7" i="97" s="1"/>
  <c r="AN418" i="98"/>
  <c r="AN438" i="98"/>
  <c r="T9" i="97" s="1"/>
  <c r="AN437" i="98"/>
  <c r="N9" i="97" s="1"/>
  <c r="AN436" i="98"/>
  <c r="AM421" i="98"/>
  <c r="AL7" i="97" s="1"/>
  <c r="AM423" i="98"/>
  <c r="AT7" i="97" s="1"/>
  <c r="AM422" i="98"/>
  <c r="AP7" i="97" s="1"/>
  <c r="AK465" i="98"/>
  <c r="AF12" i="97" s="1"/>
  <c r="AK464" i="98"/>
  <c r="AB12" i="97" s="1"/>
  <c r="AK463" i="98"/>
  <c r="X12" i="97" s="1"/>
  <c r="AM458" i="98"/>
  <c r="AP11" i="97" s="1"/>
  <c r="AM457" i="98"/>
  <c r="AL11" i="97" s="1"/>
  <c r="AM459" i="98"/>
  <c r="AT11" i="97" s="1"/>
  <c r="AI438" i="98"/>
  <c r="Q9" i="97" s="1"/>
  <c r="AI437" i="98"/>
  <c r="K9" i="97" s="1"/>
  <c r="AI436" i="98"/>
  <c r="AH438" i="98"/>
  <c r="P9" i="97" s="1"/>
  <c r="AH437" i="98"/>
  <c r="J9" i="97" s="1"/>
  <c r="AH436" i="98"/>
  <c r="AG477" i="98"/>
  <c r="AR13" i="97" s="1"/>
  <c r="AG476" i="98"/>
  <c r="AN13" i="97" s="1"/>
  <c r="AG475" i="98"/>
  <c r="AJ13" i="97" s="1"/>
  <c r="AG465" i="98"/>
  <c r="AE12" i="97" s="1"/>
  <c r="AG464" i="98"/>
  <c r="AA12" i="97" s="1"/>
  <c r="AG463" i="98"/>
  <c r="W12" i="97" s="1"/>
  <c r="AN445" i="98"/>
  <c r="AN447" i="98"/>
  <c r="T10" i="97" s="1"/>
  <c r="AN446" i="98"/>
  <c r="N10" i="97" s="1"/>
  <c r="AG442" i="98"/>
  <c r="AW9" i="97" s="1"/>
  <c r="AG444" i="98"/>
  <c r="BE9" i="97" s="1"/>
  <c r="AG443" i="98"/>
  <c r="BA9" i="97" s="1"/>
  <c r="AJ420" i="98"/>
  <c r="R7" i="97" s="1"/>
  <c r="AJ419" i="98"/>
  <c r="L7" i="97" s="1"/>
  <c r="AJ418" i="98"/>
  <c r="AM477" i="98"/>
  <c r="AT13" i="97" s="1"/>
  <c r="AM476" i="98"/>
  <c r="AP13" i="97" s="1"/>
  <c r="AM475" i="98"/>
  <c r="AL13" i="97" s="1"/>
  <c r="AH455" i="98"/>
  <c r="J11" i="97" s="1"/>
  <c r="AH454" i="98"/>
  <c r="AH456" i="98"/>
  <c r="P11" i="97" s="1"/>
  <c r="AO456" i="98"/>
  <c r="AH11" i="97" s="1"/>
  <c r="AO455" i="98"/>
  <c r="AD11" i="97" s="1"/>
  <c r="AO454" i="98"/>
  <c r="Z11" i="97" s="1"/>
  <c r="AO474" i="98"/>
  <c r="AH13" i="97" s="1"/>
  <c r="AO472" i="98"/>
  <c r="Z13" i="97" s="1"/>
  <c r="AO473" i="98"/>
  <c r="AD13" i="97" s="1"/>
  <c r="AP447" i="98"/>
  <c r="U10" i="97" s="1"/>
  <c r="AP446" i="98"/>
  <c r="O10" i="97" s="1"/>
  <c r="AP445" i="98"/>
  <c r="AK435" i="98"/>
  <c r="BF8" i="97" s="1"/>
  <c r="AK434" i="98"/>
  <c r="BB8" i="97" s="1"/>
  <c r="AK433" i="98"/>
  <c r="AX8" i="97" s="1"/>
  <c r="AK473" i="98"/>
  <c r="AB13" i="97" s="1"/>
  <c r="AK472" i="98"/>
  <c r="X13" i="97" s="1"/>
  <c r="AK474" i="98"/>
  <c r="AF13" i="97" s="1"/>
  <c r="AG440" i="98"/>
  <c r="AN9" i="97" s="1"/>
  <c r="AG439" i="98"/>
  <c r="AJ9" i="97" s="1"/>
  <c r="AG441" i="98"/>
  <c r="AR9" i="97" s="1"/>
  <c r="AK450" i="98"/>
  <c r="AS10" i="97" s="1"/>
  <c r="AK449" i="98"/>
  <c r="AO10" i="97" s="1"/>
  <c r="AK448" i="98"/>
  <c r="AK10" i="97" s="1"/>
  <c r="AL456" i="98"/>
  <c r="S11" i="97" s="1"/>
  <c r="AL455" i="98"/>
  <c r="M11" i="97" s="1"/>
  <c r="AL454" i="98"/>
  <c r="AK456" i="98"/>
  <c r="AF11" i="97" s="1"/>
  <c r="AK455" i="98"/>
  <c r="AB11" i="97" s="1"/>
  <c r="AK454" i="98"/>
  <c r="X11" i="97" s="1"/>
  <c r="AO428" i="98"/>
  <c r="AD8" i="97" s="1"/>
  <c r="AO427" i="98"/>
  <c r="Z8" i="97" s="1"/>
  <c r="AO429" i="98"/>
  <c r="AH8" i="97" s="1"/>
  <c r="AK426" i="98"/>
  <c r="BF7" i="97" s="1"/>
  <c r="AK425" i="98"/>
  <c r="BB7" i="97" s="1"/>
  <c r="AK424" i="98"/>
  <c r="AX7" i="97" s="1"/>
  <c r="AL429" i="98"/>
  <c r="S8" i="97" s="1"/>
  <c r="AL428" i="98"/>
  <c r="M8" i="97" s="1"/>
  <c r="AL427" i="98"/>
  <c r="AK477" i="98"/>
  <c r="AS13" i="97" s="1"/>
  <c r="AK476" i="98"/>
  <c r="AO13" i="97" s="1"/>
  <c r="AK475" i="98"/>
  <c r="AK13" i="97" s="1"/>
  <c r="AK459" i="98"/>
  <c r="AS11" i="97" s="1"/>
  <c r="AK458" i="98"/>
  <c r="AO11" i="97" s="1"/>
  <c r="AK457" i="98"/>
  <c r="AK11" i="97" s="1"/>
  <c r="AG480" i="98"/>
  <c r="BE13" i="97" s="1"/>
  <c r="AG479" i="98"/>
  <c r="BA13" i="97" s="1"/>
  <c r="AG478" i="98"/>
  <c r="AW13" i="97" s="1"/>
  <c r="AN465" i="98"/>
  <c r="T12" i="97" s="1"/>
  <c r="AN464" i="98"/>
  <c r="N12" i="97" s="1"/>
  <c r="AN463" i="98"/>
  <c r="AI472" i="98"/>
  <c r="AI473" i="98"/>
  <c r="K13" i="97" s="1"/>
  <c r="AI474" i="98"/>
  <c r="Q13" i="97" s="1"/>
  <c r="AM420" i="98"/>
  <c r="AG7" i="97" s="1"/>
  <c r="AM419" i="98"/>
  <c r="AC7" i="97" s="1"/>
  <c r="AM418" i="98"/>
  <c r="Y7" i="97" s="1"/>
  <c r="AO441" i="98"/>
  <c r="AU9" i="97" s="1"/>
  <c r="AO440" i="98"/>
  <c r="AQ9" i="97" s="1"/>
  <c r="AO439" i="98"/>
  <c r="AM9" i="97" s="1"/>
  <c r="AK423" i="98"/>
  <c r="AS7" i="97" s="1"/>
  <c r="AK422" i="98"/>
  <c r="AO7" i="97" s="1"/>
  <c r="AK421" i="98"/>
  <c r="AK7" i="97" s="1"/>
  <c r="AJ474" i="98"/>
  <c r="R13" i="97" s="1"/>
  <c r="AJ473" i="98"/>
  <c r="L13" i="97" s="1"/>
  <c r="AJ472" i="98"/>
  <c r="AG423" i="98"/>
  <c r="AR7" i="97" s="1"/>
  <c r="AG422" i="98"/>
  <c r="AN7" i="97" s="1"/>
  <c r="AG421" i="98"/>
  <c r="AJ7" i="97" s="1"/>
  <c r="AG459" i="98"/>
  <c r="AR11" i="97" s="1"/>
  <c r="AG458" i="98"/>
  <c r="AN11" i="97" s="1"/>
  <c r="AG457" i="98"/>
  <c r="AJ11" i="97" s="1"/>
  <c r="AI465" i="98"/>
  <c r="Q12" i="97" s="1"/>
  <c r="AI464" i="98"/>
  <c r="K12" i="97" s="1"/>
  <c r="AI463" i="98"/>
  <c r="AM456" i="98"/>
  <c r="AG11" i="97" s="1"/>
  <c r="AM455" i="98"/>
  <c r="AC11" i="97" s="1"/>
  <c r="AM454" i="98"/>
  <c r="Y11" i="97" s="1"/>
  <c r="AG474" i="98"/>
  <c r="AE13" i="97" s="1"/>
  <c r="AG473" i="98"/>
  <c r="AA13" i="97" s="1"/>
  <c r="AG472" i="98"/>
  <c r="W13" i="97" s="1"/>
  <c r="AM438" i="98"/>
  <c r="AG9" i="97" s="1"/>
  <c r="AM437" i="98"/>
  <c r="AC9" i="97" s="1"/>
  <c r="AM436" i="98"/>
  <c r="Y9" i="97" s="1"/>
  <c r="AH420" i="98"/>
  <c r="P7" i="97" s="1"/>
  <c r="AH419" i="98"/>
  <c r="J7" i="97" s="1"/>
  <c r="AH418" i="98"/>
  <c r="AO468" i="98"/>
  <c r="AU12" i="97" s="1"/>
  <c r="AO467" i="98"/>
  <c r="AQ12" i="97" s="1"/>
  <c r="AO466" i="98"/>
  <c r="AM12" i="97" s="1"/>
  <c r="AL446" i="98"/>
  <c r="M10" i="97" s="1"/>
  <c r="AL445" i="98"/>
  <c r="AL447" i="98"/>
  <c r="S10" i="97" s="1"/>
  <c r="AI420" i="98"/>
  <c r="Q7" i="97" s="1"/>
  <c r="AI419" i="98"/>
  <c r="K7" i="97" s="1"/>
  <c r="AI418" i="98"/>
  <c r="AG456" i="98"/>
  <c r="AE11" i="97" s="1"/>
  <c r="AG455" i="98"/>
  <c r="AA11" i="97" s="1"/>
  <c r="AG454" i="98"/>
  <c r="W11" i="97" s="1"/>
  <c r="AM448" i="98"/>
  <c r="AL10" i="97" s="1"/>
  <c r="AM450" i="98"/>
  <c r="AT10" i="97" s="1"/>
  <c r="AM449" i="98"/>
  <c r="AP10" i="97" s="1"/>
  <c r="AO459" i="98"/>
  <c r="AU11" i="97" s="1"/>
  <c r="AO458" i="98"/>
  <c r="AQ11" i="97" s="1"/>
  <c r="AO457" i="98"/>
  <c r="AM11" i="97" s="1"/>
  <c r="AG425" i="98"/>
  <c r="BA7" i="97" s="1"/>
  <c r="AG424" i="98"/>
  <c r="AW7" i="97" s="1"/>
  <c r="AG426" i="98"/>
  <c r="BE7" i="97" s="1"/>
  <c r="AG435" i="98"/>
  <c r="BE8" i="97" s="1"/>
  <c r="AG434" i="98"/>
  <c r="BA8" i="97" s="1"/>
  <c r="AG433" i="98"/>
  <c r="AW8" i="97" s="1"/>
  <c r="AL463" i="98"/>
  <c r="AL464" i="98"/>
  <c r="M12" i="97" s="1"/>
  <c r="AL465" i="98"/>
  <c r="S12" i="97" s="1"/>
  <c r="AM471" i="98"/>
  <c r="BG12" i="97" s="1"/>
  <c r="AM470" i="98"/>
  <c r="BC12" i="97" s="1"/>
  <c r="AM469" i="98"/>
  <c r="AY12" i="97" s="1"/>
  <c r="AO465" i="98"/>
  <c r="AH12" i="97" s="1"/>
  <c r="AO464" i="98"/>
  <c r="AD12" i="97" s="1"/>
  <c r="AO463" i="98"/>
  <c r="Z12" i="97" s="1"/>
  <c r="AH447" i="98"/>
  <c r="P10" i="97" s="1"/>
  <c r="AH446" i="98"/>
  <c r="J10" i="97" s="1"/>
  <c r="AH445" i="98"/>
  <c r="AN474" i="98"/>
  <c r="T13" i="97" s="1"/>
  <c r="AN473" i="98"/>
  <c r="N13" i="97" s="1"/>
  <c r="AN472" i="98"/>
  <c r="AO453" i="98"/>
  <c r="BH10" i="97" s="1"/>
  <c r="AO452" i="98"/>
  <c r="BD10" i="97" s="1"/>
  <c r="AO451" i="98"/>
  <c r="AZ10" i="97" s="1"/>
  <c r="AM453" i="98"/>
  <c r="BG10" i="97" s="1"/>
  <c r="AM452" i="98"/>
  <c r="BC10" i="97" s="1"/>
  <c r="AM451" i="98"/>
  <c r="AY10" i="97" s="1"/>
  <c r="AJ456" i="98"/>
  <c r="R11" i="97" s="1"/>
  <c r="AJ455" i="98"/>
  <c r="L11" i="97" s="1"/>
  <c r="AJ454" i="98"/>
  <c r="AL420" i="98"/>
  <c r="S7" i="97" s="1"/>
  <c r="AL419" i="98"/>
  <c r="M7" i="97" s="1"/>
  <c r="AL418" i="98"/>
  <c r="AI427" i="98"/>
  <c r="AI429" i="98"/>
  <c r="Q8" i="97" s="1"/>
  <c r="AI428" i="98"/>
  <c r="K8" i="97" s="1"/>
  <c r="AK470" i="98"/>
  <c r="BB12" i="97" s="1"/>
  <c r="AK469" i="98"/>
  <c r="AX12" i="97" s="1"/>
  <c r="AK471" i="98"/>
  <c r="BF12" i="97" s="1"/>
  <c r="AG453" i="98"/>
  <c r="BE10" i="97" s="1"/>
  <c r="AG452" i="98"/>
  <c r="BA10" i="97" s="1"/>
  <c r="AG451" i="98"/>
  <c r="AW10" i="97" s="1"/>
  <c r="AO480" i="98"/>
  <c r="BH13" i="97" s="1"/>
  <c r="AO479" i="98"/>
  <c r="BD13" i="97" s="1"/>
  <c r="AO478" i="98"/>
  <c r="AZ13" i="97" s="1"/>
  <c r="AP454" i="98"/>
  <c r="AP455" i="98"/>
  <c r="O11" i="97" s="1"/>
  <c r="AP456" i="98"/>
  <c r="U11" i="97" s="1"/>
  <c r="AO435" i="98"/>
  <c r="BH8" i="97" s="1"/>
  <c r="AO434" i="98"/>
  <c r="BD8" i="97" s="1"/>
  <c r="AO433" i="98"/>
  <c r="AZ8" i="97" s="1"/>
  <c r="AM480" i="98"/>
  <c r="BG13" i="97" s="1"/>
  <c r="AM479" i="98"/>
  <c r="BC13" i="97" s="1"/>
  <c r="AM478" i="98"/>
  <c r="AY13" i="97" s="1"/>
  <c r="AK480" i="98"/>
  <c r="BF13" i="97" s="1"/>
  <c r="AK479" i="98"/>
  <c r="BB13" i="97" s="1"/>
  <c r="AK478" i="98"/>
  <c r="AX13" i="97" s="1"/>
  <c r="AO444" i="98"/>
  <c r="BH9" i="97" s="1"/>
  <c r="AO443" i="98"/>
  <c r="BD9" i="97" s="1"/>
  <c r="AO442" i="98"/>
  <c r="AZ9" i="97" s="1"/>
  <c r="AN456" i="98"/>
  <c r="T11" i="97" s="1"/>
  <c r="AN455" i="98"/>
  <c r="N11" i="97" s="1"/>
  <c r="AN454" i="98"/>
  <c r="AL438" i="98"/>
  <c r="S9" i="97" s="1"/>
  <c r="AL437" i="98"/>
  <c r="M9" i="97" s="1"/>
  <c r="AL436" i="98"/>
  <c r="AP420" i="98"/>
  <c r="U7" i="97" s="1"/>
  <c r="AP419" i="98"/>
  <c r="O7" i="97" s="1"/>
  <c r="AP418" i="98"/>
  <c r="AN429" i="98"/>
  <c r="T8" i="97" s="1"/>
  <c r="AN428" i="98"/>
  <c r="N8" i="97" s="1"/>
  <c r="AN427" i="98"/>
  <c r="AM441" i="98"/>
  <c r="AT9" i="97" s="1"/>
  <c r="AM440" i="98"/>
  <c r="AP9" i="97" s="1"/>
  <c r="AM439" i="98"/>
  <c r="AL9" i="97" s="1"/>
  <c r="AM432" i="98"/>
  <c r="AT8" i="97" s="1"/>
  <c r="AM431" i="98"/>
  <c r="AP8" i="97" s="1"/>
  <c r="AM430" i="98"/>
  <c r="AL8" i="97" s="1"/>
  <c r="AK447" i="98"/>
  <c r="AF10" i="97" s="1"/>
  <c r="AK446" i="98"/>
  <c r="AB10" i="97" s="1"/>
  <c r="AK445" i="98"/>
  <c r="X10" i="97" s="1"/>
  <c r="AI447" i="98"/>
  <c r="Q10" i="97" s="1"/>
  <c r="AI446" i="98"/>
  <c r="K10" i="97" s="1"/>
  <c r="AI445" i="98"/>
  <c r="AH465" i="98"/>
  <c r="P12" i="97" s="1"/>
  <c r="AH464" i="98"/>
  <c r="J12" i="97" s="1"/>
  <c r="AH463" i="98"/>
  <c r="AK462" i="98"/>
  <c r="BF11" i="97" s="1"/>
  <c r="AK461" i="98"/>
  <c r="BB11" i="97" s="1"/>
  <c r="AK460" i="98"/>
  <c r="AX11" i="97" s="1"/>
  <c r="AG418" i="98"/>
  <c r="W7" i="97" s="1"/>
  <c r="AG419" i="98"/>
  <c r="AA7" i="97" s="1"/>
  <c r="AG420" i="98"/>
  <c r="AE7" i="97" s="1"/>
  <c r="AM444" i="98"/>
  <c r="BG9" i="97" s="1"/>
  <c r="AM443" i="98"/>
  <c r="BC9" i="97" s="1"/>
  <c r="AM442" i="98"/>
  <c r="AY9" i="97" s="1"/>
  <c r="AO432" i="98"/>
  <c r="AU8" i="97" s="1"/>
  <c r="AO431" i="98"/>
  <c r="AQ8" i="97" s="1"/>
  <c r="AO430" i="98"/>
  <c r="AM8" i="97" s="1"/>
  <c r="AM468" i="98"/>
  <c r="AT12" i="97" s="1"/>
  <c r="AM467" i="98"/>
  <c r="AP12" i="97" s="1"/>
  <c r="AM466" i="98"/>
  <c r="AL12" i="97" s="1"/>
  <c r="AK429" i="98"/>
  <c r="AF8" i="97" s="1"/>
  <c r="AK428" i="98"/>
  <c r="AB8" i="97" s="1"/>
  <c r="AK427" i="98"/>
  <c r="X8" i="97" s="1"/>
  <c r="AG471" i="98"/>
  <c r="BE12" i="97" s="1"/>
  <c r="AG470" i="98"/>
  <c r="BA12" i="97" s="1"/>
  <c r="AG469" i="98"/>
  <c r="AW12" i="97" s="1"/>
  <c r="AP474" i="98"/>
  <c r="U13" i="97" s="1"/>
  <c r="AP473" i="98"/>
  <c r="O13" i="97" s="1"/>
  <c r="AP472" i="98"/>
  <c r="AM447" i="98"/>
  <c r="AG10" i="97" s="1"/>
  <c r="AM446" i="98"/>
  <c r="AC10" i="97" s="1"/>
  <c r="AM445" i="98"/>
  <c r="Y10" i="97" s="1"/>
  <c r="AK438" i="98"/>
  <c r="AF9" i="97" s="1"/>
  <c r="AK437" i="98"/>
  <c r="AB9" i="97" s="1"/>
  <c r="AK436" i="98"/>
  <c r="X9" i="97" s="1"/>
  <c r="AO421" i="98"/>
  <c r="AM7" i="97" s="1"/>
  <c r="AO423" i="98"/>
  <c r="AU7" i="97" s="1"/>
  <c r="AO422" i="98"/>
  <c r="AQ7" i="97" s="1"/>
  <c r="AH428" i="98"/>
  <c r="J8" i="97" s="1"/>
  <c r="AH427" i="98"/>
  <c r="AH429" i="98"/>
  <c r="P8" i="97" s="1"/>
  <c r="AG466" i="98"/>
  <c r="AJ12" i="97" s="1"/>
  <c r="AG468" i="98"/>
  <c r="AR12" i="97" s="1"/>
  <c r="AG467" i="98"/>
  <c r="AN12" i="97" s="1"/>
  <c r="AO450" i="98"/>
  <c r="AU10" i="97" s="1"/>
  <c r="AO449" i="98"/>
  <c r="AQ10" i="97" s="1"/>
  <c r="AO448" i="98"/>
  <c r="AM10" i="97" s="1"/>
  <c r="AP465" i="98"/>
  <c r="U12" i="97" s="1"/>
  <c r="AP464" i="98"/>
  <c r="O12" i="97" s="1"/>
  <c r="AP463" i="98"/>
  <c r="AG462" i="98"/>
  <c r="BE11" i="97" s="1"/>
  <c r="AG461" i="98"/>
  <c r="BA11" i="97" s="1"/>
  <c r="AG460" i="98"/>
  <c r="AW11" i="97" s="1"/>
  <c r="AI456" i="98"/>
  <c r="Q11" i="97" s="1"/>
  <c r="AI455" i="98"/>
  <c r="K11" i="97" s="1"/>
  <c r="AI454" i="98"/>
  <c r="AO426" i="98"/>
  <c r="BH7" i="97" s="1"/>
  <c r="AO425" i="98"/>
  <c r="BD7" i="97" s="1"/>
  <c r="AO424" i="98"/>
  <c r="AZ7" i="97" s="1"/>
  <c r="AK444" i="98"/>
  <c r="BF9" i="97" s="1"/>
  <c r="AK443" i="98"/>
  <c r="BB9" i="97" s="1"/>
  <c r="AK442" i="98"/>
  <c r="AX9" i="97" s="1"/>
  <c r="AM435" i="98"/>
  <c r="BG8" i="97" s="1"/>
  <c r="AM434" i="98"/>
  <c r="BC8" i="97" s="1"/>
  <c r="AM433" i="98"/>
  <c r="AY8" i="97" s="1"/>
  <c r="AK420" i="98"/>
  <c r="AF7" i="97" s="1"/>
  <c r="AK418" i="98"/>
  <c r="X7" i="97" s="1"/>
  <c r="AK419" i="98"/>
  <c r="AB7" i="97" s="1"/>
  <c r="AN411" i="98"/>
  <c r="T6" i="97" s="1"/>
  <c r="AN410" i="98"/>
  <c r="N6" i="97" s="1"/>
  <c r="AN409" i="98"/>
  <c r="AH409" i="98"/>
  <c r="AH411" i="98"/>
  <c r="P6" i="97" s="1"/>
  <c r="AH410" i="98"/>
  <c r="J6" i="97" s="1"/>
  <c r="AL411" i="98"/>
  <c r="S6" i="97" s="1"/>
  <c r="AL410" i="98"/>
  <c r="M6" i="97" s="1"/>
  <c r="AL409" i="98"/>
  <c r="AP411" i="98"/>
  <c r="U6" i="97" s="1"/>
  <c r="AP410" i="98"/>
  <c r="O6" i="97" s="1"/>
  <c r="AP409" i="98"/>
  <c r="AK417" i="98"/>
  <c r="BF6" i="97" s="1"/>
  <c r="AK416" i="98"/>
  <c r="BB6" i="97" s="1"/>
  <c r="AK415" i="98"/>
  <c r="AX6" i="97" s="1"/>
  <c r="AK414" i="98"/>
  <c r="AS6" i="97" s="1"/>
  <c r="AK413" i="98"/>
  <c r="AO6" i="97" s="1"/>
  <c r="AK412" i="98"/>
  <c r="AK6" i="97" s="1"/>
  <c r="AK411" i="98"/>
  <c r="AF6" i="97" s="1"/>
  <c r="AK410" i="98"/>
  <c r="AB6" i="97" s="1"/>
  <c r="AK409" i="98"/>
  <c r="X6" i="97" s="1"/>
  <c r="AG411" i="98"/>
  <c r="AE6" i="97" s="1"/>
  <c r="AG410" i="98"/>
  <c r="AA6" i="97" s="1"/>
  <c r="AG409" i="98"/>
  <c r="W6" i="97" s="1"/>
  <c r="AG414" i="98"/>
  <c r="AR6" i="97" s="1"/>
  <c r="AG415" i="98"/>
  <c r="AW6" i="97" s="1"/>
  <c r="AG412" i="98"/>
  <c r="AJ6" i="97" s="1"/>
  <c r="AG417" i="98"/>
  <c r="BE6" i="97" s="1"/>
  <c r="AG413" i="98"/>
  <c r="AN6" i="97" s="1"/>
  <c r="AG416" i="98"/>
  <c r="BA6" i="97" s="1"/>
  <c r="AM417" i="98"/>
  <c r="BG6" i="97" s="1"/>
  <c r="AM413" i="98"/>
  <c r="AP6" i="97" s="1"/>
  <c r="AM416" i="98"/>
  <c r="BC6" i="97" s="1"/>
  <c r="AM415" i="98"/>
  <c r="AY6" i="97" s="1"/>
  <c r="AM414" i="98"/>
  <c r="AT6" i="97" s="1"/>
  <c r="AM412" i="98"/>
  <c r="AL6" i="97" s="1"/>
  <c r="AM411" i="98"/>
  <c r="AG6" i="97" s="1"/>
  <c r="AM410" i="98"/>
  <c r="AC6" i="97" s="1"/>
  <c r="AM409" i="98"/>
  <c r="Y6" i="97" s="1"/>
  <c r="AO417" i="98"/>
  <c r="BH6" i="97" s="1"/>
  <c r="AO416" i="98"/>
  <c r="BD6" i="97" s="1"/>
  <c r="AO415" i="98"/>
  <c r="AZ6" i="97" s="1"/>
  <c r="AO414" i="98"/>
  <c r="AU6" i="97" s="1"/>
  <c r="AO413" i="98"/>
  <c r="AQ6" i="97" s="1"/>
  <c r="AO412" i="98"/>
  <c r="AM6" i="97" s="1"/>
  <c r="AO411" i="98"/>
  <c r="AH6" i="97" s="1"/>
  <c r="AO410" i="98"/>
  <c r="AD6" i="97" s="1"/>
  <c r="AO409" i="98"/>
  <c r="Z6" i="97" s="1"/>
  <c r="AJ4" i="98" a="1"/>
  <c r="AI4" i="98" a="1"/>
  <c r="E13" i="97" l="1"/>
  <c r="F8" i="97"/>
  <c r="E11" i="97"/>
  <c r="D8" i="97"/>
  <c r="H12" i="97"/>
  <c r="G13" i="97"/>
  <c r="I9" i="97"/>
  <c r="F13" i="97"/>
  <c r="D11" i="97"/>
  <c r="H8" i="97"/>
  <c r="D12" i="97"/>
  <c r="G12" i="97"/>
  <c r="E7" i="97"/>
  <c r="D6" i="97"/>
  <c r="H9" i="97"/>
  <c r="F10" i="97"/>
  <c r="I14" i="97"/>
  <c r="D9" i="97"/>
  <c r="F9" i="97"/>
  <c r="G14" i="97"/>
  <c r="H6" i="97"/>
  <c r="I12" i="97"/>
  <c r="G10" i="97"/>
  <c r="I10" i="97"/>
  <c r="H7" i="97"/>
  <c r="G9" i="97"/>
  <c r="E8" i="97"/>
  <c r="D10" i="97"/>
  <c r="E12" i="97"/>
  <c r="G11" i="97"/>
  <c r="E9" i="97"/>
  <c r="H14" i="97"/>
  <c r="G7" i="97"/>
  <c r="D13" i="97"/>
  <c r="I8" i="97"/>
  <c r="H13" i="97"/>
  <c r="E10" i="97"/>
  <c r="I6" i="97"/>
  <c r="G6" i="97"/>
  <c r="I13" i="97"/>
  <c r="H11" i="97"/>
  <c r="I11" i="97"/>
  <c r="F11" i="97"/>
  <c r="D7" i="97"/>
  <c r="G8" i="97"/>
  <c r="I7" i="97"/>
  <c r="F7" i="97"/>
  <c r="F12" i="97"/>
  <c r="H10" i="97"/>
  <c r="D14" i="97"/>
  <c r="AJ4" i="98"/>
  <c r="AI4" i="98"/>
  <c r="AJ485" i="98" l="1"/>
  <c r="R14" i="97" s="1"/>
  <c r="AJ484" i="98"/>
  <c r="L14" i="97" s="1"/>
  <c r="AJ483" i="98"/>
  <c r="AI483" i="98"/>
  <c r="AI485" i="98"/>
  <c r="Q14" i="97" s="1"/>
  <c r="AI484" i="98"/>
  <c r="K14" i="97" s="1"/>
  <c r="AI411" i="98"/>
  <c r="Q6" i="97" s="1"/>
  <c r="AI410" i="98"/>
  <c r="K6" i="97" s="1"/>
  <c r="AI409" i="98"/>
  <c r="AJ411" i="98"/>
  <c r="R6" i="97" s="1"/>
  <c r="AJ410" i="98"/>
  <c r="L6" i="97" s="1"/>
  <c r="AJ409" i="98"/>
  <c r="AB8" i="98"/>
  <c r="AC8" i="98"/>
  <c r="AB9" i="98"/>
  <c r="AC9" i="98"/>
  <c r="AC5" i="98"/>
  <c r="AB5" i="98"/>
  <c r="AC4" i="98"/>
  <c r="AB4" i="98"/>
  <c r="E6" i="97" l="1"/>
  <c r="F14" i="97"/>
  <c r="F6" i="97"/>
  <c r="E14" i="97"/>
  <c r="P412" i="98"/>
  <c r="P411" i="98"/>
  <c r="P410" i="98"/>
  <c r="P486" i="98"/>
  <c r="P485" i="98"/>
  <c r="P484" i="98"/>
  <c r="P483" i="98"/>
  <c r="AA487" i="98" s="1"/>
  <c r="AC412" i="98"/>
  <c r="AC411" i="98"/>
  <c r="AC410" i="98"/>
  <c r="AC483" i="98"/>
  <c r="AB411" i="98"/>
  <c r="AB410" i="98"/>
  <c r="AB412" i="98"/>
  <c r="AB483" i="98"/>
  <c r="P409" i="98"/>
  <c r="AA413" i="98" s="1"/>
  <c r="AB409" i="98"/>
  <c r="AC409" i="9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<sst xmlns="http://schemas.openxmlformats.org/spreadsheetml/2006/main" count="1775" uniqueCount="140">
  <si>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</si>
  <si>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</si>
  <si>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</si>
  <si>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</si>
  <si>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</si>
  <si>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</si>
  <si>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</si>
  <si>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</si>
  <si>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</si>
  <si>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</si>
  <si>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</si>
  <si>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</si>
  <si>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</si>
  <si>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</si>
  <si>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</si>
  <si>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</si>
  <si>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</si>
  <si>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</si>
  <si>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</si>
  <si>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</si>
  <si>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</si>
  <si>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</si>
  <si>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8?</t>
  </si>
  <si>
    <t>?</t>
  </si>
  <si>
    <t>1280x720</t>
  </si>
  <si>
    <t>640x360</t>
  </si>
  <si>
    <t>AOV5_1920x1080_60_8bit_420</t>
  </si>
  <si>
    <t>MINECRAFT_1080p_60_8bit</t>
  </si>
  <si>
    <t>MissionControlClip3_1920x1080_60_420</t>
  </si>
  <si>
    <t>BoxingPractice_3840x2160_5994fps_10bit_420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</si>
  <si>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</si>
  <si>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</si>
  <si>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</si>
  <si>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</si>
  <si>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</si>
  <si>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</si>
  <si>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</si>
  <si>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</si>
  <si>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</si>
  <si>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</si>
  <si>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</si>
  <si>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</si>
  <si>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</si>
  <si>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</si>
  <si>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</si>
  <si>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</si>
  <si>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</si>
  <si>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</si>
  <si>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</si>
  <si>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</si>
  <si>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</si>
  <si>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</si>
  <si>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</si>
  <si>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</si>
  <si>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</si>
  <si>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</si>
  <si>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</si>
  <si>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</si>
  <si>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</si>
  <si>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</si>
  <si>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</si>
  <si>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</si>
  <si>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</si>
  <si>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</si>
  <si>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</si>
  <si>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</si>
  <si>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</si>
  <si>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</si>
  <si>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</si>
  <si>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</si>
  <si>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</si>
  <si>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</si>
  <si>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</si>
  <si>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</si>
  <si>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</si>
  <si>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</si>
  <si>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</si>
  <si>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</si>
  <si>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</si>
  <si>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</si>
  <si>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</si>
  <si>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</si>
  <si>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</si>
  <si>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</si>
  <si>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</si>
  <si>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</si>
  <si>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</si>
  <si>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</si>
  <si>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</si>
  <si>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</si>
  <si>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</si>
  <si>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</si>
  <si>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</si>
  <si>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</si>
  <si>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</si>
  <si>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</si>
  <si>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</si>
  <si>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</si>
  <si>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</si>
  <si>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</si>
  <si>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</si>
  <si>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</si>
  <si>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</si>
  <si>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</si>
  <si>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</si>
  <si>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</si>
  <si>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HDR2_2K</t>
  </si>
  <si>
    <t>HDR1_4K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</si>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</sst>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11"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9"/>
      <color indexed="8"/>
      <name val="Arial"/>
      <family val="2"/>
    </font>
    <font>
      <b/>
      <sz val="12"/>
      <color theme="0"/>
      <name val="Calibri"/>
      <family val="2"/>
      <scheme val="minor"/>
    </font>
    <font>
      <b/>
      <sz val="14"/>
      <color indexed="8"/>
      <name val="Arial"/>
      <family val="2"/>
    </font>
    <font>
      <sz val="9"/>
      <color theme="0"/>
      <name val="Arial"/>
      <family val="2"/>
    </font>
    <font>
      <b/>
      <sz val="9"/>
      <color theme="0"/>
      <name val="Arial"/>
      <family val="2"/>
    </font>
  </fonts>
  <fills count="17">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5"/>
        <bgColor indexed="64"/>
      </patternFill>
    </fill>
    <fill>
      <patternFill patternType="solid">
        <fgColor theme="0" tint="-0.499984740745262"/>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style="medium">
        <color indexed="63"/>
      </right>
      <top style="medium">
        <color indexed="63"/>
      </top>
      <bottom style="medium">
        <color indexed="63"/>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3"/>
      </left>
      <right/>
      <top style="medium">
        <color indexed="63"/>
      </top>
      <bottom style="medium">
        <color indexed="63"/>
      </bottom>
      <diagonal/>
    </border>
    <border>
      <left/>
      <right/>
      <top style="medium">
        <color indexed="63"/>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3"/>
      </right>
      <top/>
      <bottom style="medium">
        <color indexed="64"/>
      </bottom>
      <diagonal/>
    </border>
    <border>
      <left style="medium">
        <color indexed="63"/>
      </left>
      <right style="medium">
        <color indexed="63"/>
      </right>
      <top/>
      <bottom style="medium">
        <color indexed="64"/>
      </bottom>
      <diagonal/>
    </border>
    <border>
      <left style="medium">
        <color indexed="63"/>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medium">
        <color indexed="63"/>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s>
  <cellStyleXfs count="4">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96">
    <xf numFmtId="0" fontId="0" fillId="0" borderId="0" xfId="0"/>
    <xf numFmtId="10" fontId="0" fillId="0" borderId="1" xfId="0" applyNumberFormat="1" applyBorder="1"/>
    <xf numFmtId="10" fontId="0" fillId="0" borderId="8" xfId="0" applyNumberFormat="1" applyBorder="1"/>
    <xf numFmtId="10" fontId="0" fillId="0" borderId="9" xfId="0" applyNumberFormat="1" applyBorder="1"/>
    <xf numFmtId="0" fontId="5" fillId="0" borderId="0" xfId="0" applyFont="1" applyAlignment="1">
      <alignment vertical="center"/>
    </xf>
    <xf numFmtId="0" fontId="6" fillId="0" borderId="0" xfId="0" applyFont="1" applyAlignment="1">
      <alignment horizontal="center" vertical="center"/>
    </xf>
    <xf numFmtId="0" fontId="5" fillId="0" borderId="0" xfId="0" applyFont="1" applyAlignment="1">
      <alignment horizontal="center" vertical="center"/>
    </xf>
    <xf numFmtId="0" fontId="5" fillId="0" borderId="17" xfId="0" applyFont="1" applyBorder="1" applyAlignment="1">
      <alignment horizontal="center" vertical="center"/>
    </xf>
    <xf numFmtId="2" fontId="5" fillId="0" borderId="0" xfId="0" applyNumberFormat="1" applyFont="1" applyAlignment="1">
      <alignment vertical="center"/>
    </xf>
    <xf numFmtId="0" fontId="5" fillId="0" borderId="21" xfId="0" applyFont="1" applyBorder="1" applyAlignment="1">
      <alignment horizontal="center" vertical="center"/>
    </xf>
    <xf numFmtId="0" fontId="5" fillId="0" borderId="25" xfId="0" applyFont="1" applyBorder="1" applyAlignment="1">
      <alignment vertical="center"/>
    </xf>
    <xf numFmtId="0" fontId="5" fillId="0" borderId="26" xfId="0" applyFont="1" applyBorder="1" applyAlignment="1">
      <alignment vertical="center"/>
    </xf>
    <xf numFmtId="10" fontId="5" fillId="0" borderId="25" xfId="0" applyNumberFormat="1" applyFont="1" applyBorder="1" applyAlignment="1">
      <alignment horizontal="center" vertical="center"/>
    </xf>
    <xf numFmtId="10" fontId="5" fillId="0" borderId="26" xfId="0" applyNumberFormat="1" applyFont="1" applyBorder="1" applyAlignment="1">
      <alignment horizontal="center" vertical="center"/>
    </xf>
    <xf numFmtId="164" fontId="5" fillId="0" borderId="0" xfId="0" applyNumberFormat="1" applyFont="1" applyAlignment="1">
      <alignment vertical="center"/>
    </xf>
    <xf numFmtId="9" fontId="5" fillId="0" borderId="0" xfId="0" applyNumberFormat="1" applyFont="1" applyAlignment="1">
      <alignment vertical="center"/>
    </xf>
    <xf numFmtId="0" fontId="5" fillId="0" borderId="18" xfId="0" applyFont="1" applyBorder="1" applyAlignment="1">
      <alignment horizontal="center" vertical="center"/>
    </xf>
    <xf numFmtId="0" fontId="5" fillId="0" borderId="31" xfId="0" applyFont="1" applyBorder="1" applyAlignment="1">
      <alignment vertical="center"/>
    </xf>
    <xf numFmtId="0" fontId="5" fillId="0" borderId="0" xfId="0" applyFont="1" applyBorder="1" applyAlignment="1">
      <alignment vertical="center"/>
    </xf>
    <xf numFmtId="2" fontId="5" fillId="0" borderId="0" xfId="0" applyNumberFormat="1" applyFont="1" applyBorder="1" applyAlignment="1">
      <alignment vertical="center"/>
    </xf>
    <xf numFmtId="0" fontId="5" fillId="0" borderId="37" xfId="0" applyFont="1" applyBorder="1" applyAlignment="1">
      <alignment vertical="center"/>
    </xf>
    <xf numFmtId="0" fontId="5" fillId="0" borderId="35" xfId="0" applyFont="1" applyBorder="1" applyAlignment="1">
      <alignment horizontal="center" vertical="center"/>
    </xf>
    <xf numFmtId="0" fontId="5" fillId="0" borderId="27" xfId="0" applyFont="1" applyBorder="1" applyAlignment="1">
      <alignment vertical="center"/>
    </xf>
    <xf numFmtId="0" fontId="5" fillId="0" borderId="26" xfId="0" applyFont="1" applyBorder="1" applyAlignment="1">
      <alignment horizontal="center" vertical="center"/>
    </xf>
    <xf numFmtId="10" fontId="5" fillId="0" borderId="0"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6" xfId="0" applyNumberFormat="1" applyFont="1" applyBorder="1" applyAlignment="1">
      <alignment horizontal="center" vertical="center"/>
    </xf>
    <xf numFmtId="10" fontId="5" fillId="0" borderId="7" xfId="0" applyNumberFormat="1" applyFont="1" applyBorder="1" applyAlignment="1">
      <alignment horizontal="center" vertical="center"/>
    </xf>
    <xf numFmtId="10" fontId="5" fillId="0" borderId="46"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7" xfId="0" applyNumberFormat="1" applyFont="1" applyBorder="1" applyAlignment="1">
      <alignment horizontal="center" vertical="center"/>
    </xf>
    <xf numFmtId="164" fontId="5" fillId="4" borderId="14" xfId="0" applyNumberFormat="1" applyFont="1" applyFill="1" applyBorder="1" applyAlignment="1">
      <alignment horizontal="center" vertical="center"/>
    </xf>
    <xf numFmtId="164" fontId="5" fillId="4" borderId="15" xfId="0" applyNumberFormat="1" applyFont="1" applyFill="1" applyBorder="1" applyAlignment="1">
      <alignment horizontal="center" vertical="center"/>
    </xf>
    <xf numFmtId="164" fontId="5" fillId="4" borderId="16" xfId="0" applyNumberFormat="1" applyFont="1" applyFill="1" applyBorder="1" applyAlignment="1">
      <alignment horizontal="center" vertical="center"/>
    </xf>
    <xf numFmtId="164" fontId="5" fillId="4" borderId="19" xfId="0" applyNumberFormat="1" applyFont="1" applyFill="1" applyBorder="1" applyAlignment="1">
      <alignment horizontal="center" vertical="center"/>
    </xf>
    <xf numFmtId="164" fontId="5" fillId="4" borderId="20" xfId="0" applyNumberFormat="1" applyFont="1" applyFill="1" applyBorder="1" applyAlignment="1">
      <alignment horizontal="center" vertical="center"/>
    </xf>
    <xf numFmtId="164" fontId="5" fillId="4" borderId="22" xfId="0" applyNumberFormat="1" applyFont="1" applyFill="1" applyBorder="1" applyAlignment="1">
      <alignment horizontal="center" vertical="center"/>
    </xf>
    <xf numFmtId="164" fontId="5" fillId="4" borderId="23" xfId="0" applyNumberFormat="1" applyFont="1" applyFill="1" applyBorder="1" applyAlignment="1">
      <alignment horizontal="center" vertical="center"/>
    </xf>
    <xf numFmtId="164" fontId="5" fillId="4" borderId="24" xfId="0" applyNumberFormat="1" applyFont="1" applyFill="1" applyBorder="1" applyAlignment="1">
      <alignment horizontal="center" vertical="center"/>
    </xf>
    <xf numFmtId="164" fontId="5" fillId="4" borderId="0" xfId="0" applyNumberFormat="1" applyFont="1" applyFill="1" applyBorder="1" applyAlignment="1">
      <alignment horizontal="center" vertical="center"/>
    </xf>
    <xf numFmtId="164" fontId="5" fillId="4" borderId="36" xfId="0" applyNumberFormat="1" applyFont="1" applyFill="1" applyBorder="1" applyAlignment="1">
      <alignment horizontal="center" vertical="center"/>
    </xf>
    <xf numFmtId="164" fontId="5" fillId="4" borderId="37" xfId="0" applyNumberFormat="1" applyFont="1" applyFill="1" applyBorder="1" applyAlignment="1">
      <alignment horizontal="center" vertical="center"/>
    </xf>
    <xf numFmtId="164" fontId="5" fillId="4" borderId="34" xfId="0" applyNumberFormat="1" applyFont="1" applyFill="1" applyBorder="1" applyAlignment="1">
      <alignment horizontal="center" vertical="center"/>
    </xf>
    <xf numFmtId="2" fontId="5" fillId="0" borderId="0" xfId="0" applyNumberFormat="1" applyFont="1" applyAlignment="1">
      <alignment horizontal="center" vertical="center"/>
    </xf>
    <xf numFmtId="2" fontId="5" fillId="0" borderId="26" xfId="0" applyNumberFormat="1" applyFont="1" applyBorder="1" applyAlignment="1">
      <alignment horizontal="center" vertical="center"/>
    </xf>
    <xf numFmtId="164" fontId="5" fillId="0" borderId="0" xfId="0" applyNumberFormat="1" applyFont="1" applyAlignment="1">
      <alignment horizontal="center" vertical="center"/>
    </xf>
    <xf numFmtId="0" fontId="5" fillId="0" borderId="54" xfId="0" applyFont="1" applyBorder="1" applyAlignment="1">
      <alignment horizontal="center" vertical="center"/>
    </xf>
    <xf numFmtId="0" fontId="5" fillId="0" borderId="32" xfId="0" applyFont="1" applyBorder="1" applyAlignment="1">
      <alignment horizontal="center" vertical="center"/>
    </xf>
    <xf numFmtId="164" fontId="5" fillId="4" borderId="55" xfId="0" applyNumberFormat="1" applyFont="1" applyFill="1" applyBorder="1" applyAlignment="1">
      <alignment vertical="center"/>
    </xf>
    <xf numFmtId="164" fontId="5" fillId="4" borderId="40" xfId="0" applyNumberFormat="1" applyFont="1" applyFill="1" applyBorder="1" applyAlignment="1">
      <alignment vertical="center"/>
    </xf>
    <xf numFmtId="164" fontId="5" fillId="4" borderId="56" xfId="0" applyNumberFormat="1" applyFont="1" applyFill="1" applyBorder="1" applyAlignment="1">
      <alignment vertical="center"/>
    </xf>
    <xf numFmtId="164" fontId="5" fillId="4" borderId="33" xfId="0" applyNumberFormat="1" applyFont="1" applyFill="1" applyBorder="1" applyAlignment="1">
      <alignment vertical="center"/>
    </xf>
    <xf numFmtId="164" fontId="5" fillId="4" borderId="57" xfId="0" applyNumberFormat="1" applyFont="1" applyFill="1" applyBorder="1" applyAlignment="1">
      <alignment vertical="center"/>
    </xf>
    <xf numFmtId="164" fontId="5" fillId="4" borderId="38" xfId="0" applyNumberFormat="1" applyFont="1" applyFill="1" applyBorder="1" applyAlignment="1">
      <alignment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5" fillId="0" borderId="0" xfId="0" applyFont="1" applyBorder="1" applyAlignment="1">
      <alignment horizontal="center" vertical="center"/>
    </xf>
    <xf numFmtId="10" fontId="5" fillId="0" borderId="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5" xfId="0" applyNumberFormat="1" applyFont="1" applyBorder="1" applyAlignment="1">
      <alignment horizontal="center" vertical="center"/>
    </xf>
    <xf numFmtId="0" fontId="5" fillId="5" borderId="46" xfId="0" applyFont="1" applyFill="1" applyBorder="1" applyAlignment="1">
      <alignment horizontal="center" vertical="center"/>
    </xf>
    <xf numFmtId="0" fontId="5" fillId="5" borderId="47" xfId="0" applyFont="1" applyFill="1" applyBorder="1" applyAlignment="1">
      <alignment horizontal="center" vertical="center"/>
    </xf>
    <xf numFmtId="10" fontId="5" fillId="0" borderId="51" xfId="0" applyNumberFormat="1" applyFont="1" applyBorder="1" applyAlignment="1">
      <alignment horizontal="center" vertical="center"/>
    </xf>
    <xf numFmtId="0" fontId="9" fillId="6" borderId="8" xfId="0" applyFont="1" applyFill="1" applyBorder="1" applyAlignment="1">
      <alignment vertical="center"/>
    </xf>
    <xf numFmtId="0" fontId="9" fillId="6" borderId="45" xfId="0" applyFont="1" applyFill="1" applyBorder="1" applyAlignment="1">
      <alignment vertical="center"/>
    </xf>
    <xf numFmtId="2" fontId="5" fillId="6" borderId="0" xfId="0" applyNumberFormat="1" applyFont="1" applyFill="1" applyBorder="1" applyAlignment="1">
      <alignment vertical="center"/>
    </xf>
    <xf numFmtId="10" fontId="10" fillId="6" borderId="0" xfId="0" applyNumberFormat="1" applyFont="1" applyFill="1" applyBorder="1" applyAlignment="1">
      <alignment horizontal="center" vertical="center"/>
    </xf>
    <xf numFmtId="0" fontId="9" fillId="6" borderId="68" xfId="0" applyFont="1" applyFill="1" applyBorder="1" applyAlignment="1">
      <alignment vertical="center"/>
    </xf>
    <xf numFmtId="0" fontId="9" fillId="6" borderId="69" xfId="0" applyFont="1" applyFill="1" applyBorder="1" applyAlignment="1">
      <alignment vertical="center"/>
    </xf>
    <xf numFmtId="0" fontId="8" fillId="0" borderId="0" xfId="0" applyFont="1" applyFill="1" applyBorder="1" applyAlignment="1">
      <alignment horizontal="center" vertical="center" textRotation="90"/>
    </xf>
    <xf numFmtId="0" fontId="5" fillId="0" borderId="0" xfId="0" applyFont="1" applyFill="1" applyBorder="1" applyAlignment="1">
      <alignment horizontal="center" vertical="center"/>
    </xf>
    <xf numFmtId="0" fontId="0" fillId="0" borderId="0" xfId="0" applyFill="1" applyBorder="1" applyAlignment="1">
      <alignment horizontal="center" vertical="center"/>
    </xf>
    <xf numFmtId="164" fontId="5" fillId="0" borderId="0" xfId="0" applyNumberFormat="1" applyFont="1" applyFill="1" applyBorder="1" applyAlignment="1">
      <alignment horizontal="center" vertical="center"/>
    </xf>
    <xf numFmtId="0" fontId="5" fillId="0" borderId="0" xfId="0" applyFont="1" applyFill="1" applyBorder="1" applyAlignment="1">
      <alignment vertical="center"/>
    </xf>
    <xf numFmtId="164" fontId="5" fillId="0" borderId="0" xfId="0" applyNumberFormat="1" applyFont="1" applyFill="1" applyBorder="1" applyAlignment="1">
      <alignment vertical="center"/>
    </xf>
    <xf numFmtId="0" fontId="6" fillId="0" borderId="0" xfId="0" applyFont="1" applyFill="1" applyBorder="1" applyAlignment="1">
      <alignment vertical="center"/>
    </xf>
    <xf numFmtId="164" fontId="6" fillId="0" borderId="0" xfId="0" applyNumberFormat="1" applyFont="1" applyFill="1" applyBorder="1" applyAlignment="1">
      <alignment horizontal="center" vertical="center"/>
    </xf>
    <xf numFmtId="164" fontId="6" fillId="0" borderId="0" xfId="0" applyNumberFormat="1" applyFont="1" applyFill="1" applyBorder="1" applyAlignment="1">
      <alignment vertical="center"/>
    </xf>
    <xf numFmtId="0" fontId="5" fillId="0" borderId="31" xfId="0" applyFont="1" applyBorder="1" applyAlignment="1">
      <alignment horizontal="center" vertical="center"/>
    </xf>
    <xf numFmtId="0" fontId="5" fillId="0" borderId="29" xfId="0" applyFont="1" applyBorder="1" applyAlignment="1">
      <alignment horizontal="center" vertical="center"/>
    </xf>
    <xf numFmtId="0" fontId="5" fillId="0" borderId="30" xfId="0" applyFont="1" applyBorder="1" applyAlignment="1">
      <alignment horizontal="center" vertical="center"/>
    </xf>
    <xf numFmtId="0" fontId="5" fillId="0" borderId="0" xfId="0" applyFont="1" applyFill="1" applyAlignment="1">
      <alignment vertical="center"/>
    </xf>
    <xf numFmtId="0" fontId="5" fillId="0" borderId="0" xfId="0" applyFont="1" applyFill="1" applyAlignment="1">
      <alignment horizontal="center" vertical="center"/>
    </xf>
    <xf numFmtId="2" fontId="5" fillId="0" borderId="0" xfId="0" applyNumberFormat="1" applyFont="1" applyFill="1" applyAlignment="1">
      <alignment horizontal="center" vertical="center"/>
    </xf>
    <xf numFmtId="0" fontId="5" fillId="0" borderId="0" xfId="0" applyFont="1" applyFill="1" applyBorder="1" applyAlignment="1">
      <alignment horizontal="center" vertical="center" textRotation="90"/>
    </xf>
    <xf numFmtId="0" fontId="9" fillId="0" borderId="0" xfId="0" applyFont="1" applyFill="1" applyBorder="1" applyAlignment="1">
      <alignment vertical="center"/>
    </xf>
    <xf numFmtId="0" fontId="9" fillId="0" borderId="0" xfId="0" applyFont="1" applyFill="1" applyBorder="1" applyAlignment="1">
      <alignment horizontal="center" vertical="center" textRotation="90"/>
    </xf>
    <xf numFmtId="10" fontId="5" fillId="0" borderId="0" xfId="0" applyNumberFormat="1" applyFont="1" applyFill="1" applyBorder="1" applyAlignment="1">
      <alignment horizontal="center" vertical="center"/>
    </xf>
    <xf numFmtId="10" fontId="3" fillId="0" borderId="0" xfId="3" applyNumberFormat="1" applyFill="1" applyBorder="1" applyAlignment="1">
      <alignment horizontal="center" vertical="center"/>
    </xf>
    <xf numFmtId="2" fontId="5" fillId="0" borderId="0" xfId="0" applyNumberFormat="1" applyFont="1" applyFill="1" applyBorder="1" applyAlignment="1">
      <alignment horizontal="center" vertical="center"/>
    </xf>
    <xf numFmtId="2" fontId="5" fillId="0" borderId="54" xfId="0" applyNumberFormat="1" applyFont="1" applyBorder="1" applyAlignment="1">
      <alignment vertical="center"/>
    </xf>
    <xf numFmtId="2" fontId="5" fillId="6" borderId="31" xfId="0" applyNumberFormat="1" applyFont="1" applyFill="1" applyBorder="1" applyAlignment="1">
      <alignment vertical="center"/>
    </xf>
    <xf numFmtId="2" fontId="10" fillId="6" borderId="31" xfId="0" applyNumberFormat="1" applyFont="1" applyFill="1" applyBorder="1" applyAlignment="1">
      <alignment vertical="center"/>
    </xf>
    <xf numFmtId="2" fontId="5" fillId="0" borderId="56" xfId="0" applyNumberFormat="1" applyFont="1" applyBorder="1" applyAlignment="1">
      <alignment vertical="center"/>
    </xf>
    <xf numFmtId="10" fontId="10" fillId="6" borderId="33" xfId="0" applyNumberFormat="1" applyFont="1" applyFill="1" applyBorder="1" applyAlignment="1">
      <alignment horizontal="center" vertical="center"/>
    </xf>
    <xf numFmtId="0" fontId="5" fillId="0" borderId="72" xfId="0" applyFont="1" applyFill="1" applyBorder="1" applyAlignment="1">
      <alignment vertical="center"/>
    </xf>
    <xf numFmtId="0" fontId="5" fillId="0" borderId="72" xfId="0" applyFont="1" applyFill="1" applyBorder="1" applyAlignment="1">
      <alignment horizontal="center" vertical="center"/>
    </xf>
    <xf numFmtId="2" fontId="5" fillId="0" borderId="72" xfId="0" applyNumberFormat="1" applyFont="1" applyFill="1" applyBorder="1" applyAlignment="1">
      <alignment horizontal="center" vertical="center"/>
    </xf>
    <xf numFmtId="0" fontId="5" fillId="0" borderId="72" xfId="0" applyFont="1" applyFill="1" applyBorder="1" applyAlignment="1">
      <alignment horizontal="center" vertical="center" textRotation="90"/>
    </xf>
    <xf numFmtId="0" fontId="9" fillId="0" borderId="72" xfId="0" applyFont="1" applyFill="1" applyBorder="1" applyAlignment="1">
      <alignment vertical="center"/>
    </xf>
    <xf numFmtId="0" fontId="9" fillId="0" borderId="72" xfId="0" applyFont="1" applyFill="1" applyBorder="1" applyAlignment="1">
      <alignment horizontal="center" vertical="center" textRotation="90"/>
    </xf>
    <xf numFmtId="10" fontId="5" fillId="0" borderId="72" xfId="0" applyNumberFormat="1" applyFont="1" applyFill="1" applyBorder="1" applyAlignment="1">
      <alignment horizontal="center" vertical="center"/>
    </xf>
    <xf numFmtId="10" fontId="3" fillId="0" borderId="72" xfId="3" applyNumberFormat="1" applyFill="1" applyBorder="1" applyAlignment="1">
      <alignment horizontal="center" vertical="center"/>
    </xf>
    <xf numFmtId="0" fontId="5" fillId="0" borderId="73" xfId="0" applyFont="1" applyFill="1" applyBorder="1" applyAlignment="1">
      <alignment vertical="center"/>
    </xf>
    <xf numFmtId="0" fontId="5" fillId="0" borderId="73" xfId="0" applyFont="1" applyFill="1" applyBorder="1" applyAlignment="1">
      <alignment horizontal="center" vertical="center"/>
    </xf>
    <xf numFmtId="2" fontId="5" fillId="0" borderId="73" xfId="0" applyNumberFormat="1" applyFont="1" applyFill="1" applyBorder="1" applyAlignment="1">
      <alignment horizontal="center" vertical="center"/>
    </xf>
    <xf numFmtId="0" fontId="5" fillId="0" borderId="73" xfId="0" applyFont="1" applyFill="1" applyBorder="1" applyAlignment="1">
      <alignment horizontal="center" vertical="center" textRotation="90"/>
    </xf>
    <xf numFmtId="0" fontId="9" fillId="0" borderId="73" xfId="0" applyFont="1" applyFill="1" applyBorder="1" applyAlignment="1">
      <alignment vertical="center"/>
    </xf>
    <xf numFmtId="0" fontId="9" fillId="0" borderId="73" xfId="0" applyFont="1" applyFill="1" applyBorder="1" applyAlignment="1">
      <alignment horizontal="center" vertical="center" textRotation="90"/>
    </xf>
    <xf numFmtId="10" fontId="5" fillId="0" borderId="73" xfId="0" applyNumberFormat="1" applyFont="1" applyFill="1" applyBorder="1" applyAlignment="1">
      <alignment horizontal="center" vertical="center"/>
    </xf>
    <xf numFmtId="10" fontId="3" fillId="0" borderId="73" xfId="3" applyNumberFormat="1" applyFill="1" applyBorder="1" applyAlignment="1">
      <alignment horizontal="center" vertical="center"/>
    </xf>
    <xf numFmtId="9" fontId="5" fillId="0" borderId="0" xfId="1" applyFont="1" applyAlignment="1">
      <alignment horizontal="center" vertical="center"/>
    </xf>
    <xf numFmtId="0" fontId="0" fillId="0" borderId="0" xfId="0" applyAlignment="1">
      <alignment horizontal="center"/>
    </xf>
    <xf numFmtId="10" fontId="0" fillId="0" borderId="1" xfId="1" applyNumberFormat="1" applyFont="1" applyBorder="1" applyAlignment="1">
      <alignment horizontal="center"/>
    </xf>
    <xf numFmtId="0" fontId="4" fillId="9" borderId="1" xfId="0" applyFont="1" applyFill="1" applyBorder="1" applyAlignment="1">
      <alignment horizontal="center"/>
    </xf>
    <xf numFmtId="0" fontId="4" fillId="12" borderId="1" xfId="0" applyFont="1" applyFill="1" applyBorder="1" applyAlignment="1">
      <alignment horizontal="center"/>
    </xf>
    <xf numFmtId="0" fontId="4" fillId="13" borderId="1" xfId="0" applyFont="1" applyFill="1" applyBorder="1" applyAlignment="1">
      <alignment horizontal="center"/>
    </xf>
    <xf numFmtId="0" fontId="4" fillId="14" borderId="1" xfId="0" applyFont="1" applyFill="1" applyBorder="1" applyAlignment="1">
      <alignment horizontal="center"/>
    </xf>
    <xf numFmtId="0" fontId="4" fillId="13" borderId="8" xfId="0" applyFont="1" applyFill="1" applyBorder="1" applyAlignment="1">
      <alignment horizontal="center"/>
    </xf>
    <xf numFmtId="0" fontId="4" fillId="13" borderId="9" xfId="0" applyFont="1" applyFill="1" applyBorder="1" applyAlignment="1">
      <alignment horizontal="center"/>
    </xf>
    <xf numFmtId="10" fontId="4" fillId="15" borderId="45" xfId="0" applyNumberFormat="1" applyFont="1" applyFill="1" applyBorder="1"/>
    <xf numFmtId="10" fontId="4" fillId="15" borderId="46" xfId="0" applyNumberFormat="1" applyFont="1" applyFill="1" applyBorder="1"/>
    <xf numFmtId="10" fontId="4" fillId="15" borderId="47" xfId="0" applyNumberFormat="1" applyFont="1" applyFill="1" applyBorder="1"/>
    <xf numFmtId="0" fontId="4" fillId="14" borderId="8" xfId="0" applyFont="1" applyFill="1" applyBorder="1" applyAlignment="1">
      <alignment horizontal="center"/>
    </xf>
    <xf numFmtId="0" fontId="4" fillId="14" borderId="9" xfId="0" applyFont="1" applyFill="1" applyBorder="1" applyAlignment="1">
      <alignment horizontal="center"/>
    </xf>
    <xf numFmtId="10" fontId="4" fillId="14" borderId="45" xfId="0" applyNumberFormat="1" applyFont="1" applyFill="1" applyBorder="1"/>
    <xf numFmtId="10" fontId="4" fillId="14" borderId="46" xfId="0" applyNumberFormat="1" applyFont="1" applyFill="1" applyBorder="1"/>
    <xf numFmtId="10" fontId="4" fillId="14" borderId="47" xfId="0" applyNumberFormat="1" applyFont="1" applyFill="1" applyBorder="1"/>
    <xf numFmtId="10" fontId="4" fillId="14" borderId="10" xfId="0" applyNumberFormat="1" applyFont="1" applyFill="1" applyBorder="1"/>
    <xf numFmtId="10" fontId="4" fillId="14" borderId="11" xfId="0" applyNumberFormat="1" applyFont="1" applyFill="1" applyBorder="1"/>
    <xf numFmtId="10" fontId="4" fillId="14" borderId="12" xfId="0" applyNumberFormat="1" applyFont="1" applyFill="1" applyBorder="1"/>
    <xf numFmtId="10" fontId="4" fillId="15" borderId="11" xfId="0" applyNumberFormat="1" applyFont="1" applyFill="1" applyBorder="1"/>
    <xf numFmtId="10" fontId="4" fillId="15" borderId="12" xfId="0" applyNumberFormat="1" applyFont="1" applyFill="1" applyBorder="1"/>
    <xf numFmtId="0" fontId="0" fillId="0" borderId="56" xfId="0" applyBorder="1" applyAlignment="1">
      <alignment horizontal="center" vertical="center" textRotation="90"/>
    </xf>
    <xf numFmtId="10" fontId="4" fillId="10" borderId="11" xfId="1" applyNumberFormat="1" applyFont="1" applyFill="1" applyBorder="1" applyAlignment="1">
      <alignment horizontal="center"/>
    </xf>
    <xf numFmtId="0" fontId="7" fillId="0" borderId="0" xfId="0" applyFont="1" applyFill="1" applyBorder="1"/>
    <xf numFmtId="10" fontId="4" fillId="0" borderId="0" xfId="1" applyNumberFormat="1" applyFont="1" applyFill="1" applyBorder="1" applyAlignment="1">
      <alignment horizontal="center"/>
    </xf>
    <xf numFmtId="10" fontId="4" fillId="0" borderId="0" xfId="0" applyNumberFormat="1" applyFont="1" applyFill="1" applyBorder="1"/>
    <xf numFmtId="10" fontId="0" fillId="0" borderId="6" xfId="1" applyNumberFormat="1" applyFont="1" applyBorder="1" applyAlignment="1">
      <alignment horizontal="center"/>
    </xf>
    <xf numFmtId="10" fontId="0" fillId="0" borderId="5" xfId="0" applyNumberFormat="1" applyBorder="1"/>
    <xf numFmtId="10" fontId="0" fillId="0" borderId="6" xfId="0" applyNumberFormat="1" applyBorder="1"/>
    <xf numFmtId="10" fontId="0" fillId="0" borderId="7" xfId="0" applyNumberFormat="1" applyBorder="1"/>
    <xf numFmtId="10" fontId="4" fillId="10" borderId="46" xfId="1" applyNumberFormat="1" applyFont="1" applyFill="1" applyBorder="1" applyAlignment="1">
      <alignment horizontal="center"/>
    </xf>
    <xf numFmtId="0" fontId="4" fillId="9" borderId="11" xfId="0" applyFont="1" applyFill="1" applyBorder="1" applyAlignment="1">
      <alignment horizontal="center"/>
    </xf>
    <xf numFmtId="0" fontId="4" fillId="12" borderId="11" xfId="0" applyFont="1" applyFill="1" applyBorder="1" applyAlignment="1">
      <alignment horizontal="center"/>
    </xf>
    <xf numFmtId="0" fontId="4" fillId="14" borderId="10" xfId="0" applyFont="1" applyFill="1" applyBorder="1" applyAlignment="1">
      <alignment horizontal="center"/>
    </xf>
    <xf numFmtId="0" fontId="4" fillId="14" borderId="11" xfId="0" applyFont="1" applyFill="1" applyBorder="1" applyAlignment="1">
      <alignment horizontal="center"/>
    </xf>
    <xf numFmtId="0" fontId="4" fillId="14" borderId="12" xfId="0" applyFont="1" applyFill="1" applyBorder="1" applyAlignment="1">
      <alignment horizontal="center"/>
    </xf>
    <xf numFmtId="0" fontId="4" fillId="13" borderId="11" xfId="0" applyFont="1" applyFill="1" applyBorder="1" applyAlignment="1">
      <alignment horizontal="center"/>
    </xf>
    <xf numFmtId="0" fontId="4" fillId="13" borderId="12" xfId="0" applyFont="1" applyFill="1" applyBorder="1" applyAlignment="1">
      <alignment horizontal="center"/>
    </xf>
    <xf numFmtId="10" fontId="4" fillId="0" borderId="33" xfId="0" applyNumberFormat="1" applyFont="1" applyFill="1" applyBorder="1"/>
    <xf numFmtId="0" fontId="0" fillId="0" borderId="0" xfId="0" applyFill="1" applyBorder="1"/>
    <xf numFmtId="0" fontId="4" fillId="0" borderId="0" xfId="0" applyFont="1" applyFill="1" applyBorder="1" applyAlignment="1">
      <alignment horizontal="center"/>
    </xf>
    <xf numFmtId="10" fontId="0" fillId="0" borderId="0" xfId="1" applyNumberFormat="1" applyFont="1" applyFill="1" applyBorder="1" applyAlignment="1">
      <alignment horizontal="center"/>
    </xf>
    <xf numFmtId="0" fontId="4" fillId="9" borderId="2" xfId="0" applyFont="1" applyFill="1" applyBorder="1" applyAlignment="1">
      <alignment vertical="center"/>
    </xf>
    <xf numFmtId="0" fontId="4" fillId="9" borderId="71" xfId="0" applyFont="1" applyFill="1" applyBorder="1"/>
    <xf numFmtId="0" fontId="7" fillId="9" borderId="74" xfId="0" applyFont="1" applyFill="1" applyBorder="1"/>
    <xf numFmtId="0" fontId="7" fillId="9" borderId="3" xfId="0" applyFont="1" applyFill="1" applyBorder="1"/>
    <xf numFmtId="0" fontId="7" fillId="11" borderId="72" xfId="0" applyFont="1" applyFill="1" applyBorder="1"/>
    <xf numFmtId="0" fontId="7" fillId="11" borderId="76" xfId="0" applyFont="1" applyFill="1" applyBorder="1"/>
    <xf numFmtId="0" fontId="4" fillId="9" borderId="9" xfId="0" applyFont="1" applyFill="1" applyBorder="1" applyAlignment="1">
      <alignment horizontal="center"/>
    </xf>
    <xf numFmtId="0" fontId="4" fillId="9" borderId="10" xfId="0" applyFont="1" applyFill="1" applyBorder="1" applyAlignment="1">
      <alignment horizontal="center"/>
    </xf>
    <xf numFmtId="0" fontId="4" fillId="9" borderId="12" xfId="0" applyFont="1" applyFill="1" applyBorder="1" applyAlignment="1">
      <alignment horizontal="center"/>
    </xf>
    <xf numFmtId="10" fontId="0" fillId="0" borderId="5" xfId="1" applyNumberFormat="1" applyFont="1" applyBorder="1" applyAlignment="1">
      <alignment horizontal="center"/>
    </xf>
    <xf numFmtId="10" fontId="0" fillId="0" borderId="7" xfId="1" applyNumberFormat="1" applyFont="1" applyBorder="1" applyAlignment="1">
      <alignment horizontal="center"/>
    </xf>
    <xf numFmtId="10" fontId="0" fillId="0" borderId="8" xfId="1" applyNumberFormat="1" applyFont="1" applyBorder="1" applyAlignment="1">
      <alignment horizontal="center"/>
    </xf>
    <xf numFmtId="10" fontId="0" fillId="0" borderId="9" xfId="1" applyNumberFormat="1" applyFont="1" applyBorder="1" applyAlignment="1">
      <alignment horizontal="center"/>
    </xf>
    <xf numFmtId="10" fontId="4" fillId="10" borderId="10" xfId="1" applyNumberFormat="1" applyFont="1" applyFill="1" applyBorder="1" applyAlignment="1">
      <alignment horizontal="center"/>
    </xf>
    <xf numFmtId="10" fontId="4" fillId="10" borderId="12" xfId="1" applyNumberFormat="1" applyFont="1" applyFill="1" applyBorder="1" applyAlignment="1">
      <alignment horizontal="center"/>
    </xf>
    <xf numFmtId="10" fontId="4" fillId="0" borderId="56" xfId="1" applyNumberFormat="1" applyFont="1" applyFill="1" applyBorder="1" applyAlignment="1">
      <alignment horizontal="center"/>
    </xf>
    <xf numFmtId="10" fontId="4" fillId="0" borderId="33" xfId="1" applyNumberFormat="1" applyFont="1" applyFill="1" applyBorder="1" applyAlignment="1">
      <alignment horizontal="center"/>
    </xf>
    <xf numFmtId="10" fontId="4" fillId="10" borderId="45" xfId="1" applyNumberFormat="1" applyFont="1" applyFill="1" applyBorder="1" applyAlignment="1">
      <alignment horizontal="center"/>
    </xf>
    <xf numFmtId="10" fontId="4" fillId="10" borderId="47" xfId="1" applyNumberFormat="1" applyFont="1" applyFill="1" applyBorder="1" applyAlignment="1">
      <alignment horizontal="center"/>
    </xf>
    <xf numFmtId="0" fontId="0" fillId="0" borderId="54" xfId="0" applyBorder="1"/>
    <xf numFmtId="0" fontId="4" fillId="9" borderId="67" xfId="0" applyFont="1" applyFill="1" applyBorder="1"/>
    <xf numFmtId="0" fontId="4" fillId="0" borderId="31" xfId="0" applyFont="1" applyFill="1" applyBorder="1" applyAlignment="1">
      <alignment horizontal="center"/>
    </xf>
    <xf numFmtId="0" fontId="0" fillId="0" borderId="56" xfId="0" applyBorder="1"/>
    <xf numFmtId="10" fontId="4" fillId="0" borderId="37" xfId="1" applyNumberFormat="1" applyFont="1" applyFill="1" applyBorder="1" applyAlignment="1">
      <alignment horizontal="center"/>
    </xf>
    <xf numFmtId="0" fontId="4" fillId="12" borderId="8" xfId="0" applyFont="1" applyFill="1" applyBorder="1" applyAlignment="1">
      <alignment horizontal="center"/>
    </xf>
    <xf numFmtId="0" fontId="4" fillId="12" borderId="9" xfId="0" applyFont="1" applyFill="1" applyBorder="1" applyAlignment="1">
      <alignment horizontal="center"/>
    </xf>
    <xf numFmtId="0" fontId="4" fillId="12" borderId="10" xfId="0" applyFont="1" applyFill="1" applyBorder="1" applyAlignment="1">
      <alignment horizontal="center"/>
    </xf>
    <xf numFmtId="0" fontId="4" fillId="12" borderId="12" xfId="0" applyFont="1" applyFill="1" applyBorder="1" applyAlignment="1">
      <alignment horizontal="center"/>
    </xf>
    <xf numFmtId="0" fontId="4" fillId="13" borderId="10" xfId="0" applyFont="1" applyFill="1" applyBorder="1" applyAlignment="1">
      <alignment horizontal="center"/>
    </xf>
    <xf numFmtId="10" fontId="4" fillId="15" borderId="10" xfId="0" applyNumberFormat="1" applyFont="1" applyFill="1" applyBorder="1"/>
    <xf numFmtId="10" fontId="4" fillId="0" borderId="56" xfId="0" applyNumberFormat="1" applyFont="1" applyFill="1" applyBorder="1"/>
    <xf numFmtId="0" fontId="5" fillId="16" borderId="30" xfId="0" applyFont="1" applyFill="1" applyBorder="1" applyAlignment="1">
      <alignment horizontal="center" vertical="center"/>
    </xf>
    <xf numFmtId="0" fontId="5" fillId="16" borderId="31" xfId="0" applyFont="1" applyFill="1" applyBorder="1" applyAlignment="1">
      <alignment horizontal="center" vertical="center"/>
    </xf>
    <xf numFmtId="0" fontId="5" fillId="16" borderId="29" xfId="0" applyFont="1" applyFill="1" applyBorder="1" applyAlignment="1">
      <alignment horizontal="center" vertical="center"/>
    </xf>
    <xf numFmtId="0" fontId="4" fillId="9" borderId="5" xfId="0" applyFont="1" applyFill="1" applyBorder="1" applyAlignment="1">
      <alignment horizontal="center"/>
    </xf>
    <xf numFmtId="0" fontId="4" fillId="9" borderId="6" xfId="0" applyFont="1" applyFill="1" applyBorder="1" applyAlignment="1">
      <alignment horizontal="center"/>
    </xf>
    <xf numFmtId="0" fontId="4" fillId="9" borderId="7" xfId="0" applyFont="1" applyFill="1" applyBorder="1" applyAlignment="1">
      <alignment horizontal="center"/>
    </xf>
    <xf numFmtId="0" fontId="4" fillId="9" borderId="8" xfId="0" applyFont="1" applyFill="1" applyBorder="1" applyAlignment="1">
      <alignment horizontal="center"/>
    </xf>
    <xf numFmtId="0" fontId="4" fillId="9" borderId="1" xfId="0" applyFont="1" applyFill="1" applyBorder="1" applyAlignment="1">
      <alignment horizontal="center"/>
    </xf>
    <xf numFmtId="0" fontId="4" fillId="9" borderId="9" xfId="0" applyFont="1" applyFill="1" applyBorder="1" applyAlignment="1">
      <alignment horizontal="center"/>
    </xf>
    <xf numFmtId="0" fontId="0" fillId="0" borderId="27" xfId="0" applyBorder="1" applyAlignment="1">
      <alignment horizontal="center" vertical="center" textRotation="90"/>
    </xf>
    <xf numFmtId="0" fontId="0" fillId="0" borderId="28" xfId="0" applyBorder="1" applyAlignment="1">
      <alignment horizontal="center" vertical="center" textRotation="90"/>
    </xf>
    <xf numFmtId="0" fontId="0" fillId="0" borderId="44" xfId="0" applyBorder="1" applyAlignment="1">
      <alignment horizontal="center" vertical="center" textRotation="90"/>
    </xf>
    <xf numFmtId="0" fontId="4" fillId="13" borderId="5" xfId="0" applyFont="1" applyFill="1" applyBorder="1" applyAlignment="1">
      <alignment horizontal="center"/>
    </xf>
    <xf numFmtId="0" fontId="4" fillId="13" borderId="6" xfId="0" applyFont="1" applyFill="1" applyBorder="1" applyAlignment="1">
      <alignment horizontal="center"/>
    </xf>
    <xf numFmtId="0" fontId="4" fillId="13" borderId="7" xfId="0" applyFont="1" applyFill="1" applyBorder="1" applyAlignment="1">
      <alignment horizontal="center"/>
    </xf>
    <xf numFmtId="0" fontId="4" fillId="13" borderId="8" xfId="0" applyFont="1" applyFill="1" applyBorder="1" applyAlignment="1">
      <alignment horizontal="center"/>
    </xf>
    <xf numFmtId="0" fontId="4" fillId="13" borderId="1" xfId="0" applyFont="1" applyFill="1" applyBorder="1" applyAlignment="1">
      <alignment horizontal="center"/>
    </xf>
    <xf numFmtId="0" fontId="4" fillId="13" borderId="9" xfId="0" applyFont="1" applyFill="1" applyBorder="1" applyAlignment="1">
      <alignment horizontal="center"/>
    </xf>
    <xf numFmtId="0" fontId="4" fillId="14" borderId="68" xfId="0" applyFont="1" applyFill="1" applyBorder="1" applyAlignment="1">
      <alignment horizontal="center"/>
    </xf>
    <xf numFmtId="0" fontId="4" fillId="14" borderId="74" xfId="0" applyFont="1" applyFill="1" applyBorder="1" applyAlignment="1">
      <alignment horizontal="center"/>
    </xf>
    <xf numFmtId="0" fontId="4" fillId="14" borderId="75" xfId="0" applyFont="1" applyFill="1" applyBorder="1" applyAlignment="1">
      <alignment horizontal="center"/>
    </xf>
    <xf numFmtId="0" fontId="4" fillId="14" borderId="69" xfId="0" applyFont="1" applyFill="1" applyBorder="1" applyAlignment="1">
      <alignment horizontal="center"/>
    </xf>
    <xf numFmtId="0" fontId="4" fillId="14" borderId="3" xfId="0" applyFont="1" applyFill="1" applyBorder="1" applyAlignment="1">
      <alignment horizontal="center"/>
    </xf>
    <xf numFmtId="0" fontId="4" fillId="14" borderId="4" xfId="0" applyFont="1" applyFill="1" applyBorder="1" applyAlignment="1">
      <alignment horizontal="center"/>
    </xf>
    <xf numFmtId="0" fontId="4" fillId="14" borderId="1" xfId="0" applyFont="1" applyFill="1" applyBorder="1" applyAlignment="1">
      <alignment horizontal="center"/>
    </xf>
    <xf numFmtId="0" fontId="4" fillId="14" borderId="9" xfId="0" applyFont="1" applyFill="1" applyBorder="1" applyAlignment="1">
      <alignment horizontal="center"/>
    </xf>
    <xf numFmtId="0" fontId="4" fillId="12" borderId="5" xfId="0" applyFont="1" applyFill="1" applyBorder="1" applyAlignment="1">
      <alignment horizontal="center"/>
    </xf>
    <xf numFmtId="0" fontId="4" fillId="12" borderId="6" xfId="0" applyFont="1" applyFill="1" applyBorder="1" applyAlignment="1">
      <alignment horizontal="center"/>
    </xf>
    <xf numFmtId="0" fontId="4" fillId="12" borderId="7" xfId="0" applyFont="1" applyFill="1" applyBorder="1" applyAlignment="1">
      <alignment horizontal="center"/>
    </xf>
    <xf numFmtId="0" fontId="4" fillId="12" borderId="8" xfId="0" applyFont="1" applyFill="1" applyBorder="1" applyAlignment="1">
      <alignment horizontal="center"/>
    </xf>
    <xf numFmtId="0" fontId="4" fillId="12" borderId="1" xfId="0" applyFont="1" applyFill="1" applyBorder="1" applyAlignment="1">
      <alignment horizontal="center"/>
    </xf>
    <xf numFmtId="0" fontId="4" fillId="12" borderId="9" xfId="0" applyFont="1" applyFill="1" applyBorder="1" applyAlignment="1">
      <alignment horizontal="center"/>
    </xf>
    <xf numFmtId="0" fontId="5" fillId="0" borderId="15" xfId="0" applyFont="1" applyBorder="1" applyAlignment="1">
      <alignment horizontal="center" vertical="center"/>
    </xf>
    <xf numFmtId="0" fontId="5" fillId="0" borderId="0" xfId="0" applyFont="1" applyBorder="1" applyAlignment="1">
      <alignment horizontal="center" vertical="center"/>
    </xf>
    <xf numFmtId="0" fontId="5" fillId="0" borderId="23" xfId="0" applyFont="1" applyBorder="1" applyAlignment="1">
      <alignment horizontal="center" vertical="center"/>
    </xf>
    <xf numFmtId="0" fontId="8" fillId="0" borderId="27" xfId="0" applyFont="1" applyBorder="1" applyAlignment="1">
      <alignment horizontal="center" vertical="center" textRotation="90"/>
    </xf>
    <xf numFmtId="0" fontId="8" fillId="0" borderId="28" xfId="0" applyFont="1" applyBorder="1" applyAlignment="1">
      <alignment horizontal="center" vertical="center" textRotation="90"/>
    </xf>
    <xf numFmtId="0" fontId="8" fillId="0" borderId="44" xfId="0" applyFont="1" applyBorder="1" applyAlignment="1">
      <alignment horizontal="center" vertical="center" textRotation="90"/>
    </xf>
    <xf numFmtId="0" fontId="5" fillId="0" borderId="37" xfId="0" applyFont="1" applyBorder="1" applyAlignment="1">
      <alignment horizontal="center" vertical="center"/>
    </xf>
    <xf numFmtId="0" fontId="6" fillId="0" borderId="13" xfId="0" applyFont="1" applyBorder="1" applyAlignment="1">
      <alignment horizontal="center" vertical="center"/>
    </xf>
    <xf numFmtId="0" fontId="8" fillId="0" borderId="52" xfId="0" applyFont="1" applyBorder="1" applyAlignment="1">
      <alignment horizontal="center" vertical="center" textRotation="90"/>
    </xf>
    <xf numFmtId="0" fontId="8" fillId="0" borderId="53" xfId="0" applyFont="1" applyBorder="1" applyAlignment="1">
      <alignment horizontal="center" vertical="center" textRotation="90"/>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44" xfId="0" applyBorder="1" applyAlignment="1">
      <alignment horizontal="center" vertical="center"/>
    </xf>
    <xf numFmtId="0" fontId="5" fillId="0" borderId="42" xfId="0" applyFont="1" applyBorder="1" applyAlignment="1">
      <alignment horizontal="center" vertical="center"/>
    </xf>
    <xf numFmtId="0" fontId="5" fillId="0" borderId="39" xfId="0" applyFont="1" applyBorder="1" applyAlignment="1">
      <alignment horizontal="center" vertical="center"/>
    </xf>
    <xf numFmtId="0" fontId="5" fillId="0" borderId="43" xfId="0" applyFont="1" applyBorder="1" applyAlignment="1">
      <alignment horizontal="center" vertical="center"/>
    </xf>
    <xf numFmtId="0" fontId="5" fillId="0" borderId="17" xfId="0" applyFont="1" applyBorder="1" applyAlignment="1">
      <alignment horizontal="center" vertical="center"/>
    </xf>
    <xf numFmtId="0" fontId="5" fillId="0" borderId="18" xfId="0" applyFont="1" applyBorder="1" applyAlignment="1">
      <alignment horizontal="center" vertical="center"/>
    </xf>
    <xf numFmtId="0" fontId="5" fillId="0" borderId="21" xfId="0" applyFont="1" applyBorder="1" applyAlignment="1">
      <alignment horizontal="center" vertical="center"/>
    </xf>
    <xf numFmtId="0" fontId="5" fillId="0" borderId="41" xfId="0" applyFont="1" applyBorder="1" applyAlignment="1">
      <alignment horizontal="center" vertical="center"/>
    </xf>
    <xf numFmtId="0" fontId="5" fillId="0" borderId="35" xfId="0" applyFont="1" applyBorder="1" applyAlignment="1">
      <alignment horizontal="center" vertical="center"/>
    </xf>
    <xf numFmtId="10" fontId="5" fillId="0" borderId="51"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61"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6" xfId="0" applyNumberFormat="1" applyFont="1" applyBorder="1" applyAlignment="1">
      <alignment horizontal="center" vertical="center"/>
    </xf>
    <xf numFmtId="10" fontId="5" fillId="0" borderId="63" xfId="0" applyNumberFormat="1" applyFont="1" applyBorder="1" applyAlignment="1">
      <alignment horizontal="center" vertical="center"/>
    </xf>
    <xf numFmtId="10" fontId="5" fillId="0" borderId="2" xfId="0" applyNumberFormat="1" applyFont="1" applyBorder="1" applyAlignment="1">
      <alignment horizontal="center" vertical="center"/>
    </xf>
    <xf numFmtId="10" fontId="5" fillId="0" borderId="64"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62"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7" xfId="0" applyNumberFormat="1" applyFont="1" applyBorder="1" applyAlignment="1">
      <alignment horizontal="center" vertical="center"/>
    </xf>
    <xf numFmtId="0" fontId="6" fillId="0" borderId="15" xfId="0" applyFont="1" applyBorder="1" applyAlignment="1">
      <alignment horizontal="center" vertical="center"/>
    </xf>
    <xf numFmtId="10" fontId="5" fillId="0" borderId="4" xfId="0" applyNumberFormat="1" applyFont="1" applyBorder="1" applyAlignment="1">
      <alignment horizontal="center" vertical="center"/>
    </xf>
    <xf numFmtId="10" fontId="5" fillId="0" borderId="66" xfId="0" applyNumberFormat="1" applyFont="1" applyBorder="1" applyAlignment="1">
      <alignment horizontal="center" vertical="center"/>
    </xf>
    <xf numFmtId="10" fontId="5" fillId="0" borderId="65" xfId="0" applyNumberFormat="1" applyFont="1" applyBorder="1" applyAlignment="1">
      <alignment horizontal="center" vertical="center"/>
    </xf>
    <xf numFmtId="0" fontId="6" fillId="5" borderId="1" xfId="0" applyFont="1" applyFill="1" applyBorder="1" applyAlignment="1">
      <alignment horizontal="center" vertical="center"/>
    </xf>
    <xf numFmtId="0" fontId="5" fillId="0" borderId="28" xfId="0" applyFont="1" applyBorder="1" applyAlignment="1">
      <alignment horizontal="center" vertical="center" textRotation="90"/>
    </xf>
    <xf numFmtId="0" fontId="9" fillId="8" borderId="68" xfId="0" applyFont="1" applyFill="1" applyBorder="1" applyAlignment="1">
      <alignment horizontal="center" vertical="center" textRotation="90"/>
    </xf>
    <xf numFmtId="0" fontId="9" fillId="8" borderId="69" xfId="0" applyFont="1" applyFill="1" applyBorder="1" applyAlignment="1">
      <alignment horizontal="center" vertical="center" textRotation="90"/>
    </xf>
    <xf numFmtId="0" fontId="9" fillId="8" borderId="70" xfId="0" applyFont="1" applyFill="1" applyBorder="1" applyAlignment="1">
      <alignment horizontal="center" vertical="center" textRotation="90"/>
    </xf>
    <xf numFmtId="10" fontId="10" fillId="6" borderId="31" xfId="0" applyNumberFormat="1" applyFont="1" applyFill="1" applyBorder="1" applyAlignment="1">
      <alignment horizontal="center" vertical="center"/>
    </xf>
    <xf numFmtId="10" fontId="10" fillId="6" borderId="32" xfId="0" applyNumberFormat="1" applyFont="1" applyFill="1" applyBorder="1" applyAlignment="1">
      <alignment horizontal="center" vertical="center"/>
    </xf>
    <xf numFmtId="164" fontId="6" fillId="0" borderId="0" xfId="0" applyNumberFormat="1" applyFont="1" applyFill="1" applyBorder="1" applyAlignment="1">
      <alignment horizontal="center" vertical="center"/>
    </xf>
    <xf numFmtId="0" fontId="9" fillId="7" borderId="68" xfId="0" applyFont="1" applyFill="1" applyBorder="1" applyAlignment="1">
      <alignment horizontal="center" vertical="center" textRotation="90"/>
    </xf>
    <xf numFmtId="0" fontId="9" fillId="7" borderId="69" xfId="0" applyFont="1" applyFill="1" applyBorder="1" applyAlignment="1">
      <alignment horizontal="center" vertical="center" textRotation="90"/>
    </xf>
    <xf numFmtId="0" fontId="9" fillId="7" borderId="70" xfId="0" applyFont="1" applyFill="1" applyBorder="1" applyAlignment="1">
      <alignment horizontal="center" vertical="center" textRotation="90"/>
    </xf>
    <xf numFmtId="0" fontId="9" fillId="6" borderId="63" xfId="0" applyFont="1" applyFill="1" applyBorder="1" applyAlignment="1">
      <alignment horizontal="center" vertical="center" textRotation="90"/>
    </xf>
    <xf numFmtId="0" fontId="9" fillId="6" borderId="2" xfId="0" applyFont="1" applyFill="1" applyBorder="1" applyAlignment="1">
      <alignment horizontal="center" vertical="center" textRotation="90"/>
    </xf>
    <xf numFmtId="0" fontId="9" fillId="6" borderId="64" xfId="0" applyFont="1" applyFill="1" applyBorder="1" applyAlignment="1">
      <alignment horizontal="center" vertical="center" textRotation="90"/>
    </xf>
    <xf numFmtId="10" fontId="10" fillId="6" borderId="0"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5" fillId="0" borderId="44" xfId="0" applyFont="1" applyBorder="1" applyAlignment="1">
      <alignment horizontal="center" vertical="center" textRotation="90"/>
    </xf>
    <xf numFmtId="10" fontId="3" fillId="3" borderId="58" xfId="3" applyNumberFormat="1" applyBorder="1" applyAlignment="1">
      <alignment horizontal="center" vertical="center"/>
    </xf>
    <xf numFmtId="10" fontId="3" fillId="3" borderId="31" xfId="3" applyNumberFormat="1" applyBorder="1" applyAlignment="1">
      <alignment horizontal="center" vertical="center"/>
    </xf>
    <xf numFmtId="10" fontId="3" fillId="3" borderId="32" xfId="3" applyNumberFormat="1" applyBorder="1" applyAlignment="1">
      <alignment horizontal="center" vertical="center"/>
    </xf>
    <xf numFmtId="10" fontId="3" fillId="3" borderId="59" xfId="3" applyNumberFormat="1" applyBorder="1" applyAlignment="1">
      <alignment horizontal="center" vertical="center"/>
    </xf>
    <xf numFmtId="10" fontId="3" fillId="3" borderId="0" xfId="3" applyNumberFormat="1" applyBorder="1" applyAlignment="1">
      <alignment horizontal="center" vertical="center"/>
    </xf>
    <xf numFmtId="10" fontId="3" fillId="3" borderId="33" xfId="3" applyNumberFormat="1" applyBorder="1" applyAlignment="1">
      <alignment horizontal="center" vertical="center"/>
    </xf>
    <xf numFmtId="10" fontId="3" fillId="3" borderId="60" xfId="3" applyNumberFormat="1" applyBorder="1" applyAlignment="1">
      <alignment horizontal="center" vertical="center"/>
    </xf>
    <xf numFmtId="10" fontId="3" fillId="3" borderId="37" xfId="3" applyNumberFormat="1" applyBorder="1" applyAlignment="1">
      <alignment horizontal="center" vertical="center"/>
    </xf>
    <xf numFmtId="10" fontId="3" fillId="3" borderId="38" xfId="3" applyNumberFormat="1" applyBorder="1" applyAlignment="1">
      <alignment horizontal="center" vertical="center"/>
    </xf>
    <xf numFmtId="10" fontId="3" fillId="3" borderId="48" xfId="3" applyNumberFormat="1" applyBorder="1" applyAlignment="1">
      <alignment horizontal="center" vertical="center"/>
    </xf>
    <xf numFmtId="10" fontId="3" fillId="3" borderId="49" xfId="3" applyNumberFormat="1" applyBorder="1" applyAlignment="1">
      <alignment horizontal="center" vertical="center"/>
    </xf>
    <xf numFmtId="10" fontId="3" fillId="3" borderId="50" xfId="3" applyNumberFormat="1" applyBorder="1" applyAlignment="1">
      <alignment horizontal="center" vertical="center"/>
    </xf>
    <xf numFmtId="2" fontId="5" fillId="5" borderId="27" xfId="0" applyNumberFormat="1" applyFont="1" applyFill="1" applyBorder="1" applyAlignment="1">
      <alignment horizontal="center" vertical="center" textRotation="90"/>
    </xf>
    <xf numFmtId="2" fontId="5" fillId="5" borderId="28" xfId="0" applyNumberFormat="1" applyFont="1" applyFill="1" applyBorder="1" applyAlignment="1">
      <alignment horizontal="center" vertical="center" textRotation="90"/>
    </xf>
    <xf numFmtId="2" fontId="5" fillId="5" borderId="44" xfId="0" applyNumberFormat="1" applyFont="1" applyFill="1" applyBorder="1" applyAlignment="1">
      <alignment horizontal="center" vertical="center" textRotation="90"/>
    </xf>
    <xf numFmtId="0" fontId="2" fillId="2" borderId="27" xfId="2" applyBorder="1" applyAlignment="1">
      <alignment horizontal="center" vertical="center" textRotation="90"/>
    </xf>
    <xf numFmtId="0" fontId="2" fillId="2" borderId="28" xfId="2" applyBorder="1" applyAlignment="1">
      <alignment horizontal="center" vertical="center" textRotation="90"/>
    </xf>
    <xf numFmtId="0" fontId="2" fillId="2" borderId="44" xfId="2" applyBorder="1" applyAlignment="1">
      <alignment horizontal="center" vertical="center" textRotation="90"/>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7" xfId="0" applyFont="1" applyFill="1" applyBorder="1" applyAlignment="1">
      <alignment horizontal="center" vertical="center"/>
    </xf>
    <xf numFmtId="0" fontId="6" fillId="5" borderId="8" xfId="0" applyFont="1" applyFill="1" applyBorder="1" applyAlignment="1">
      <alignment horizontal="center" vertical="center"/>
    </xf>
    <xf numFmtId="0" fontId="5" fillId="5" borderId="45" xfId="0" applyFont="1" applyFill="1" applyBorder="1" applyAlignment="1">
      <alignment horizontal="center" vertical="center"/>
    </xf>
    <xf numFmtId="0" fontId="5" fillId="5" borderId="46" xfId="0" applyFont="1" applyFill="1" applyBorder="1" applyAlignment="1">
      <alignment horizontal="center" vertical="center"/>
    </xf>
  </cellXfs>
  <cellStyles count="4">
    <cellStyle name="Good" xfId="2" builtinId="26"/>
    <cellStyle name="Neutral" xfId="3" builtinId="28"/>
    <cellStyle name="Normal" xfId="0" builtinId="0"/>
    <cellStyle name="Percent" xfId="1" builtinId="5"/>
  </cellStyles>
  <dxfs count="270">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1B5C5-E164-5846-A2EF-98D672B426C8}">
  <sheetPr codeName="Sheet1"/>
  <dimension ref="B1:BH31"/>
  <sheetViews>
    <sheetView workbookViewId="0">
      <selection activeCell="F36" sqref="F36"/>
    </sheetView>
  </sheetViews>
  <sheetFormatPr defaultColWidth="11" defaultRowHeight="15.75" x14ac:dyDescent="0.25"/>
  <cols>
    <col min="1" max="1" width="1.375" customWidth="1"/>
    <col min="2" max="2" width="3.625" bestFit="1" customWidth="1"/>
    <col min="3" max="3" width="13.875" bestFit="1" customWidth="1"/>
    <col min="4" max="9" width="10.875" style="113"/>
    <col min="22" max="22" width="1" style="152" customWidth="1"/>
    <col min="35" max="35" width="1" style="152" customWidth="1"/>
    <col min="48" max="48" width="1" style="152" customWidth="1"/>
  </cols>
  <sheetData>
    <row r="1" spans="2:60" ht="16.5" thickBot="1" x14ac:dyDescent="0.3"/>
    <row r="2" spans="2:60" x14ac:dyDescent="0.25">
      <c r="B2" s="174"/>
      <c r="C2" s="175"/>
      <c r="D2" s="189" t="s">
        <v>131</v>
      </c>
      <c r="E2" s="190"/>
      <c r="F2" s="190"/>
      <c r="G2" s="190"/>
      <c r="H2" s="190"/>
      <c r="I2" s="190"/>
      <c r="J2" s="190"/>
      <c r="K2" s="190"/>
      <c r="L2" s="190"/>
      <c r="M2" s="190"/>
      <c r="N2" s="190"/>
      <c r="O2" s="190"/>
      <c r="P2" s="190"/>
      <c r="Q2" s="190"/>
      <c r="R2" s="190"/>
      <c r="S2" s="190"/>
      <c r="T2" s="190"/>
      <c r="U2" s="191"/>
      <c r="V2" s="176"/>
      <c r="W2" s="212" t="s">
        <v>126</v>
      </c>
      <c r="X2" s="213"/>
      <c r="Y2" s="213"/>
      <c r="Z2" s="213"/>
      <c r="AA2" s="213"/>
      <c r="AB2" s="213"/>
      <c r="AC2" s="213"/>
      <c r="AD2" s="213"/>
      <c r="AE2" s="213"/>
      <c r="AF2" s="213"/>
      <c r="AG2" s="213"/>
      <c r="AH2" s="214"/>
      <c r="AI2" s="176"/>
      <c r="AJ2" s="204" t="s">
        <v>139</v>
      </c>
      <c r="AK2" s="205"/>
      <c r="AL2" s="205"/>
      <c r="AM2" s="205"/>
      <c r="AN2" s="205"/>
      <c r="AO2" s="205"/>
      <c r="AP2" s="205"/>
      <c r="AQ2" s="205"/>
      <c r="AR2" s="205"/>
      <c r="AS2" s="205"/>
      <c r="AT2" s="205"/>
      <c r="AU2" s="206"/>
      <c r="AV2" s="176"/>
      <c r="AW2" s="198" t="s">
        <v>128</v>
      </c>
      <c r="AX2" s="199"/>
      <c r="AY2" s="199"/>
      <c r="AZ2" s="199"/>
      <c r="BA2" s="199"/>
      <c r="BB2" s="199"/>
      <c r="BC2" s="199"/>
      <c r="BD2" s="199"/>
      <c r="BE2" s="199"/>
      <c r="BF2" s="199"/>
      <c r="BG2" s="199"/>
      <c r="BH2" s="200"/>
    </row>
    <row r="3" spans="2:60" x14ac:dyDescent="0.25">
      <c r="B3" s="177"/>
      <c r="C3" s="155"/>
      <c r="D3" s="192" t="s">
        <v>122</v>
      </c>
      <c r="E3" s="193"/>
      <c r="F3" s="193"/>
      <c r="G3" s="193"/>
      <c r="H3" s="193"/>
      <c r="I3" s="193"/>
      <c r="J3" s="193" t="s">
        <v>135</v>
      </c>
      <c r="K3" s="193"/>
      <c r="L3" s="193"/>
      <c r="M3" s="193"/>
      <c r="N3" s="193"/>
      <c r="O3" s="193"/>
      <c r="P3" s="193" t="s">
        <v>136</v>
      </c>
      <c r="Q3" s="193"/>
      <c r="R3" s="193"/>
      <c r="S3" s="193"/>
      <c r="T3" s="193"/>
      <c r="U3" s="194"/>
      <c r="V3" s="153"/>
      <c r="W3" s="215" t="s">
        <v>122</v>
      </c>
      <c r="X3" s="216"/>
      <c r="Y3" s="216"/>
      <c r="Z3" s="216"/>
      <c r="AA3" s="216" t="s">
        <v>135</v>
      </c>
      <c r="AB3" s="216"/>
      <c r="AC3" s="216"/>
      <c r="AD3" s="216"/>
      <c r="AE3" s="216" t="s">
        <v>136</v>
      </c>
      <c r="AF3" s="216"/>
      <c r="AG3" s="216"/>
      <c r="AH3" s="217"/>
      <c r="AI3" s="153"/>
      <c r="AJ3" s="207" t="s">
        <v>122</v>
      </c>
      <c r="AK3" s="208"/>
      <c r="AL3" s="208"/>
      <c r="AM3" s="209"/>
      <c r="AN3" s="210" t="s">
        <v>135</v>
      </c>
      <c r="AO3" s="210"/>
      <c r="AP3" s="210"/>
      <c r="AQ3" s="210"/>
      <c r="AR3" s="210" t="s">
        <v>136</v>
      </c>
      <c r="AS3" s="210"/>
      <c r="AT3" s="210"/>
      <c r="AU3" s="211"/>
      <c r="AV3" s="153"/>
      <c r="AW3" s="201" t="s">
        <v>122</v>
      </c>
      <c r="AX3" s="202"/>
      <c r="AY3" s="202"/>
      <c r="AZ3" s="202"/>
      <c r="BA3" s="202" t="s">
        <v>135</v>
      </c>
      <c r="BB3" s="202"/>
      <c r="BC3" s="202"/>
      <c r="BD3" s="202"/>
      <c r="BE3" s="202" t="s">
        <v>136</v>
      </c>
      <c r="BF3" s="202"/>
      <c r="BG3" s="202"/>
      <c r="BH3" s="203"/>
    </row>
    <row r="4" spans="2:60" x14ac:dyDescent="0.25">
      <c r="B4" s="177"/>
      <c r="C4" s="155"/>
      <c r="D4" s="192" t="s">
        <v>3</v>
      </c>
      <c r="E4" s="193"/>
      <c r="F4" s="193"/>
      <c r="G4" s="115" t="s">
        <v>1</v>
      </c>
      <c r="H4" s="115" t="s">
        <v>116</v>
      </c>
      <c r="I4" s="115" t="s">
        <v>0</v>
      </c>
      <c r="J4" s="193" t="s">
        <v>3</v>
      </c>
      <c r="K4" s="193"/>
      <c r="L4" s="193"/>
      <c r="M4" s="115" t="s">
        <v>1</v>
      </c>
      <c r="N4" s="115" t="s">
        <v>116</v>
      </c>
      <c r="O4" s="115" t="s">
        <v>0</v>
      </c>
      <c r="P4" s="193" t="s">
        <v>3</v>
      </c>
      <c r="Q4" s="193"/>
      <c r="R4" s="193"/>
      <c r="S4" s="115" t="s">
        <v>1</v>
      </c>
      <c r="T4" s="115" t="s">
        <v>116</v>
      </c>
      <c r="U4" s="161" t="s">
        <v>0</v>
      </c>
      <c r="V4" s="153"/>
      <c r="W4" s="179" t="s">
        <v>3</v>
      </c>
      <c r="X4" s="116" t="s">
        <v>1</v>
      </c>
      <c r="Y4" s="116" t="s">
        <v>116</v>
      </c>
      <c r="Z4" s="116" t="s">
        <v>0</v>
      </c>
      <c r="AA4" s="116" t="s">
        <v>3</v>
      </c>
      <c r="AB4" s="116" t="s">
        <v>1</v>
      </c>
      <c r="AC4" s="116" t="s">
        <v>116</v>
      </c>
      <c r="AD4" s="116" t="s">
        <v>0</v>
      </c>
      <c r="AE4" s="116" t="s">
        <v>3</v>
      </c>
      <c r="AF4" s="116" t="s">
        <v>1</v>
      </c>
      <c r="AG4" s="116" t="s">
        <v>116</v>
      </c>
      <c r="AH4" s="180" t="s">
        <v>0</v>
      </c>
      <c r="AI4" s="153"/>
      <c r="AJ4" s="124" t="s">
        <v>3</v>
      </c>
      <c r="AK4" s="118" t="s">
        <v>1</v>
      </c>
      <c r="AL4" s="118" t="s">
        <v>116</v>
      </c>
      <c r="AM4" s="118" t="s">
        <v>0</v>
      </c>
      <c r="AN4" s="118" t="s">
        <v>3</v>
      </c>
      <c r="AO4" s="118" t="s">
        <v>1</v>
      </c>
      <c r="AP4" s="118" t="s">
        <v>116</v>
      </c>
      <c r="AQ4" s="118" t="s">
        <v>0</v>
      </c>
      <c r="AR4" s="118" t="s">
        <v>3</v>
      </c>
      <c r="AS4" s="118" t="s">
        <v>1</v>
      </c>
      <c r="AT4" s="118" t="s">
        <v>116</v>
      </c>
      <c r="AU4" s="125" t="s">
        <v>0</v>
      </c>
      <c r="AV4" s="153"/>
      <c r="AW4" s="119" t="s">
        <v>3</v>
      </c>
      <c r="AX4" s="117" t="s">
        <v>1</v>
      </c>
      <c r="AY4" s="117" t="s">
        <v>116</v>
      </c>
      <c r="AZ4" s="117" t="s">
        <v>0</v>
      </c>
      <c r="BA4" s="117" t="s">
        <v>3</v>
      </c>
      <c r="BB4" s="117" t="s">
        <v>1</v>
      </c>
      <c r="BC4" s="117" t="s">
        <v>116</v>
      </c>
      <c r="BD4" s="117" t="s">
        <v>0</v>
      </c>
      <c r="BE4" s="117" t="s">
        <v>3</v>
      </c>
      <c r="BF4" s="117" t="s">
        <v>1</v>
      </c>
      <c r="BG4" s="117" t="s">
        <v>116</v>
      </c>
      <c r="BH4" s="120" t="s">
        <v>0</v>
      </c>
    </row>
    <row r="5" spans="2:60" ht="16.5" thickBot="1" x14ac:dyDescent="0.3">
      <c r="B5" s="177"/>
      <c r="C5" s="156" t="s">
        <v>5</v>
      </c>
      <c r="D5" s="162" t="s">
        <v>15</v>
      </c>
      <c r="E5" s="144" t="s">
        <v>16</v>
      </c>
      <c r="F5" s="144" t="s">
        <v>17</v>
      </c>
      <c r="G5" s="144" t="s">
        <v>15</v>
      </c>
      <c r="H5" s="144" t="s">
        <v>15</v>
      </c>
      <c r="I5" s="144" t="s">
        <v>15</v>
      </c>
      <c r="J5" s="144" t="s">
        <v>15</v>
      </c>
      <c r="K5" s="144" t="s">
        <v>16</v>
      </c>
      <c r="L5" s="144" t="s">
        <v>17</v>
      </c>
      <c r="M5" s="144" t="s">
        <v>15</v>
      </c>
      <c r="N5" s="144" t="s">
        <v>15</v>
      </c>
      <c r="O5" s="144" t="s">
        <v>15</v>
      </c>
      <c r="P5" s="144" t="s">
        <v>15</v>
      </c>
      <c r="Q5" s="144" t="s">
        <v>16</v>
      </c>
      <c r="R5" s="144" t="s">
        <v>17</v>
      </c>
      <c r="S5" s="144" t="s">
        <v>15</v>
      </c>
      <c r="T5" s="144" t="s">
        <v>15</v>
      </c>
      <c r="U5" s="163" t="s">
        <v>15</v>
      </c>
      <c r="V5" s="153"/>
      <c r="W5" s="181" t="s">
        <v>15</v>
      </c>
      <c r="X5" s="145" t="s">
        <v>15</v>
      </c>
      <c r="Y5" s="145" t="s">
        <v>15</v>
      </c>
      <c r="Z5" s="145" t="s">
        <v>15</v>
      </c>
      <c r="AA5" s="145" t="s">
        <v>15</v>
      </c>
      <c r="AB5" s="145" t="s">
        <v>15</v>
      </c>
      <c r="AC5" s="145" t="s">
        <v>15</v>
      </c>
      <c r="AD5" s="145" t="s">
        <v>15</v>
      </c>
      <c r="AE5" s="145" t="s">
        <v>15</v>
      </c>
      <c r="AF5" s="145" t="s">
        <v>15</v>
      </c>
      <c r="AG5" s="145" t="s">
        <v>15</v>
      </c>
      <c r="AH5" s="182" t="s">
        <v>15</v>
      </c>
      <c r="AI5" s="153"/>
      <c r="AJ5" s="146" t="s">
        <v>15</v>
      </c>
      <c r="AK5" s="147" t="s">
        <v>15</v>
      </c>
      <c r="AL5" s="147" t="s">
        <v>15</v>
      </c>
      <c r="AM5" s="147" t="s">
        <v>15</v>
      </c>
      <c r="AN5" s="147" t="s">
        <v>15</v>
      </c>
      <c r="AO5" s="147" t="s">
        <v>15</v>
      </c>
      <c r="AP5" s="147" t="s">
        <v>15</v>
      </c>
      <c r="AQ5" s="147" t="s">
        <v>15</v>
      </c>
      <c r="AR5" s="147" t="s">
        <v>15</v>
      </c>
      <c r="AS5" s="147" t="s">
        <v>15</v>
      </c>
      <c r="AT5" s="147" t="s">
        <v>15</v>
      </c>
      <c r="AU5" s="148" t="s">
        <v>15</v>
      </c>
      <c r="AV5" s="153"/>
      <c r="AW5" s="183" t="s">
        <v>15</v>
      </c>
      <c r="AX5" s="149" t="s">
        <v>15</v>
      </c>
      <c r="AY5" s="149" t="s">
        <v>15</v>
      </c>
      <c r="AZ5" s="149" t="s">
        <v>15</v>
      </c>
      <c r="BA5" s="149" t="s">
        <v>15</v>
      </c>
      <c r="BB5" s="149" t="s">
        <v>15</v>
      </c>
      <c r="BC5" s="149" t="s">
        <v>15</v>
      </c>
      <c r="BD5" s="149" t="s">
        <v>15</v>
      </c>
      <c r="BE5" s="149" t="s">
        <v>15</v>
      </c>
      <c r="BF5" s="149" t="s">
        <v>15</v>
      </c>
      <c r="BG5" s="149" t="s">
        <v>15</v>
      </c>
      <c r="BH5" s="150" t="s">
        <v>15</v>
      </c>
    </row>
    <row r="6" spans="2:60" x14ac:dyDescent="0.25">
      <c r="B6" s="195" t="s">
        <v>137</v>
      </c>
      <c r="C6" s="157" t="str">
        <f>Intra!C409</f>
        <v>Class A1_4K</v>
      </c>
      <c r="D6" s="164" t="e">
        <f>Intra!AH409</f>
        <v>#VALUE!</v>
      </c>
      <c r="E6" s="139" t="e">
        <f>Intra!AI409</f>
        <v>#VALUE!</v>
      </c>
      <c r="F6" s="139" t="e">
        <f>Intra!AJ409</f>
        <v>#VALUE!</v>
      </c>
      <c r="G6" s="139" t="e">
        <f>Intra!AL409</f>
        <v>#VALUE!</v>
      </c>
      <c r="H6" s="139" t="e">
        <f>Intra!AN409</f>
        <v>#VALUE!</v>
      </c>
      <c r="I6" s="139" t="e">
        <f>Intra!AP409</f>
        <v>#VALUE!</v>
      </c>
      <c r="J6" s="139" t="e">
        <f>Intra!AH410</f>
        <v>#VALUE!</v>
      </c>
      <c r="K6" s="139" t="e">
        <f>Intra!AI410</f>
        <v>#VALUE!</v>
      </c>
      <c r="L6" s="139" t="e">
        <f>Intra!AJ410</f>
        <v>#VALUE!</v>
      </c>
      <c r="M6" s="139" t="e">
        <f>Intra!AL410</f>
        <v>#VALUE!</v>
      </c>
      <c r="N6" s="139" t="e">
        <f>Intra!AN410</f>
        <v>#VALUE!</v>
      </c>
      <c r="O6" s="139" t="e">
        <f>Intra!AP410</f>
        <v>#VALUE!</v>
      </c>
      <c r="P6" s="139" t="e">
        <f>Intra!AH411</f>
        <v>#VALUE!</v>
      </c>
      <c r="Q6" s="139" t="e">
        <f>Intra!AI411</f>
        <v>#VALUE!</v>
      </c>
      <c r="R6" s="139" t="e">
        <f>Intra!AJ411</f>
        <v>#VALUE!</v>
      </c>
      <c r="S6" s="139" t="e">
        <f>Intra!AL411</f>
        <v>#VALUE!</v>
      </c>
      <c r="T6" s="139" t="e">
        <f>Intra!AN411</f>
        <v>#VALUE!</v>
      </c>
      <c r="U6" s="165" t="e">
        <f>Intra!AP411</f>
        <v>#VALUE!</v>
      </c>
      <c r="V6" s="154"/>
      <c r="W6" s="164" t="e">
        <f>Intra!AG409</f>
        <v>#VALUE!</v>
      </c>
      <c r="X6" s="139" t="e">
        <f>Intra!AK409</f>
        <v>#VALUE!</v>
      </c>
      <c r="Y6" s="139" t="e">
        <f>Intra!AM409</f>
        <v>#VALUE!</v>
      </c>
      <c r="Z6" s="139" t="e">
        <f>Intra!AO409</f>
        <v>#VALUE!</v>
      </c>
      <c r="AA6" s="139" t="e">
        <f>Intra!AG410</f>
        <v>#VALUE!</v>
      </c>
      <c r="AB6" s="139" t="e">
        <f>Intra!AK410</f>
        <v>#VALUE!</v>
      </c>
      <c r="AC6" s="139" t="e">
        <f>Intra!AM410</f>
        <v>#VALUE!</v>
      </c>
      <c r="AD6" s="139" t="e">
        <f>Intra!AO410</f>
        <v>#VALUE!</v>
      </c>
      <c r="AE6" s="139" t="e">
        <f>Intra!AG411</f>
        <v>#VALUE!</v>
      </c>
      <c r="AF6" s="139" t="e">
        <f>Intra!AK411</f>
        <v>#VALUE!</v>
      </c>
      <c r="AG6" s="139" t="e">
        <f>Intra!AM411</f>
        <v>#VALUE!</v>
      </c>
      <c r="AH6" s="165" t="e">
        <f>Intra!AO411</f>
        <v>#VALUE!</v>
      </c>
      <c r="AI6" s="154"/>
      <c r="AJ6" s="140" t="e">
        <f>Intra!AG412</f>
        <v>#VALUE!</v>
      </c>
      <c r="AK6" s="141" t="e">
        <f>Intra!AK412</f>
        <v>#VALUE!</v>
      </c>
      <c r="AL6" s="141" t="e">
        <f>Intra!AM412</f>
        <v>#VALUE!</v>
      </c>
      <c r="AM6" s="141" t="e">
        <f>Intra!AO412</f>
        <v>#VALUE!</v>
      </c>
      <c r="AN6" s="141" t="e">
        <f>Intra!AG413</f>
        <v>#VALUE!</v>
      </c>
      <c r="AO6" s="141" t="e">
        <f>Intra!AK413</f>
        <v>#VALUE!</v>
      </c>
      <c r="AP6" s="141" t="e">
        <f>Intra!AM413</f>
        <v>#VALUE!</v>
      </c>
      <c r="AQ6" s="141" t="e">
        <f>Intra!AO413</f>
        <v>#VALUE!</v>
      </c>
      <c r="AR6" s="141" t="e">
        <f>Intra!AG414</f>
        <v>#VALUE!</v>
      </c>
      <c r="AS6" s="141" t="e">
        <f>Intra!AK414</f>
        <v>#VALUE!</v>
      </c>
      <c r="AT6" s="141" t="e">
        <f>Intra!AM414</f>
        <v>#VALUE!</v>
      </c>
      <c r="AU6" s="142" t="e">
        <f>Intra!AO414</f>
        <v>#VALUE!</v>
      </c>
      <c r="AV6" s="154"/>
      <c r="AW6" s="140" t="e">
        <f>Intra!AG415</f>
        <v>#VALUE!</v>
      </c>
      <c r="AX6" s="141" t="e">
        <f>Intra!AK415</f>
        <v>#VALUE!</v>
      </c>
      <c r="AY6" s="141" t="e">
        <f>Intra!AM415</f>
        <v>#VALUE!</v>
      </c>
      <c r="AZ6" s="141" t="e">
        <f>Intra!AO415</f>
        <v>#VALUE!</v>
      </c>
      <c r="BA6" s="141" t="e">
        <f>Intra!AG416</f>
        <v>#VALUE!</v>
      </c>
      <c r="BB6" s="141" t="e">
        <f>Intra!AK416</f>
        <v>#VALUE!</v>
      </c>
      <c r="BC6" s="141" t="e">
        <f>Intra!AM416</f>
        <v>#VALUE!</v>
      </c>
      <c r="BD6" s="141" t="e">
        <f>Intra!AO416</f>
        <v>#VALUE!</v>
      </c>
      <c r="BE6" s="141" t="e">
        <f>Intra!AG417</f>
        <v>#VALUE!</v>
      </c>
      <c r="BF6" s="141" t="e">
        <f>Intra!AK417</f>
        <v>#VALUE!</v>
      </c>
      <c r="BG6" s="141" t="e">
        <f>Intra!AM417</f>
        <v>#VALUE!</v>
      </c>
      <c r="BH6" s="142" t="e">
        <f>Intra!AO417</f>
        <v>#VALUE!</v>
      </c>
    </row>
    <row r="7" spans="2:60" x14ac:dyDescent="0.25">
      <c r="B7" s="196"/>
      <c r="C7" s="158" t="str">
        <f>Intra!C418</f>
        <v>Class A1_2K</v>
      </c>
      <c r="D7" s="166" t="e">
        <f>Intra!AH418</f>
        <v>#VALUE!</v>
      </c>
      <c r="E7" s="114" t="e">
        <f>Intra!AI418</f>
        <v>#VALUE!</v>
      </c>
      <c r="F7" s="114" t="e">
        <f>Intra!AJ418</f>
        <v>#VALUE!</v>
      </c>
      <c r="G7" s="114" t="e">
        <f>Intra!AL418</f>
        <v>#VALUE!</v>
      </c>
      <c r="H7" s="114" t="e">
        <f>Intra!AN418</f>
        <v>#VALUE!</v>
      </c>
      <c r="I7" s="114" t="e">
        <f>Intra!AP418</f>
        <v>#VALUE!</v>
      </c>
      <c r="J7" s="114" t="e">
        <f>Intra!AH419</f>
        <v>#VALUE!</v>
      </c>
      <c r="K7" s="114" t="e">
        <f>Intra!AI419</f>
        <v>#VALUE!</v>
      </c>
      <c r="L7" s="114" t="e">
        <f>Intra!AJ419</f>
        <v>#VALUE!</v>
      </c>
      <c r="M7" s="114" t="e">
        <f>Intra!AL419</f>
        <v>#VALUE!</v>
      </c>
      <c r="N7" s="114" t="e">
        <f>Intra!AN419</f>
        <v>#VALUE!</v>
      </c>
      <c r="O7" s="114" t="e">
        <f>Intra!AP419</f>
        <v>#VALUE!</v>
      </c>
      <c r="P7" s="114" t="e">
        <f>Intra!AH420</f>
        <v>#VALUE!</v>
      </c>
      <c r="Q7" s="114" t="e">
        <f>Intra!AI420</f>
        <v>#VALUE!</v>
      </c>
      <c r="R7" s="114" t="e">
        <f>Intra!AJ420</f>
        <v>#VALUE!</v>
      </c>
      <c r="S7" s="114" t="e">
        <f>Intra!AL420</f>
        <v>#VALUE!</v>
      </c>
      <c r="T7" s="114" t="e">
        <f>Intra!AN420</f>
        <v>#VALUE!</v>
      </c>
      <c r="U7" s="167" t="e">
        <f>Intra!AP420</f>
        <v>#VALUE!</v>
      </c>
      <c r="V7" s="154"/>
      <c r="W7" s="166" t="e">
        <f>Intra!AG418</f>
        <v>#VALUE!</v>
      </c>
      <c r="X7" s="114" t="e">
        <f>Intra!AK418</f>
        <v>#VALUE!</v>
      </c>
      <c r="Y7" s="114" t="e">
        <f>Intra!AM418</f>
        <v>#VALUE!</v>
      </c>
      <c r="Z7" s="114" t="e">
        <f>Intra!AO418</f>
        <v>#VALUE!</v>
      </c>
      <c r="AA7" s="114" t="e">
        <f>Intra!AG419</f>
        <v>#VALUE!</v>
      </c>
      <c r="AB7" s="114" t="e">
        <f>Intra!AK419</f>
        <v>#VALUE!</v>
      </c>
      <c r="AC7" s="114" t="e">
        <f>Intra!AM419</f>
        <v>#VALUE!</v>
      </c>
      <c r="AD7" s="114" t="e">
        <f>Intra!AO419</f>
        <v>#VALUE!</v>
      </c>
      <c r="AE7" s="114" t="e">
        <f>Intra!AG420</f>
        <v>#VALUE!</v>
      </c>
      <c r="AF7" s="114" t="e">
        <f>Intra!AK420</f>
        <v>#VALUE!</v>
      </c>
      <c r="AG7" s="114" t="e">
        <f>Intra!AM420</f>
        <v>#VALUE!</v>
      </c>
      <c r="AH7" s="167" t="e">
        <f>Intra!AO420</f>
        <v>#VALUE!</v>
      </c>
      <c r="AI7" s="154"/>
      <c r="AJ7" s="2" t="e">
        <f>Intra!AG421</f>
        <v>#VALUE!</v>
      </c>
      <c r="AK7" s="1" t="e">
        <f>Intra!AK421</f>
        <v>#VALUE!</v>
      </c>
      <c r="AL7" s="1" t="e">
        <f>Intra!AM421</f>
        <v>#VALUE!</v>
      </c>
      <c r="AM7" s="1" t="e">
        <f>Intra!AO421</f>
        <v>#VALUE!</v>
      </c>
      <c r="AN7" s="1" t="e">
        <f>Intra!AG422</f>
        <v>#VALUE!</v>
      </c>
      <c r="AO7" s="1" t="e">
        <f>Intra!AK422</f>
        <v>#VALUE!</v>
      </c>
      <c r="AP7" s="1" t="e">
        <f>Intra!AM422</f>
        <v>#VALUE!</v>
      </c>
      <c r="AQ7" s="1" t="e">
        <f>Intra!AO422</f>
        <v>#VALUE!</v>
      </c>
      <c r="AR7" s="1" t="e">
        <f>Intra!AG423</f>
        <v>#VALUE!</v>
      </c>
      <c r="AS7" s="1" t="e">
        <f>Intra!AK423</f>
        <v>#VALUE!</v>
      </c>
      <c r="AT7" s="1" t="e">
        <f>Intra!AM423</f>
        <v>#VALUE!</v>
      </c>
      <c r="AU7" s="3" t="e">
        <f>Intra!AO423</f>
        <v>#VALUE!</v>
      </c>
      <c r="AV7" s="154"/>
      <c r="AW7" s="2" t="e">
        <f>Intra!AG424</f>
        <v>#VALUE!</v>
      </c>
      <c r="AX7" s="1" t="e">
        <f>Intra!AK424</f>
        <v>#VALUE!</v>
      </c>
      <c r="AY7" s="1" t="e">
        <f>Intra!AM424</f>
        <v>#VALUE!</v>
      </c>
      <c r="AZ7" s="1" t="e">
        <f>Intra!AO424</f>
        <v>#VALUE!</v>
      </c>
      <c r="BA7" s="1" t="e">
        <f>Intra!AG425</f>
        <v>#VALUE!</v>
      </c>
      <c r="BB7" s="1" t="e">
        <f>Intra!AK425</f>
        <v>#VALUE!</v>
      </c>
      <c r="BC7" s="1" t="e">
        <f>Intra!AM425</f>
        <v>#VALUE!</v>
      </c>
      <c r="BD7" s="1" t="e">
        <f>Intra!AO425</f>
        <v>#VALUE!</v>
      </c>
      <c r="BE7" s="1" t="e">
        <f>Intra!AG426</f>
        <v>#VALUE!</v>
      </c>
      <c r="BF7" s="1" t="e">
        <f>Intra!AK426</f>
        <v>#VALUE!</v>
      </c>
      <c r="BG7" s="1" t="e">
        <f>Intra!AM426</f>
        <v>#VALUE!</v>
      </c>
      <c r="BH7" s="3" t="e">
        <f>Intra!AO426</f>
        <v>#VALUE!</v>
      </c>
    </row>
    <row r="8" spans="2:60" x14ac:dyDescent="0.25">
      <c r="B8" s="196"/>
      <c r="C8" s="158" t="str">
        <f>Intra!C427</f>
        <v>Class A3_720p</v>
      </c>
      <c r="D8" s="166" t="e">
        <f>Intra!AH427</f>
        <v>#VALUE!</v>
      </c>
      <c r="E8" s="114" t="e">
        <f>Intra!AI427</f>
        <v>#VALUE!</v>
      </c>
      <c r="F8" s="114" t="e">
        <f>Intra!AJ427</f>
        <v>#VALUE!</v>
      </c>
      <c r="G8" s="114" t="e">
        <f>Intra!AL427</f>
        <v>#VALUE!</v>
      </c>
      <c r="H8" s="114" t="e">
        <f>Intra!AN427</f>
        <v>#VALUE!</v>
      </c>
      <c r="I8" s="114" t="e">
        <f>Intra!AP427</f>
        <v>#VALUE!</v>
      </c>
      <c r="J8" s="114" t="e">
        <f>Intra!AH428</f>
        <v>#VALUE!</v>
      </c>
      <c r="K8" s="114" t="e">
        <f>Intra!AI428</f>
        <v>#VALUE!</v>
      </c>
      <c r="L8" s="114" t="e">
        <f>Intra!AJ428</f>
        <v>#VALUE!</v>
      </c>
      <c r="M8" s="114" t="e">
        <f>Intra!AL428</f>
        <v>#VALUE!</v>
      </c>
      <c r="N8" s="114" t="e">
        <f>Intra!AN428</f>
        <v>#VALUE!</v>
      </c>
      <c r="O8" s="114" t="e">
        <f>Intra!AP428</f>
        <v>#VALUE!</v>
      </c>
      <c r="P8" s="114" t="e">
        <f>Intra!AH429</f>
        <v>#VALUE!</v>
      </c>
      <c r="Q8" s="114" t="e">
        <f>Intra!AI429</f>
        <v>#VALUE!</v>
      </c>
      <c r="R8" s="114" t="e">
        <f>Intra!AJ429</f>
        <v>#VALUE!</v>
      </c>
      <c r="S8" s="114" t="e">
        <f>Intra!AL429</f>
        <v>#VALUE!</v>
      </c>
      <c r="T8" s="114" t="e">
        <f>Intra!AN429</f>
        <v>#VALUE!</v>
      </c>
      <c r="U8" s="167" t="e">
        <f>Intra!AP429</f>
        <v>#VALUE!</v>
      </c>
      <c r="V8" s="154"/>
      <c r="W8" s="166" t="e">
        <f>Intra!AG427</f>
        <v>#VALUE!</v>
      </c>
      <c r="X8" s="114" t="e">
        <f>Intra!AK427</f>
        <v>#VALUE!</v>
      </c>
      <c r="Y8" s="114" t="e">
        <f>Intra!AM427</f>
        <v>#VALUE!</v>
      </c>
      <c r="Z8" s="114" t="e">
        <f>Intra!AO427</f>
        <v>#VALUE!</v>
      </c>
      <c r="AA8" s="114" t="e">
        <f>Intra!AG428</f>
        <v>#VALUE!</v>
      </c>
      <c r="AB8" s="114" t="e">
        <f>Intra!AK428</f>
        <v>#VALUE!</v>
      </c>
      <c r="AC8" s="114" t="e">
        <f>Intra!AM428</f>
        <v>#VALUE!</v>
      </c>
      <c r="AD8" s="114" t="e">
        <f>Intra!AO428</f>
        <v>#VALUE!</v>
      </c>
      <c r="AE8" s="114" t="e">
        <f>Intra!AG429</f>
        <v>#VALUE!</v>
      </c>
      <c r="AF8" s="114" t="e">
        <f>Intra!AK429</f>
        <v>#VALUE!</v>
      </c>
      <c r="AG8" s="114" t="e">
        <f>Intra!AM429</f>
        <v>#VALUE!</v>
      </c>
      <c r="AH8" s="167" t="e">
        <f>Intra!AO429</f>
        <v>#VALUE!</v>
      </c>
      <c r="AI8" s="154"/>
      <c r="AJ8" s="2" t="e">
        <f>Intra!AG430</f>
        <v>#VALUE!</v>
      </c>
      <c r="AK8" s="1" t="e">
        <f>Intra!AK430</f>
        <v>#VALUE!</v>
      </c>
      <c r="AL8" s="1" t="e">
        <f>Intra!AM430</f>
        <v>#VALUE!</v>
      </c>
      <c r="AM8" s="1" t="e">
        <f>Intra!AO430</f>
        <v>#VALUE!</v>
      </c>
      <c r="AN8" s="1" t="e">
        <f>Intra!AG431</f>
        <v>#VALUE!</v>
      </c>
      <c r="AO8" s="1" t="e">
        <f>Intra!AK431</f>
        <v>#VALUE!</v>
      </c>
      <c r="AP8" s="1" t="e">
        <f>Intra!AM431</f>
        <v>#VALUE!</v>
      </c>
      <c r="AQ8" s="1" t="e">
        <f>Intra!AO431</f>
        <v>#VALUE!</v>
      </c>
      <c r="AR8" s="1" t="e">
        <f>Intra!AG432</f>
        <v>#VALUE!</v>
      </c>
      <c r="AS8" s="1" t="e">
        <f>Intra!AK432</f>
        <v>#VALUE!</v>
      </c>
      <c r="AT8" s="1" t="e">
        <f>Intra!AM432</f>
        <v>#VALUE!</v>
      </c>
      <c r="AU8" s="3" t="e">
        <f>Intra!AO432</f>
        <v>#VALUE!</v>
      </c>
      <c r="AV8" s="154"/>
      <c r="AW8" s="2" t="e">
        <f>Intra!AG433</f>
        <v>#VALUE!</v>
      </c>
      <c r="AX8" s="1" t="e">
        <f>Intra!AK433</f>
        <v>#VALUE!</v>
      </c>
      <c r="AY8" s="1" t="e">
        <f>Intra!AM433</f>
        <v>#VALUE!</v>
      </c>
      <c r="AZ8" s="1" t="e">
        <f>Intra!AO433</f>
        <v>#VALUE!</v>
      </c>
      <c r="BA8" s="1" t="e">
        <f>Intra!AG434</f>
        <v>#VALUE!</v>
      </c>
      <c r="BB8" s="1" t="e">
        <f>Intra!AK434</f>
        <v>#VALUE!</v>
      </c>
      <c r="BC8" s="1" t="e">
        <f>Intra!AM434</f>
        <v>#VALUE!</v>
      </c>
      <c r="BD8" s="1" t="e">
        <f>Intra!AO434</f>
        <v>#VALUE!</v>
      </c>
      <c r="BE8" s="1" t="e">
        <f>Intra!AG435</f>
        <v>#VALUE!</v>
      </c>
      <c r="BF8" s="1" t="e">
        <f>Intra!AK435</f>
        <v>#VALUE!</v>
      </c>
      <c r="BG8" s="1" t="e">
        <f>Intra!AM435</f>
        <v>#VALUE!</v>
      </c>
      <c r="BH8" s="3" t="e">
        <f>Intra!AO435</f>
        <v>#VALUE!</v>
      </c>
    </row>
    <row r="9" spans="2:60" x14ac:dyDescent="0.25">
      <c r="B9" s="196"/>
      <c r="C9" s="158" t="str">
        <f>Intra!C436</f>
        <v>Class A4_360p</v>
      </c>
      <c r="D9" s="166" t="e">
        <f>Intra!AH436</f>
        <v>#VALUE!</v>
      </c>
      <c r="E9" s="114" t="e">
        <f>Intra!AI436</f>
        <v>#VALUE!</v>
      </c>
      <c r="F9" s="114" t="e">
        <f>Intra!AJ436</f>
        <v>#VALUE!</v>
      </c>
      <c r="G9" s="114" t="e">
        <f>Intra!AL436</f>
        <v>#VALUE!</v>
      </c>
      <c r="H9" s="114" t="e">
        <f>Intra!AN436</f>
        <v>#VALUE!</v>
      </c>
      <c r="I9" s="114" t="e">
        <f>Intra!AP436</f>
        <v>#VALUE!</v>
      </c>
      <c r="J9" s="114" t="e">
        <f>Intra!AH437</f>
        <v>#VALUE!</v>
      </c>
      <c r="K9" s="114" t="e">
        <f>Intra!AI437</f>
        <v>#VALUE!</v>
      </c>
      <c r="L9" s="114" t="e">
        <f>Intra!AJ437</f>
        <v>#VALUE!</v>
      </c>
      <c r="M9" s="114" t="e">
        <f>Intra!AL437</f>
        <v>#VALUE!</v>
      </c>
      <c r="N9" s="114" t="e">
        <f>Intra!AN437</f>
        <v>#VALUE!</v>
      </c>
      <c r="O9" s="114" t="e">
        <f>Intra!AP437</f>
        <v>#VALUE!</v>
      </c>
      <c r="P9" s="114" t="e">
        <f>Intra!AH438</f>
        <v>#VALUE!</v>
      </c>
      <c r="Q9" s="114" t="e">
        <f>Intra!AI438</f>
        <v>#VALUE!</v>
      </c>
      <c r="R9" s="114" t="e">
        <f>Intra!AJ438</f>
        <v>#VALUE!</v>
      </c>
      <c r="S9" s="114" t="e">
        <f>Intra!AL438</f>
        <v>#VALUE!</v>
      </c>
      <c r="T9" s="114" t="e">
        <f>Intra!AN438</f>
        <v>#VALUE!</v>
      </c>
      <c r="U9" s="167" t="e">
        <f>Intra!AP438</f>
        <v>#VALUE!</v>
      </c>
      <c r="V9" s="154"/>
      <c r="W9" s="166" t="e">
        <f>Intra!AG436</f>
        <v>#VALUE!</v>
      </c>
      <c r="X9" s="114" t="e">
        <f>Intra!AK436</f>
        <v>#VALUE!</v>
      </c>
      <c r="Y9" s="114" t="e">
        <f>Intra!AM436</f>
        <v>#VALUE!</v>
      </c>
      <c r="Z9" s="114" t="e">
        <f>Intra!AO436</f>
        <v>#VALUE!</v>
      </c>
      <c r="AA9" s="114" t="e">
        <f>Intra!AG437</f>
        <v>#VALUE!</v>
      </c>
      <c r="AB9" s="114" t="e">
        <f>Intra!AK437</f>
        <v>#VALUE!</v>
      </c>
      <c r="AC9" s="114" t="e">
        <f>Intra!AM437</f>
        <v>#VALUE!</v>
      </c>
      <c r="AD9" s="114" t="e">
        <f>Intra!AO437</f>
        <v>#VALUE!</v>
      </c>
      <c r="AE9" s="114" t="e">
        <f>Intra!AG438</f>
        <v>#VALUE!</v>
      </c>
      <c r="AF9" s="114" t="e">
        <f>Intra!AK438</f>
        <v>#VALUE!</v>
      </c>
      <c r="AG9" s="114" t="e">
        <f>Intra!AM438</f>
        <v>#VALUE!</v>
      </c>
      <c r="AH9" s="167" t="e">
        <f>Intra!AO438</f>
        <v>#VALUE!</v>
      </c>
      <c r="AI9" s="154"/>
      <c r="AJ9" s="2" t="e">
        <f>Intra!AG439</f>
        <v>#VALUE!</v>
      </c>
      <c r="AK9" s="1" t="e">
        <f>Intra!AK439</f>
        <v>#VALUE!</v>
      </c>
      <c r="AL9" s="1" t="e">
        <f>Intra!AM439</f>
        <v>#VALUE!</v>
      </c>
      <c r="AM9" s="1" t="e">
        <f>Intra!AO439</f>
        <v>#VALUE!</v>
      </c>
      <c r="AN9" s="1" t="e">
        <f>Intra!AG440</f>
        <v>#VALUE!</v>
      </c>
      <c r="AO9" s="1" t="e">
        <f>Intra!AK440</f>
        <v>#VALUE!</v>
      </c>
      <c r="AP9" s="1" t="e">
        <f>Intra!AM440</f>
        <v>#VALUE!</v>
      </c>
      <c r="AQ9" s="1" t="e">
        <f>Intra!AO440</f>
        <v>#VALUE!</v>
      </c>
      <c r="AR9" s="1" t="e">
        <f>Intra!AG441</f>
        <v>#VALUE!</v>
      </c>
      <c r="AS9" s="1" t="e">
        <f>Intra!AK441</f>
        <v>#VALUE!</v>
      </c>
      <c r="AT9" s="1" t="e">
        <f>Intra!AM441</f>
        <v>#VALUE!</v>
      </c>
      <c r="AU9" s="3" t="e">
        <f>Intra!AO441</f>
        <v>#VALUE!</v>
      </c>
      <c r="AV9" s="154"/>
      <c r="AW9" s="2" t="e">
        <f>Intra!AG442</f>
        <v>#VALUE!</v>
      </c>
      <c r="AX9" s="1" t="e">
        <f>Intra!AK442</f>
        <v>#VALUE!</v>
      </c>
      <c r="AY9" s="1" t="e">
        <f>Intra!AM442</f>
        <v>#VALUE!</v>
      </c>
      <c r="AZ9" s="1" t="e">
        <f>Intra!AO442</f>
        <v>#VALUE!</v>
      </c>
      <c r="BA9" s="1" t="e">
        <f>Intra!AG443</f>
        <v>#VALUE!</v>
      </c>
      <c r="BB9" s="1" t="e">
        <f>Intra!AK443</f>
        <v>#VALUE!</v>
      </c>
      <c r="BC9" s="1" t="e">
        <f>Intra!AM443</f>
        <v>#VALUE!</v>
      </c>
      <c r="BD9" s="1" t="e">
        <f>Intra!AO443</f>
        <v>#VALUE!</v>
      </c>
      <c r="BE9" s="1" t="e">
        <f>Intra!AG444</f>
        <v>#VALUE!</v>
      </c>
      <c r="BF9" s="1" t="e">
        <f>Intra!AK444</f>
        <v>#VALUE!</v>
      </c>
      <c r="BG9" s="1" t="e">
        <f>Intra!AM444</f>
        <v>#VALUE!</v>
      </c>
      <c r="BH9" s="3" t="e">
        <f>Intra!AO444</f>
        <v>#VALUE!</v>
      </c>
    </row>
    <row r="10" spans="2:60" x14ac:dyDescent="0.25">
      <c r="B10" s="196"/>
      <c r="C10" s="158" t="str">
        <f>Intra!C445</f>
        <v>Class A5_270p</v>
      </c>
      <c r="D10" s="166">
        <f>Intra!AH445</f>
        <v>-8.6339227634398219E-2</v>
      </c>
      <c r="E10" s="114">
        <f>Intra!AI445</f>
        <v>-1.2986024324839557E-2</v>
      </c>
      <c r="F10" s="114">
        <f>Intra!AJ445</f>
        <v>-1.7768573258077347E-3</v>
      </c>
      <c r="G10" s="114">
        <f>Intra!AL445</f>
        <v>-7.8538592087913445E-2</v>
      </c>
      <c r="H10" s="114">
        <f>Intra!AN445</f>
        <v>-7.344655822599791E-2</v>
      </c>
      <c r="I10" s="114">
        <f>Intra!AP445</f>
        <v>-8.9422254797565354E-2</v>
      </c>
      <c r="J10" s="114">
        <f>Intra!AH446</f>
        <v>-9.8886221867892643E-2</v>
      </c>
      <c r="K10" s="114">
        <f>Intra!AI446</f>
        <v>-3.08547948107597E-2</v>
      </c>
      <c r="L10" s="114">
        <f>Intra!AJ446</f>
        <v>-4.8009358524211176E-2</v>
      </c>
      <c r="M10" s="114">
        <f>Intra!AL446</f>
        <v>-0.10573882734717366</v>
      </c>
      <c r="N10" s="114">
        <f>Intra!AN446</f>
        <v>-9.7997435608529471E-2</v>
      </c>
      <c r="O10" s="114">
        <f>Intra!AP446</f>
        <v>-0.13327795673345999</v>
      </c>
      <c r="P10" s="114">
        <f>Intra!AH447</f>
        <v>-6.610831167013731E-2</v>
      </c>
      <c r="Q10" s="114">
        <f>Intra!AI447</f>
        <v>4.1690321712228862E-3</v>
      </c>
      <c r="R10" s="114">
        <f>Intra!AJ447</f>
        <v>7.8086385477103892E-2</v>
      </c>
      <c r="S10" s="114">
        <f>Intra!AL447</f>
        <v>-4.6884411825971917E-2</v>
      </c>
      <c r="T10" s="114">
        <f>Intra!AN447</f>
        <v>-4.5113968811542504E-2</v>
      </c>
      <c r="U10" s="167">
        <f>Intra!AP447</f>
        <v>-4.4208777976435742E-2</v>
      </c>
      <c r="V10" s="154"/>
      <c r="W10" s="166">
        <f>Intra!AG445</f>
        <v>-7.1815870151998418E-2</v>
      </c>
      <c r="X10" s="114">
        <f>Intra!AK445</f>
        <v>-6.9382826900448752E-2</v>
      </c>
      <c r="Y10" s="114">
        <f>Intra!AM445</f>
        <v>-6.531891641191867E-2</v>
      </c>
      <c r="Z10" s="114">
        <f>Intra!AO445</f>
        <v>-7.3011969973977964E-2</v>
      </c>
      <c r="AA10" s="114">
        <f>Intra!AG446</f>
        <v>-8.5922607899292736E-2</v>
      </c>
      <c r="AB10" s="114">
        <f>Intra!AK446</f>
        <v>-8.6890412976565634E-2</v>
      </c>
      <c r="AC10" s="114">
        <f>Intra!AM446</f>
        <v>-8.3273170562645604E-2</v>
      </c>
      <c r="AD10" s="114">
        <f>Intra!AO446</f>
        <v>-0.11848582839877253</v>
      </c>
      <c r="AE10" s="114">
        <f>Intra!AG447</f>
        <v>-5.0057608315304147E-2</v>
      </c>
      <c r="AF10" s="114">
        <f>Intra!AK447</f>
        <v>-4.3235679095155688E-2</v>
      </c>
      <c r="AG10" s="114">
        <f>Intra!AM447</f>
        <v>-4.2850437018783216E-2</v>
      </c>
      <c r="AH10" s="167">
        <f>Intra!AO447</f>
        <v>-2.4543782772069589E-2</v>
      </c>
      <c r="AI10" s="154"/>
      <c r="AJ10" s="2">
        <f>Intra!AG448</f>
        <v>-8.6011892772030168E-2</v>
      </c>
      <c r="AK10" s="1">
        <f>Intra!AK448</f>
        <v>-7.879838354656038E-2</v>
      </c>
      <c r="AL10" s="1">
        <f>Intra!AM448</f>
        <v>-7.3793297645704525E-2</v>
      </c>
      <c r="AM10" s="1">
        <f>Intra!AO448</f>
        <v>-7.7164669882750059E-2</v>
      </c>
      <c r="AN10" s="1">
        <f>Intra!AG449</f>
        <v>-0.10124215374856005</v>
      </c>
      <c r="AO10" s="1">
        <f>Intra!AK449</f>
        <v>-9.8889241505802028E-2</v>
      </c>
      <c r="AP10" s="1">
        <f>Intra!AM449</f>
        <v>-9.3016279279496294E-2</v>
      </c>
      <c r="AQ10" s="1">
        <f>Intra!AO449</f>
        <v>-0.12804574190120499</v>
      </c>
      <c r="AR10" s="1">
        <f>Intra!AG450</f>
        <v>-6.3900522581783248E-2</v>
      </c>
      <c r="AS10" s="1">
        <f>Intra!AK450</f>
        <v>-4.991350216970003E-2</v>
      </c>
      <c r="AT10" s="1">
        <f>Intra!AM450</f>
        <v>-5.0048607816908897E-2</v>
      </c>
      <c r="AU10" s="3">
        <f>Intra!AO450</f>
        <v>-2.8224904201910594E-2</v>
      </c>
      <c r="AV10" s="154"/>
      <c r="AW10" s="2">
        <f>Intra!AG451</f>
        <v>-0.10212186336272289</v>
      </c>
      <c r="AX10" s="1">
        <f>Intra!AK451</f>
        <v>-8.9977296666656853E-2</v>
      </c>
      <c r="AY10" s="1">
        <f>Intra!AM451</f>
        <v>-8.1761207855099216E-2</v>
      </c>
      <c r="AZ10" s="1">
        <f>Intra!AO451</f>
        <v>-9.2689218884768276E-2</v>
      </c>
      <c r="BA10" s="1">
        <f>Intra!AG452</f>
        <v>-0.1140688260783006</v>
      </c>
      <c r="BB10" s="1">
        <f>Intra!AK452</f>
        <v>-0.12179972611569567</v>
      </c>
      <c r="BC10" s="1">
        <f>Intra!AM452</f>
        <v>-0.10840896129010902</v>
      </c>
      <c r="BD10" s="1">
        <f>Intra!AO452</f>
        <v>-0.13734951688561081</v>
      </c>
      <c r="BE10" s="1">
        <f>Intra!AG453</f>
        <v>-8.4595170708073986E-2</v>
      </c>
      <c r="BF10" s="1">
        <f>Intra!AK453</f>
        <v>-5.5258535833950129E-2</v>
      </c>
      <c r="BG10" s="1">
        <f>Intra!AM453</f>
        <v>-5.023860287051507E-2</v>
      </c>
      <c r="BH10" s="3">
        <f>Intra!AO453</f>
        <v>-4.4271397436177917E-2</v>
      </c>
    </row>
    <row r="11" spans="2:60" x14ac:dyDescent="0.25">
      <c r="B11" s="196"/>
      <c r="C11" s="158" t="str">
        <f>Intra!C454</f>
        <v>Class B1_SYN</v>
      </c>
      <c r="D11" s="166" t="e">
        <f>Intra!AH454</f>
        <v>#VALUE!</v>
      </c>
      <c r="E11" s="114" t="e">
        <f>Intra!AI454</f>
        <v>#VALUE!</v>
      </c>
      <c r="F11" s="114" t="e">
        <f>Intra!AJ454</f>
        <v>#VALUE!</v>
      </c>
      <c r="G11" s="114" t="e">
        <f>Intra!AL454</f>
        <v>#VALUE!</v>
      </c>
      <c r="H11" s="114" t="e">
        <f>Intra!AN454</f>
        <v>#VALUE!</v>
      </c>
      <c r="I11" s="114" t="e">
        <f>Intra!AP454</f>
        <v>#VALUE!</v>
      </c>
      <c r="J11" s="114" t="e">
        <f>Intra!AH455</f>
        <v>#VALUE!</v>
      </c>
      <c r="K11" s="114" t="e">
        <f>Intra!AI455</f>
        <v>#VALUE!</v>
      </c>
      <c r="L11" s="114" t="e">
        <f>Intra!AJ455</f>
        <v>#VALUE!</v>
      </c>
      <c r="M11" s="114" t="e">
        <f>Intra!AL455</f>
        <v>#VALUE!</v>
      </c>
      <c r="N11" s="114" t="e">
        <f>Intra!AN455</f>
        <v>#VALUE!</v>
      </c>
      <c r="O11" s="114" t="e">
        <f>Intra!AP455</f>
        <v>#VALUE!</v>
      </c>
      <c r="P11" s="114" t="e">
        <f>Intra!AH456</f>
        <v>#VALUE!</v>
      </c>
      <c r="Q11" s="114" t="e">
        <f>Intra!AI456</f>
        <v>#VALUE!</v>
      </c>
      <c r="R11" s="114" t="e">
        <f>Intra!AJ456</f>
        <v>#VALUE!</v>
      </c>
      <c r="S11" s="114" t="e">
        <f>Intra!AL456</f>
        <v>#VALUE!</v>
      </c>
      <c r="T11" s="114" t="e">
        <f>Intra!AN456</f>
        <v>#VALUE!</v>
      </c>
      <c r="U11" s="167" t="e">
        <f>Intra!AP456</f>
        <v>#VALUE!</v>
      </c>
      <c r="V11" s="154"/>
      <c r="W11" s="166" t="e">
        <f>Intra!AG454</f>
        <v>#VALUE!</v>
      </c>
      <c r="X11" s="114" t="e">
        <f>Intra!AK454</f>
        <v>#VALUE!</v>
      </c>
      <c r="Y11" s="114" t="e">
        <f>Intra!AM454</f>
        <v>#VALUE!</v>
      </c>
      <c r="Z11" s="114" t="e">
        <f>Intra!AO454</f>
        <v>#VALUE!</v>
      </c>
      <c r="AA11" s="114" t="e">
        <f>Intra!AG455</f>
        <v>#VALUE!</v>
      </c>
      <c r="AB11" s="114" t="e">
        <f>Intra!AK455</f>
        <v>#VALUE!</v>
      </c>
      <c r="AC11" s="114" t="e">
        <f>Intra!AM455</f>
        <v>#VALUE!</v>
      </c>
      <c r="AD11" s="114" t="e">
        <f>Intra!AO455</f>
        <v>#VALUE!</v>
      </c>
      <c r="AE11" s="114" t="e">
        <f>Intra!AG456</f>
        <v>#VALUE!</v>
      </c>
      <c r="AF11" s="114" t="e">
        <f>Intra!AK456</f>
        <v>#VALUE!</v>
      </c>
      <c r="AG11" s="114" t="e">
        <f>Intra!AM456</f>
        <v>#VALUE!</v>
      </c>
      <c r="AH11" s="167" t="e">
        <f>Intra!AO456</f>
        <v>#VALUE!</v>
      </c>
      <c r="AI11" s="154"/>
      <c r="AJ11" s="2" t="e">
        <f>Intra!AG457</f>
        <v>#VALUE!</v>
      </c>
      <c r="AK11" s="1" t="e">
        <f>Intra!AK457</f>
        <v>#VALUE!</v>
      </c>
      <c r="AL11" s="1" t="e">
        <f>Intra!AM457</f>
        <v>#VALUE!</v>
      </c>
      <c r="AM11" s="1" t="e">
        <f>Intra!AO457</f>
        <v>#VALUE!</v>
      </c>
      <c r="AN11" s="1" t="e">
        <f>Intra!AG458</f>
        <v>#VALUE!</v>
      </c>
      <c r="AO11" s="1" t="e">
        <f>Intra!AK458</f>
        <v>#VALUE!</v>
      </c>
      <c r="AP11" s="1" t="e">
        <f>Intra!AM458</f>
        <v>#VALUE!</v>
      </c>
      <c r="AQ11" s="1" t="e">
        <f>Intra!AO458</f>
        <v>#VALUE!</v>
      </c>
      <c r="AR11" s="1" t="e">
        <f>Intra!AG459</f>
        <v>#VALUE!</v>
      </c>
      <c r="AS11" s="1" t="e">
        <f>Intra!AK459</f>
        <v>#VALUE!</v>
      </c>
      <c r="AT11" s="1" t="e">
        <f>Intra!AM459</f>
        <v>#VALUE!</v>
      </c>
      <c r="AU11" s="3" t="e">
        <f>Intra!AO459</f>
        <v>#VALUE!</v>
      </c>
      <c r="AV11" s="154"/>
      <c r="AW11" s="2" t="e">
        <f>Intra!AG460</f>
        <v>#VALUE!</v>
      </c>
      <c r="AX11" s="1" t="e">
        <f>Intra!AK460</f>
        <v>#VALUE!</v>
      </c>
      <c r="AY11" s="1" t="e">
        <f>Intra!AM460</f>
        <v>#VALUE!</v>
      </c>
      <c r="AZ11" s="1" t="e">
        <f>Intra!AO460</f>
        <v>#VALUE!</v>
      </c>
      <c r="BA11" s="1" t="e">
        <f>Intra!AG461</f>
        <v>#VALUE!</v>
      </c>
      <c r="BB11" s="1" t="e">
        <f>Intra!AK461</f>
        <v>#VALUE!</v>
      </c>
      <c r="BC11" s="1" t="e">
        <f>Intra!AM461</f>
        <v>#VALUE!</v>
      </c>
      <c r="BD11" s="1" t="e">
        <f>Intra!AO461</f>
        <v>#VALUE!</v>
      </c>
      <c r="BE11" s="1" t="e">
        <f>Intra!AG462</f>
        <v>#VALUE!</v>
      </c>
      <c r="BF11" s="1" t="e">
        <f>Intra!AK462</f>
        <v>#VALUE!</v>
      </c>
      <c r="BG11" s="1" t="e">
        <f>Intra!AM462</f>
        <v>#VALUE!</v>
      </c>
      <c r="BH11" s="3" t="e">
        <f>Intra!AO462</f>
        <v>#VALUE!</v>
      </c>
    </row>
    <row r="12" spans="2:60" x14ac:dyDescent="0.25">
      <c r="B12" s="196"/>
      <c r="C12" s="158" t="str">
        <f>Intra!C463</f>
        <v>Class HDR1_4K</v>
      </c>
      <c r="D12" s="166" t="e">
        <f>Intra!AH463</f>
        <v>#VALUE!</v>
      </c>
      <c r="E12" s="114" t="e">
        <f>Intra!AI463</f>
        <v>#VALUE!</v>
      </c>
      <c r="F12" s="114" t="e">
        <f>Intra!AJ463</f>
        <v>#VALUE!</v>
      </c>
      <c r="G12" s="114" t="e">
        <f>Intra!AL463</f>
        <v>#VALUE!</v>
      </c>
      <c r="H12" s="114" t="e">
        <f>Intra!AN463</f>
        <v>#VALUE!</v>
      </c>
      <c r="I12" s="114" t="e">
        <f>Intra!AP463</f>
        <v>#VALUE!</v>
      </c>
      <c r="J12" s="114" t="e">
        <f>Intra!AH464</f>
        <v>#VALUE!</v>
      </c>
      <c r="K12" s="114" t="e">
        <f>Intra!AI464</f>
        <v>#VALUE!</v>
      </c>
      <c r="L12" s="114" t="e">
        <f>Intra!AJ464</f>
        <v>#VALUE!</v>
      </c>
      <c r="M12" s="114" t="e">
        <f>Intra!AL464</f>
        <v>#VALUE!</v>
      </c>
      <c r="N12" s="114" t="e">
        <f>Intra!AN464</f>
        <v>#VALUE!</v>
      </c>
      <c r="O12" s="114" t="e">
        <f>Intra!AP464</f>
        <v>#VALUE!</v>
      </c>
      <c r="P12" s="114" t="e">
        <f>Intra!AH465</f>
        <v>#VALUE!</v>
      </c>
      <c r="Q12" s="114" t="e">
        <f>Intra!AI465</f>
        <v>#VALUE!</v>
      </c>
      <c r="R12" s="114" t="e">
        <f>Intra!AJ465</f>
        <v>#VALUE!</v>
      </c>
      <c r="S12" s="114" t="e">
        <f>Intra!AL465</f>
        <v>#VALUE!</v>
      </c>
      <c r="T12" s="114" t="e">
        <f>Intra!AN465</f>
        <v>#VALUE!</v>
      </c>
      <c r="U12" s="167" t="e">
        <f>Intra!AP465</f>
        <v>#VALUE!</v>
      </c>
      <c r="V12" s="154"/>
      <c r="W12" s="166" t="e">
        <f>Intra!AG463</f>
        <v>#VALUE!</v>
      </c>
      <c r="X12" s="114" t="e">
        <f>Intra!AK463</f>
        <v>#VALUE!</v>
      </c>
      <c r="Y12" s="114" t="e">
        <f>Intra!AM463</f>
        <v>#VALUE!</v>
      </c>
      <c r="Z12" s="114" t="e">
        <f>Intra!AO463</f>
        <v>#VALUE!</v>
      </c>
      <c r="AA12" s="114" t="e">
        <f>Intra!AG464</f>
        <v>#VALUE!</v>
      </c>
      <c r="AB12" s="114" t="e">
        <f>Intra!AK464</f>
        <v>#VALUE!</v>
      </c>
      <c r="AC12" s="114" t="e">
        <f>Intra!AM464</f>
        <v>#VALUE!</v>
      </c>
      <c r="AD12" s="114" t="e">
        <f>Intra!AO464</f>
        <v>#VALUE!</v>
      </c>
      <c r="AE12" s="114" t="e">
        <f>Intra!AG465</f>
        <v>#VALUE!</v>
      </c>
      <c r="AF12" s="114" t="e">
        <f>Intra!AK465</f>
        <v>#VALUE!</v>
      </c>
      <c r="AG12" s="114" t="e">
        <f>Intra!AM465</f>
        <v>#VALUE!</v>
      </c>
      <c r="AH12" s="167" t="e">
        <f>Intra!AO465</f>
        <v>#VALUE!</v>
      </c>
      <c r="AI12" s="154"/>
      <c r="AJ12" s="2" t="e">
        <f>Intra!AG466</f>
        <v>#VALUE!</v>
      </c>
      <c r="AK12" s="1" t="e">
        <f>Intra!AK466</f>
        <v>#VALUE!</v>
      </c>
      <c r="AL12" s="1" t="e">
        <f>Intra!AM466</f>
        <v>#VALUE!</v>
      </c>
      <c r="AM12" s="1" t="e">
        <f>Intra!AO466</f>
        <v>#VALUE!</v>
      </c>
      <c r="AN12" s="1" t="e">
        <f>Intra!AG467</f>
        <v>#VALUE!</v>
      </c>
      <c r="AO12" s="1" t="e">
        <f>Intra!AK467</f>
        <v>#VALUE!</v>
      </c>
      <c r="AP12" s="1" t="e">
        <f>Intra!AM467</f>
        <v>#VALUE!</v>
      </c>
      <c r="AQ12" s="1" t="e">
        <f>Intra!AO467</f>
        <v>#VALUE!</v>
      </c>
      <c r="AR12" s="1" t="e">
        <f>Intra!AG468</f>
        <v>#VALUE!</v>
      </c>
      <c r="AS12" s="1" t="e">
        <f>Intra!AK468</f>
        <v>#VALUE!</v>
      </c>
      <c r="AT12" s="1" t="e">
        <f>Intra!AM468</f>
        <v>#VALUE!</v>
      </c>
      <c r="AU12" s="3" t="e">
        <f>Intra!AO468</f>
        <v>#VALUE!</v>
      </c>
      <c r="AV12" s="154"/>
      <c r="AW12" s="2" t="e">
        <f>Intra!AG469</f>
        <v>#VALUE!</v>
      </c>
      <c r="AX12" s="1" t="e">
        <f>Intra!AK469</f>
        <v>#VALUE!</v>
      </c>
      <c r="AY12" s="1" t="e">
        <f>Intra!AM469</f>
        <v>#VALUE!</v>
      </c>
      <c r="AZ12" s="1" t="e">
        <f>Intra!AO469</f>
        <v>#VALUE!</v>
      </c>
      <c r="BA12" s="1" t="e">
        <f>Intra!AG470</f>
        <v>#VALUE!</v>
      </c>
      <c r="BB12" s="1" t="e">
        <f>Intra!AK470</f>
        <v>#VALUE!</v>
      </c>
      <c r="BC12" s="1" t="e">
        <f>Intra!AM470</f>
        <v>#VALUE!</v>
      </c>
      <c r="BD12" s="1" t="e">
        <f>Intra!AO470</f>
        <v>#VALUE!</v>
      </c>
      <c r="BE12" s="1" t="e">
        <f>Intra!AG471</f>
        <v>#VALUE!</v>
      </c>
      <c r="BF12" s="1" t="e">
        <f>Intra!AK471</f>
        <v>#VALUE!</v>
      </c>
      <c r="BG12" s="1" t="e">
        <f>Intra!AM471</f>
        <v>#VALUE!</v>
      </c>
      <c r="BH12" s="3" t="e">
        <f>Intra!AO471</f>
        <v>#VALUE!</v>
      </c>
    </row>
    <row r="13" spans="2:60" x14ac:dyDescent="0.25">
      <c r="B13" s="196"/>
      <c r="C13" s="158" t="str">
        <f>Intra!C472</f>
        <v>Class HDR2_2K</v>
      </c>
      <c r="D13" s="166" t="e">
        <f>Intra!AH472</f>
        <v>#VALUE!</v>
      </c>
      <c r="E13" s="114" t="e">
        <f>Intra!AI472</f>
        <v>#VALUE!</v>
      </c>
      <c r="F13" s="114" t="e">
        <f>Intra!AJ472</f>
        <v>#VALUE!</v>
      </c>
      <c r="G13" s="114" t="e">
        <f>Intra!AL472</f>
        <v>#VALUE!</v>
      </c>
      <c r="H13" s="114" t="e">
        <f>Intra!AN472</f>
        <v>#VALUE!</v>
      </c>
      <c r="I13" s="114" t="e">
        <f>Intra!AP472</f>
        <v>#VALUE!</v>
      </c>
      <c r="J13" s="114" t="e">
        <f>Intra!AH473</f>
        <v>#VALUE!</v>
      </c>
      <c r="K13" s="114" t="e">
        <f>Intra!AI473</f>
        <v>#VALUE!</v>
      </c>
      <c r="L13" s="114" t="e">
        <f>Intra!AJ473</f>
        <v>#VALUE!</v>
      </c>
      <c r="M13" s="114" t="e">
        <f>Intra!AL473</f>
        <v>#VALUE!</v>
      </c>
      <c r="N13" s="114" t="e">
        <f>Intra!AN473</f>
        <v>#VALUE!</v>
      </c>
      <c r="O13" s="114" t="e">
        <f>Intra!AP473</f>
        <v>#VALUE!</v>
      </c>
      <c r="P13" s="114" t="e">
        <f>Intra!AH474</f>
        <v>#VALUE!</v>
      </c>
      <c r="Q13" s="114" t="e">
        <f>Intra!AI474</f>
        <v>#VALUE!</v>
      </c>
      <c r="R13" s="114" t="e">
        <f>Intra!AJ474</f>
        <v>#VALUE!</v>
      </c>
      <c r="S13" s="114" t="e">
        <f>Intra!AL474</f>
        <v>#VALUE!</v>
      </c>
      <c r="T13" s="114" t="e">
        <f>Intra!AN474</f>
        <v>#VALUE!</v>
      </c>
      <c r="U13" s="167" t="e">
        <f>Intra!AP474</f>
        <v>#VALUE!</v>
      </c>
      <c r="V13" s="154"/>
      <c r="W13" s="166" t="e">
        <f>Intra!AG472</f>
        <v>#VALUE!</v>
      </c>
      <c r="X13" s="114" t="e">
        <f>Intra!AK472</f>
        <v>#VALUE!</v>
      </c>
      <c r="Y13" s="114" t="e">
        <f>Intra!AM472</f>
        <v>#VALUE!</v>
      </c>
      <c r="Z13" s="114" t="e">
        <f>Intra!AO472</f>
        <v>#VALUE!</v>
      </c>
      <c r="AA13" s="114" t="e">
        <f>Intra!AG473</f>
        <v>#VALUE!</v>
      </c>
      <c r="AB13" s="114" t="e">
        <f>Intra!AK473</f>
        <v>#VALUE!</v>
      </c>
      <c r="AC13" s="114" t="e">
        <f>Intra!AM473</f>
        <v>#VALUE!</v>
      </c>
      <c r="AD13" s="114" t="e">
        <f>Intra!AO473</f>
        <v>#VALUE!</v>
      </c>
      <c r="AE13" s="114" t="e">
        <f>Intra!AG474</f>
        <v>#VALUE!</v>
      </c>
      <c r="AF13" s="114" t="e">
        <f>Intra!AK474</f>
        <v>#VALUE!</v>
      </c>
      <c r="AG13" s="114" t="e">
        <f>Intra!AM474</f>
        <v>#VALUE!</v>
      </c>
      <c r="AH13" s="167" t="e">
        <f>Intra!AO474</f>
        <v>#VALUE!</v>
      </c>
      <c r="AI13" s="154"/>
      <c r="AJ13" s="2" t="e">
        <f>Intra!AG475</f>
        <v>#VALUE!</v>
      </c>
      <c r="AK13" s="1" t="e">
        <f>Intra!AK475</f>
        <v>#VALUE!</v>
      </c>
      <c r="AL13" s="1" t="e">
        <f>Intra!AM475</f>
        <v>#VALUE!</v>
      </c>
      <c r="AM13" s="1" t="e">
        <f>Intra!AO475</f>
        <v>#VALUE!</v>
      </c>
      <c r="AN13" s="1" t="e">
        <f>Intra!AG476</f>
        <v>#VALUE!</v>
      </c>
      <c r="AO13" s="1" t="e">
        <f>Intra!AK476</f>
        <v>#VALUE!</v>
      </c>
      <c r="AP13" s="1" t="e">
        <f>Intra!AM476</f>
        <v>#VALUE!</v>
      </c>
      <c r="AQ13" s="1" t="e">
        <f>Intra!AO476</f>
        <v>#VALUE!</v>
      </c>
      <c r="AR13" s="1" t="e">
        <f>Intra!AG477</f>
        <v>#VALUE!</v>
      </c>
      <c r="AS13" s="1" t="e">
        <f>Intra!AK477</f>
        <v>#VALUE!</v>
      </c>
      <c r="AT13" s="1" t="e">
        <f>Intra!AM477</f>
        <v>#VALUE!</v>
      </c>
      <c r="AU13" s="3" t="e">
        <f>Intra!AO477</f>
        <v>#VALUE!</v>
      </c>
      <c r="AV13" s="154"/>
      <c r="AW13" s="2" t="e">
        <f>Intra!AG478</f>
        <v>#VALUE!</v>
      </c>
      <c r="AX13" s="1" t="e">
        <f>Intra!AK478</f>
        <v>#VALUE!</v>
      </c>
      <c r="AY13" s="1" t="e">
        <f>Intra!AM478</f>
        <v>#VALUE!</v>
      </c>
      <c r="AZ13" s="1" t="e">
        <f>Intra!AO478</f>
        <v>#VALUE!</v>
      </c>
      <c r="BA13" s="1" t="e">
        <f>Intra!AG479</f>
        <v>#VALUE!</v>
      </c>
      <c r="BB13" s="1" t="e">
        <f>Intra!AK479</f>
        <v>#VALUE!</v>
      </c>
      <c r="BC13" s="1" t="e">
        <f>Intra!AM479</f>
        <v>#VALUE!</v>
      </c>
      <c r="BD13" s="1" t="e">
        <f>Intra!AO479</f>
        <v>#VALUE!</v>
      </c>
      <c r="BE13" s="1" t="e">
        <f>Intra!AG480</f>
        <v>#VALUE!</v>
      </c>
      <c r="BF13" s="1" t="e">
        <f>Intra!AK480</f>
        <v>#VALUE!</v>
      </c>
      <c r="BG13" s="1" t="e">
        <f>Intra!AM480</f>
        <v>#VALUE!</v>
      </c>
      <c r="BH13" s="3" t="e">
        <f>Intra!AO480</f>
        <v>#VALUE!</v>
      </c>
    </row>
    <row r="14" spans="2:60" ht="16.5" thickBot="1" x14ac:dyDescent="0.3">
      <c r="B14" s="197"/>
      <c r="C14" s="159" t="str">
        <f>Intra!C483</f>
        <v>Overall</v>
      </c>
      <c r="D14" s="168" t="e">
        <f>Intra!AH483</f>
        <v>#VALUE!</v>
      </c>
      <c r="E14" s="135" t="e">
        <f>Intra!AI483</f>
        <v>#VALUE!</v>
      </c>
      <c r="F14" s="135" t="e">
        <f>Intra!AJ483</f>
        <v>#VALUE!</v>
      </c>
      <c r="G14" s="135" t="e">
        <f>Intra!AL483</f>
        <v>#VALUE!</v>
      </c>
      <c r="H14" s="135" t="e">
        <f>Intra!AN483</f>
        <v>#VALUE!</v>
      </c>
      <c r="I14" s="135" t="e">
        <f>Intra!AP483</f>
        <v>#VALUE!</v>
      </c>
      <c r="J14" s="135" t="e">
        <f>Intra!AH484</f>
        <v>#VALUE!</v>
      </c>
      <c r="K14" s="135" t="e">
        <f>Intra!AI484</f>
        <v>#VALUE!</v>
      </c>
      <c r="L14" s="135" t="e">
        <f>Intra!AJ484</f>
        <v>#VALUE!</v>
      </c>
      <c r="M14" s="135" t="e">
        <f>Intra!AL484</f>
        <v>#VALUE!</v>
      </c>
      <c r="N14" s="135" t="e">
        <f>Intra!AN484</f>
        <v>#VALUE!</v>
      </c>
      <c r="O14" s="135" t="e">
        <f>Intra!AP484</f>
        <v>#VALUE!</v>
      </c>
      <c r="P14" s="135" t="e">
        <f>Intra!AH485</f>
        <v>#VALUE!</v>
      </c>
      <c r="Q14" s="135" t="e">
        <f>Intra!AI485</f>
        <v>#VALUE!</v>
      </c>
      <c r="R14" s="135" t="e">
        <f>Intra!AJ485</f>
        <v>#VALUE!</v>
      </c>
      <c r="S14" s="135" t="e">
        <f>Intra!AL485</f>
        <v>#VALUE!</v>
      </c>
      <c r="T14" s="135" t="e">
        <f>Intra!AN485</f>
        <v>#VALUE!</v>
      </c>
      <c r="U14" s="169" t="e">
        <f>Intra!AP485</f>
        <v>#VALUE!</v>
      </c>
      <c r="V14" s="137"/>
      <c r="W14" s="168" t="e">
        <f>Intra!AG483</f>
        <v>#VALUE!</v>
      </c>
      <c r="X14" s="135" t="e">
        <f>Intra!AK483</f>
        <v>#VALUE!</v>
      </c>
      <c r="Y14" s="135" t="e">
        <f>Intra!AM483</f>
        <v>#VALUE!</v>
      </c>
      <c r="Z14" s="135" t="e">
        <f>Intra!AO483</f>
        <v>#VALUE!</v>
      </c>
      <c r="AA14" s="135" t="e">
        <f>Intra!AG484</f>
        <v>#VALUE!</v>
      </c>
      <c r="AB14" s="135" t="e">
        <f>Intra!AK484</f>
        <v>#VALUE!</v>
      </c>
      <c r="AC14" s="135" t="e">
        <f>Intra!AM484</f>
        <v>#VALUE!</v>
      </c>
      <c r="AD14" s="135" t="e">
        <f>Intra!AO484</f>
        <v>#VALUE!</v>
      </c>
      <c r="AE14" s="135" t="e">
        <f>Intra!AG485</f>
        <v>#VALUE!</v>
      </c>
      <c r="AF14" s="135" t="e">
        <f>Intra!AK485</f>
        <v>#VALUE!</v>
      </c>
      <c r="AG14" s="135" t="e">
        <f>Intra!AM485</f>
        <v>#VALUE!</v>
      </c>
      <c r="AH14" s="169" t="e">
        <f>Intra!AO485</f>
        <v>#VALUE!</v>
      </c>
      <c r="AI14" s="137"/>
      <c r="AJ14" s="129" t="e">
        <f>Intra!AG486</f>
        <v>#VALUE!</v>
      </c>
      <c r="AK14" s="130" t="e">
        <f>Intra!AK486</f>
        <v>#VALUE!</v>
      </c>
      <c r="AL14" s="130" t="e">
        <f>Intra!AM486</f>
        <v>#VALUE!</v>
      </c>
      <c r="AM14" s="130" t="e">
        <f>Intra!AO486</f>
        <v>#VALUE!</v>
      </c>
      <c r="AN14" s="130" t="e">
        <f>Intra!AG487</f>
        <v>#VALUE!</v>
      </c>
      <c r="AO14" s="130" t="e">
        <f>Intra!AK487</f>
        <v>#VALUE!</v>
      </c>
      <c r="AP14" s="130" t="e">
        <f>Intra!AM487</f>
        <v>#VALUE!</v>
      </c>
      <c r="AQ14" s="130" t="e">
        <f>Intra!AO487</f>
        <v>#VALUE!</v>
      </c>
      <c r="AR14" s="130" t="e">
        <f>Intra!AG488</f>
        <v>#VALUE!</v>
      </c>
      <c r="AS14" s="130" t="e">
        <f>Intra!AK488</f>
        <v>#VALUE!</v>
      </c>
      <c r="AT14" s="130" t="e">
        <f>Intra!AM488</f>
        <v>#VALUE!</v>
      </c>
      <c r="AU14" s="131" t="e">
        <f>Intra!AO488</f>
        <v>#VALUE!</v>
      </c>
      <c r="AV14" s="137"/>
      <c r="AW14" s="184" t="e">
        <f>Intra!AG489</f>
        <v>#VALUE!</v>
      </c>
      <c r="AX14" s="132" t="e">
        <f>Intra!AK489</f>
        <v>#VALUE!</v>
      </c>
      <c r="AY14" s="132" t="e">
        <f>Intra!AM489</f>
        <v>#VALUE!</v>
      </c>
      <c r="AZ14" s="132" t="e">
        <f>Intra!AO489</f>
        <v>#VALUE!</v>
      </c>
      <c r="BA14" s="132" t="e">
        <f>Intra!AG490</f>
        <v>#VALUE!</v>
      </c>
      <c r="BB14" s="132" t="e">
        <f>Intra!AK490</f>
        <v>#VALUE!</v>
      </c>
      <c r="BC14" s="132" t="e">
        <f>Intra!AM490</f>
        <v>#VALUE!</v>
      </c>
      <c r="BD14" s="132" t="e">
        <f>Intra!AO490</f>
        <v>#VALUE!</v>
      </c>
      <c r="BE14" s="132" t="e">
        <f>Intra!AG491</f>
        <v>#VALUE!</v>
      </c>
      <c r="BF14" s="132" t="e">
        <f>Intra!AK491</f>
        <v>#VALUE!</v>
      </c>
      <c r="BG14" s="132" t="e">
        <f>Intra!AM491</f>
        <v>#VALUE!</v>
      </c>
      <c r="BH14" s="133" t="e">
        <f>Intra!AO491</f>
        <v>#VALUE!</v>
      </c>
    </row>
    <row r="15" spans="2:60" ht="6.95" customHeight="1" thickBot="1" x14ac:dyDescent="0.3">
      <c r="B15" s="134"/>
      <c r="C15" s="136"/>
      <c r="D15" s="170"/>
      <c r="E15" s="137"/>
      <c r="F15" s="137"/>
      <c r="G15" s="137"/>
      <c r="H15" s="137"/>
      <c r="I15" s="137"/>
      <c r="J15" s="137"/>
      <c r="K15" s="137"/>
      <c r="L15" s="137"/>
      <c r="M15" s="137"/>
      <c r="N15" s="137"/>
      <c r="O15" s="137"/>
      <c r="P15" s="137"/>
      <c r="Q15" s="137"/>
      <c r="R15" s="137"/>
      <c r="S15" s="137"/>
      <c r="T15" s="137"/>
      <c r="U15" s="171"/>
      <c r="V15" s="137"/>
      <c r="W15" s="170"/>
      <c r="X15" s="137"/>
      <c r="Y15" s="137"/>
      <c r="Z15" s="137"/>
      <c r="AA15" s="137"/>
      <c r="AB15" s="137"/>
      <c r="AC15" s="137"/>
      <c r="AD15" s="137"/>
      <c r="AE15" s="137"/>
      <c r="AF15" s="137"/>
      <c r="AG15" s="137"/>
      <c r="AH15" s="171"/>
      <c r="AI15" s="137"/>
      <c r="AJ15" s="185"/>
      <c r="AK15" s="138"/>
      <c r="AL15" s="138"/>
      <c r="AM15" s="138"/>
      <c r="AN15" s="138"/>
      <c r="AO15" s="138"/>
      <c r="AP15" s="138"/>
      <c r="AQ15" s="138"/>
      <c r="AR15" s="138"/>
      <c r="AS15" s="138"/>
      <c r="AT15" s="138"/>
      <c r="AU15" s="151"/>
      <c r="AV15" s="137"/>
      <c r="AW15" s="185"/>
      <c r="AX15" s="138"/>
      <c r="AY15" s="138"/>
      <c r="AZ15" s="138"/>
      <c r="BA15" s="138"/>
      <c r="BB15" s="138"/>
      <c r="BC15" s="138"/>
      <c r="BD15" s="138"/>
      <c r="BE15" s="138"/>
      <c r="BF15" s="138"/>
      <c r="BG15" s="138"/>
      <c r="BH15" s="151"/>
    </row>
    <row r="16" spans="2:60" x14ac:dyDescent="0.25">
      <c r="B16" s="195" t="s">
        <v>138</v>
      </c>
      <c r="C16" s="157" t="str">
        <f>RA!C409</f>
        <v>Class A1_4K</v>
      </c>
      <c r="D16" s="164" t="e">
        <f>RA!AH409</f>
        <v>#VALUE!</v>
      </c>
      <c r="E16" s="139" t="e">
        <f>RA!AI409</f>
        <v>#VALUE!</v>
      </c>
      <c r="F16" s="139" t="e">
        <f>RA!AJ409</f>
        <v>#VALUE!</v>
      </c>
      <c r="G16" s="139" t="e">
        <f>RA!AL409</f>
        <v>#VALUE!</v>
      </c>
      <c r="H16" s="139" t="e">
        <f>RA!AN409</f>
        <v>#VALUE!</v>
      </c>
      <c r="I16" s="139" t="e">
        <f>RA!AP409</f>
        <v>#VALUE!</v>
      </c>
      <c r="J16" s="139" t="e">
        <f>RA!AH410</f>
        <v>#VALUE!</v>
      </c>
      <c r="K16" s="139" t="e">
        <f>RA!AI410</f>
        <v>#VALUE!</v>
      </c>
      <c r="L16" s="139" t="e">
        <f>RA!AJ410</f>
        <v>#VALUE!</v>
      </c>
      <c r="M16" s="139" t="e">
        <f>RA!AL410</f>
        <v>#VALUE!</v>
      </c>
      <c r="N16" s="139" t="e">
        <f>RA!AN410</f>
        <v>#VALUE!</v>
      </c>
      <c r="O16" s="139" t="e">
        <f>RA!AP410</f>
        <v>#VALUE!</v>
      </c>
      <c r="P16" s="139" t="e">
        <f>RA!AH411</f>
        <v>#VALUE!</v>
      </c>
      <c r="Q16" s="139" t="e">
        <f>RA!AI411</f>
        <v>#VALUE!</v>
      </c>
      <c r="R16" s="139" t="e">
        <f>RA!AJ411</f>
        <v>#VALUE!</v>
      </c>
      <c r="S16" s="139" t="e">
        <f>RA!AL411</f>
        <v>#VALUE!</v>
      </c>
      <c r="T16" s="139" t="e">
        <f>RA!AN411</f>
        <v>#VALUE!</v>
      </c>
      <c r="U16" s="165" t="e">
        <f>RA!AP411</f>
        <v>#VALUE!</v>
      </c>
      <c r="V16" s="154"/>
      <c r="W16" s="164" t="e">
        <f>RA!AG409</f>
        <v>#VALUE!</v>
      </c>
      <c r="X16" s="139" t="e">
        <f>RA!AK409</f>
        <v>#VALUE!</v>
      </c>
      <c r="Y16" s="139" t="e">
        <f>RA!AM409</f>
        <v>#VALUE!</v>
      </c>
      <c r="Z16" s="139" t="e">
        <f>RA!AO409</f>
        <v>#VALUE!</v>
      </c>
      <c r="AA16" s="139" t="e">
        <f>RA!AG410</f>
        <v>#VALUE!</v>
      </c>
      <c r="AB16" s="139" t="e">
        <f>RA!AK410</f>
        <v>#VALUE!</v>
      </c>
      <c r="AC16" s="139" t="e">
        <f>RA!AM410</f>
        <v>#VALUE!</v>
      </c>
      <c r="AD16" s="139" t="e">
        <f>RA!AO410</f>
        <v>#VALUE!</v>
      </c>
      <c r="AE16" s="139" t="e">
        <f>RA!AG411</f>
        <v>#VALUE!</v>
      </c>
      <c r="AF16" s="139" t="e">
        <f>RA!AK411</f>
        <v>#VALUE!</v>
      </c>
      <c r="AG16" s="139" t="e">
        <f>RA!AM411</f>
        <v>#VALUE!</v>
      </c>
      <c r="AH16" s="165" t="e">
        <f>RA!AO411</f>
        <v>#VALUE!</v>
      </c>
      <c r="AI16" s="154"/>
      <c r="AJ16" s="140" t="e">
        <f>RA!AG412</f>
        <v>#VALUE!</v>
      </c>
      <c r="AK16" s="141" t="e">
        <f>RA!AK412</f>
        <v>#VALUE!</v>
      </c>
      <c r="AL16" s="141" t="e">
        <f>RA!AM412</f>
        <v>#VALUE!</v>
      </c>
      <c r="AM16" s="141" t="e">
        <f>RA!AO412</f>
        <v>#VALUE!</v>
      </c>
      <c r="AN16" s="141" t="e">
        <f>RA!AG413</f>
        <v>#VALUE!</v>
      </c>
      <c r="AO16" s="141" t="e">
        <f>RA!AK413</f>
        <v>#VALUE!</v>
      </c>
      <c r="AP16" s="141" t="e">
        <f>RA!AM413</f>
        <v>#VALUE!</v>
      </c>
      <c r="AQ16" s="141" t="e">
        <f>RA!AO413</f>
        <v>#VALUE!</v>
      </c>
      <c r="AR16" s="141" t="e">
        <f>RA!AG414</f>
        <v>#VALUE!</v>
      </c>
      <c r="AS16" s="141" t="e">
        <f>RA!AK414</f>
        <v>#VALUE!</v>
      </c>
      <c r="AT16" s="141" t="e">
        <f>RA!AM414</f>
        <v>#VALUE!</v>
      </c>
      <c r="AU16" s="142" t="e">
        <f>RA!AO414</f>
        <v>#VALUE!</v>
      </c>
      <c r="AV16" s="154"/>
      <c r="AW16" s="140" t="e">
        <f>RA!AG415</f>
        <v>#VALUE!</v>
      </c>
      <c r="AX16" s="141" t="e">
        <f>RA!AK415</f>
        <v>#VALUE!</v>
      </c>
      <c r="AY16" s="141" t="e">
        <f>RA!AM415</f>
        <v>#VALUE!</v>
      </c>
      <c r="AZ16" s="141" t="e">
        <f>RA!AO415</f>
        <v>#VALUE!</v>
      </c>
      <c r="BA16" s="141" t="e">
        <f>RA!AG416</f>
        <v>#VALUE!</v>
      </c>
      <c r="BB16" s="141" t="e">
        <f>RA!AK416</f>
        <v>#VALUE!</v>
      </c>
      <c r="BC16" s="141" t="e">
        <f>RA!AM416</f>
        <v>#VALUE!</v>
      </c>
      <c r="BD16" s="141" t="e">
        <f>RA!AO416</f>
        <v>#VALUE!</v>
      </c>
      <c r="BE16" s="141" t="e">
        <f>RA!AG417</f>
        <v>#VALUE!</v>
      </c>
      <c r="BF16" s="141" t="e">
        <f>RA!AK417</f>
        <v>#VALUE!</v>
      </c>
      <c r="BG16" s="141" t="e">
        <f>RA!AM417</f>
        <v>#VALUE!</v>
      </c>
      <c r="BH16" s="142" t="e">
        <f>RA!AO417</f>
        <v>#VALUE!</v>
      </c>
    </row>
    <row r="17" spans="2:60" x14ac:dyDescent="0.25">
      <c r="B17" s="196"/>
      <c r="C17" s="158" t="str">
        <f>RA!C418</f>
        <v>Class A1_2K</v>
      </c>
      <c r="D17" s="166" t="e">
        <f>RA!AH418</f>
        <v>#VALUE!</v>
      </c>
      <c r="E17" s="114" t="e">
        <f>RA!AI418</f>
        <v>#VALUE!</v>
      </c>
      <c r="F17" s="114" t="e">
        <f>RA!AJ418</f>
        <v>#VALUE!</v>
      </c>
      <c r="G17" s="114" t="e">
        <f>RA!AL418</f>
        <v>#VALUE!</v>
      </c>
      <c r="H17" s="114" t="e">
        <f>RA!AN418</f>
        <v>#VALUE!</v>
      </c>
      <c r="I17" s="114" t="e">
        <f>RA!AP418</f>
        <v>#VALUE!</v>
      </c>
      <c r="J17" s="114" t="e">
        <f>RA!AH419</f>
        <v>#VALUE!</v>
      </c>
      <c r="K17" s="114" t="e">
        <f>RA!AI419</f>
        <v>#VALUE!</v>
      </c>
      <c r="L17" s="114" t="e">
        <f>RA!AJ419</f>
        <v>#VALUE!</v>
      </c>
      <c r="M17" s="114" t="e">
        <f>RA!AL419</f>
        <v>#VALUE!</v>
      </c>
      <c r="N17" s="114" t="e">
        <f>RA!AN419</f>
        <v>#VALUE!</v>
      </c>
      <c r="O17" s="114" t="e">
        <f>RA!AP419</f>
        <v>#VALUE!</v>
      </c>
      <c r="P17" s="114" t="e">
        <f>RA!AH420</f>
        <v>#VALUE!</v>
      </c>
      <c r="Q17" s="114" t="e">
        <f>RA!AI420</f>
        <v>#VALUE!</v>
      </c>
      <c r="R17" s="114" t="e">
        <f>RA!AJ420</f>
        <v>#VALUE!</v>
      </c>
      <c r="S17" s="114" t="e">
        <f>RA!AL420</f>
        <v>#VALUE!</v>
      </c>
      <c r="T17" s="114" t="e">
        <f>RA!AN420</f>
        <v>#VALUE!</v>
      </c>
      <c r="U17" s="167" t="e">
        <f>RA!AP420</f>
        <v>#VALUE!</v>
      </c>
      <c r="V17" s="154"/>
      <c r="W17" s="166" t="e">
        <f>RA!AG418</f>
        <v>#VALUE!</v>
      </c>
      <c r="X17" s="114" t="e">
        <f>RA!AK418</f>
        <v>#VALUE!</v>
      </c>
      <c r="Y17" s="114" t="e">
        <f>RA!AM418</f>
        <v>#VALUE!</v>
      </c>
      <c r="Z17" s="114" t="e">
        <f>RA!AO418</f>
        <v>#VALUE!</v>
      </c>
      <c r="AA17" s="114" t="e">
        <f>RA!AG419</f>
        <v>#VALUE!</v>
      </c>
      <c r="AB17" s="114" t="e">
        <f>RA!AK419</f>
        <v>#VALUE!</v>
      </c>
      <c r="AC17" s="114" t="e">
        <f>RA!AM419</f>
        <v>#VALUE!</v>
      </c>
      <c r="AD17" s="114" t="e">
        <f>RA!AO419</f>
        <v>#VALUE!</v>
      </c>
      <c r="AE17" s="114" t="e">
        <f>RA!AG420</f>
        <v>#VALUE!</v>
      </c>
      <c r="AF17" s="114" t="e">
        <f>RA!AK420</f>
        <v>#VALUE!</v>
      </c>
      <c r="AG17" s="114" t="e">
        <f>RA!AM420</f>
        <v>#VALUE!</v>
      </c>
      <c r="AH17" s="167" t="e">
        <f>RA!AO420</f>
        <v>#VALUE!</v>
      </c>
      <c r="AI17" s="154"/>
      <c r="AJ17" s="2" t="e">
        <f>RA!AG421</f>
        <v>#VALUE!</v>
      </c>
      <c r="AK17" s="1" t="e">
        <f>RA!AK421</f>
        <v>#VALUE!</v>
      </c>
      <c r="AL17" s="1" t="e">
        <f>RA!AM421</f>
        <v>#VALUE!</v>
      </c>
      <c r="AM17" s="1" t="e">
        <f>RA!AO421</f>
        <v>#VALUE!</v>
      </c>
      <c r="AN17" s="1" t="e">
        <f>RA!AG422</f>
        <v>#VALUE!</v>
      </c>
      <c r="AO17" s="1" t="e">
        <f>RA!AK422</f>
        <v>#VALUE!</v>
      </c>
      <c r="AP17" s="1" t="e">
        <f>RA!AM422</f>
        <v>#VALUE!</v>
      </c>
      <c r="AQ17" s="1" t="e">
        <f>RA!AO422</f>
        <v>#VALUE!</v>
      </c>
      <c r="AR17" s="1" t="e">
        <f>RA!AG423</f>
        <v>#VALUE!</v>
      </c>
      <c r="AS17" s="1" t="e">
        <f>RA!AK423</f>
        <v>#VALUE!</v>
      </c>
      <c r="AT17" s="1" t="e">
        <f>RA!AM423</f>
        <v>#VALUE!</v>
      </c>
      <c r="AU17" s="3" t="e">
        <f>RA!AO423</f>
        <v>#VALUE!</v>
      </c>
      <c r="AV17" s="154"/>
      <c r="AW17" s="2" t="e">
        <f>RA!AG424</f>
        <v>#VALUE!</v>
      </c>
      <c r="AX17" s="1" t="e">
        <f>RA!AK424</f>
        <v>#VALUE!</v>
      </c>
      <c r="AY17" s="1" t="e">
        <f>RA!AM424</f>
        <v>#VALUE!</v>
      </c>
      <c r="AZ17" s="1" t="e">
        <f>RA!AO424</f>
        <v>#VALUE!</v>
      </c>
      <c r="BA17" s="1" t="e">
        <f>RA!AG425</f>
        <v>#VALUE!</v>
      </c>
      <c r="BB17" s="1" t="e">
        <f>RA!AK425</f>
        <v>#VALUE!</v>
      </c>
      <c r="BC17" s="1" t="e">
        <f>RA!AM425</f>
        <v>#VALUE!</v>
      </c>
      <c r="BD17" s="1" t="e">
        <f>RA!AO425</f>
        <v>#VALUE!</v>
      </c>
      <c r="BE17" s="1" t="e">
        <f>RA!AG426</f>
        <v>#VALUE!</v>
      </c>
      <c r="BF17" s="1" t="e">
        <f>RA!AK426</f>
        <v>#VALUE!</v>
      </c>
      <c r="BG17" s="1" t="e">
        <f>RA!AM426</f>
        <v>#VALUE!</v>
      </c>
      <c r="BH17" s="3" t="e">
        <f>RA!AO426</f>
        <v>#VALUE!</v>
      </c>
    </row>
    <row r="18" spans="2:60" x14ac:dyDescent="0.25">
      <c r="B18" s="196"/>
      <c r="C18" s="158" t="str">
        <f>RA!C427</f>
        <v>Class A3_720p</v>
      </c>
      <c r="D18" s="166" t="e">
        <f>RA!AH427</f>
        <v>#VALUE!</v>
      </c>
      <c r="E18" s="114" t="e">
        <f>RA!AI427</f>
        <v>#VALUE!</v>
      </c>
      <c r="F18" s="114" t="e">
        <f>RA!AJ427</f>
        <v>#VALUE!</v>
      </c>
      <c r="G18" s="114" t="e">
        <f>RA!AL427</f>
        <v>#VALUE!</v>
      </c>
      <c r="H18" s="114" t="e">
        <f>RA!AN427</f>
        <v>#VALUE!</v>
      </c>
      <c r="I18" s="114" t="e">
        <f>RA!AP427</f>
        <v>#VALUE!</v>
      </c>
      <c r="J18" s="114" t="e">
        <f>RA!AH428</f>
        <v>#VALUE!</v>
      </c>
      <c r="K18" s="114" t="e">
        <f>RA!AI428</f>
        <v>#VALUE!</v>
      </c>
      <c r="L18" s="114" t="e">
        <f>RA!AJ428</f>
        <v>#VALUE!</v>
      </c>
      <c r="M18" s="114" t="e">
        <f>RA!AL428</f>
        <v>#VALUE!</v>
      </c>
      <c r="N18" s="114" t="e">
        <f>RA!AN428</f>
        <v>#VALUE!</v>
      </c>
      <c r="O18" s="114" t="e">
        <f>RA!AP428</f>
        <v>#VALUE!</v>
      </c>
      <c r="P18" s="114" t="e">
        <f>RA!AH429</f>
        <v>#VALUE!</v>
      </c>
      <c r="Q18" s="114" t="e">
        <f>RA!AI429</f>
        <v>#VALUE!</v>
      </c>
      <c r="R18" s="114" t="e">
        <f>RA!AJ429</f>
        <v>#VALUE!</v>
      </c>
      <c r="S18" s="114" t="e">
        <f>RA!AL429</f>
        <v>#VALUE!</v>
      </c>
      <c r="T18" s="114" t="e">
        <f>RA!AN429</f>
        <v>#VALUE!</v>
      </c>
      <c r="U18" s="167" t="e">
        <f>RA!AP429</f>
        <v>#VALUE!</v>
      </c>
      <c r="V18" s="154"/>
      <c r="W18" s="166" t="e">
        <f>RA!AG427</f>
        <v>#VALUE!</v>
      </c>
      <c r="X18" s="114" t="e">
        <f>RA!AK427</f>
        <v>#VALUE!</v>
      </c>
      <c r="Y18" s="114" t="e">
        <f>RA!AM427</f>
        <v>#VALUE!</v>
      </c>
      <c r="Z18" s="114" t="e">
        <f>RA!AO427</f>
        <v>#VALUE!</v>
      </c>
      <c r="AA18" s="114" t="e">
        <f>RA!AG428</f>
        <v>#VALUE!</v>
      </c>
      <c r="AB18" s="114" t="e">
        <f>RA!AK428</f>
        <v>#VALUE!</v>
      </c>
      <c r="AC18" s="114" t="e">
        <f>RA!AM428</f>
        <v>#VALUE!</v>
      </c>
      <c r="AD18" s="114" t="e">
        <f>RA!AO428</f>
        <v>#VALUE!</v>
      </c>
      <c r="AE18" s="114" t="e">
        <f>RA!AG429</f>
        <v>#VALUE!</v>
      </c>
      <c r="AF18" s="114" t="e">
        <f>RA!AK429</f>
        <v>#VALUE!</v>
      </c>
      <c r="AG18" s="114" t="e">
        <f>RA!AM429</f>
        <v>#VALUE!</v>
      </c>
      <c r="AH18" s="167" t="e">
        <f>RA!AO429</f>
        <v>#VALUE!</v>
      </c>
      <c r="AI18" s="154"/>
      <c r="AJ18" s="2" t="e">
        <f>RA!AG430</f>
        <v>#VALUE!</v>
      </c>
      <c r="AK18" s="1" t="e">
        <f>RA!AK430</f>
        <v>#VALUE!</v>
      </c>
      <c r="AL18" s="1" t="e">
        <f>RA!AM430</f>
        <v>#VALUE!</v>
      </c>
      <c r="AM18" s="1" t="e">
        <f>RA!AO430</f>
        <v>#VALUE!</v>
      </c>
      <c r="AN18" s="1" t="e">
        <f>RA!AG431</f>
        <v>#VALUE!</v>
      </c>
      <c r="AO18" s="1" t="e">
        <f>RA!AK431</f>
        <v>#VALUE!</v>
      </c>
      <c r="AP18" s="1" t="e">
        <f>RA!AM431</f>
        <v>#VALUE!</v>
      </c>
      <c r="AQ18" s="1" t="e">
        <f>RA!AO431</f>
        <v>#VALUE!</v>
      </c>
      <c r="AR18" s="1" t="e">
        <f>RA!AG432</f>
        <v>#VALUE!</v>
      </c>
      <c r="AS18" s="1" t="e">
        <f>RA!AK432</f>
        <v>#VALUE!</v>
      </c>
      <c r="AT18" s="1" t="e">
        <f>RA!AM432</f>
        <v>#VALUE!</v>
      </c>
      <c r="AU18" s="3" t="e">
        <f>RA!AO432</f>
        <v>#VALUE!</v>
      </c>
      <c r="AV18" s="154"/>
      <c r="AW18" s="2" t="e">
        <f>RA!AG433</f>
        <v>#VALUE!</v>
      </c>
      <c r="AX18" s="1" t="e">
        <f>RA!AK433</f>
        <v>#VALUE!</v>
      </c>
      <c r="AY18" s="1" t="e">
        <f>RA!AM433</f>
        <v>#VALUE!</v>
      </c>
      <c r="AZ18" s="1" t="e">
        <f>RA!AO433</f>
        <v>#VALUE!</v>
      </c>
      <c r="BA18" s="1" t="e">
        <f>RA!AG434</f>
        <v>#VALUE!</v>
      </c>
      <c r="BB18" s="1" t="e">
        <f>RA!AK434</f>
        <v>#VALUE!</v>
      </c>
      <c r="BC18" s="1" t="e">
        <f>RA!AM434</f>
        <v>#VALUE!</v>
      </c>
      <c r="BD18" s="1" t="e">
        <f>RA!AO434</f>
        <v>#VALUE!</v>
      </c>
      <c r="BE18" s="1" t="e">
        <f>RA!AG435</f>
        <v>#VALUE!</v>
      </c>
      <c r="BF18" s="1" t="e">
        <f>RA!AK435</f>
        <v>#VALUE!</v>
      </c>
      <c r="BG18" s="1" t="e">
        <f>RA!AM435</f>
        <v>#VALUE!</v>
      </c>
      <c r="BH18" s="3" t="e">
        <f>RA!AO435</f>
        <v>#VALUE!</v>
      </c>
    </row>
    <row r="19" spans="2:60" x14ac:dyDescent="0.25">
      <c r="B19" s="196"/>
      <c r="C19" s="158" t="str">
        <f>RA!C436</f>
        <v>Class A4_360p</v>
      </c>
      <c r="D19" s="166" t="e">
        <f>RA!AH436</f>
        <v>#VALUE!</v>
      </c>
      <c r="E19" s="114" t="e">
        <f>RA!AI436</f>
        <v>#VALUE!</v>
      </c>
      <c r="F19" s="114" t="e">
        <f>RA!AJ436</f>
        <v>#VALUE!</v>
      </c>
      <c r="G19" s="114" t="e">
        <f>RA!AL436</f>
        <v>#VALUE!</v>
      </c>
      <c r="H19" s="114" t="e">
        <f>RA!AN436</f>
        <v>#VALUE!</v>
      </c>
      <c r="I19" s="114" t="e">
        <f>RA!AP436</f>
        <v>#VALUE!</v>
      </c>
      <c r="J19" s="114" t="e">
        <f>RA!AH437</f>
        <v>#VALUE!</v>
      </c>
      <c r="K19" s="114" t="e">
        <f>RA!AI437</f>
        <v>#VALUE!</v>
      </c>
      <c r="L19" s="114" t="e">
        <f>RA!AJ437</f>
        <v>#VALUE!</v>
      </c>
      <c r="M19" s="114" t="e">
        <f>RA!AL437</f>
        <v>#VALUE!</v>
      </c>
      <c r="N19" s="114" t="e">
        <f>RA!AN437</f>
        <v>#VALUE!</v>
      </c>
      <c r="O19" s="114" t="e">
        <f>RA!AP437</f>
        <v>#VALUE!</v>
      </c>
      <c r="P19" s="114" t="e">
        <f>RA!AH438</f>
        <v>#VALUE!</v>
      </c>
      <c r="Q19" s="114" t="e">
        <f>RA!AI438</f>
        <v>#VALUE!</v>
      </c>
      <c r="R19" s="114" t="e">
        <f>RA!AJ438</f>
        <v>#VALUE!</v>
      </c>
      <c r="S19" s="114" t="e">
        <f>RA!AL438</f>
        <v>#VALUE!</v>
      </c>
      <c r="T19" s="114" t="e">
        <f>RA!AN438</f>
        <v>#VALUE!</v>
      </c>
      <c r="U19" s="167" t="e">
        <f>RA!AP438</f>
        <v>#VALUE!</v>
      </c>
      <c r="V19" s="154"/>
      <c r="W19" s="166" t="e">
        <f>RA!AG436</f>
        <v>#VALUE!</v>
      </c>
      <c r="X19" s="114" t="e">
        <f>RA!AK436</f>
        <v>#VALUE!</v>
      </c>
      <c r="Y19" s="114" t="e">
        <f>RA!AM436</f>
        <v>#VALUE!</v>
      </c>
      <c r="Z19" s="114" t="e">
        <f>RA!AO436</f>
        <v>#VALUE!</v>
      </c>
      <c r="AA19" s="114" t="e">
        <f>RA!AG437</f>
        <v>#VALUE!</v>
      </c>
      <c r="AB19" s="114" t="e">
        <f>RA!AK437</f>
        <v>#VALUE!</v>
      </c>
      <c r="AC19" s="114" t="e">
        <f>RA!AM437</f>
        <v>#VALUE!</v>
      </c>
      <c r="AD19" s="114" t="e">
        <f>RA!AO437</f>
        <v>#VALUE!</v>
      </c>
      <c r="AE19" s="114" t="e">
        <f>RA!AG438</f>
        <v>#VALUE!</v>
      </c>
      <c r="AF19" s="114" t="e">
        <f>RA!AK438</f>
        <v>#VALUE!</v>
      </c>
      <c r="AG19" s="114" t="e">
        <f>RA!AM438</f>
        <v>#VALUE!</v>
      </c>
      <c r="AH19" s="167" t="e">
        <f>RA!AO438</f>
        <v>#VALUE!</v>
      </c>
      <c r="AI19" s="154"/>
      <c r="AJ19" s="2" t="e">
        <f>RA!AG439</f>
        <v>#VALUE!</v>
      </c>
      <c r="AK19" s="1" t="e">
        <f>RA!AK439</f>
        <v>#VALUE!</v>
      </c>
      <c r="AL19" s="1" t="e">
        <f>RA!AM439</f>
        <v>#VALUE!</v>
      </c>
      <c r="AM19" s="1" t="e">
        <f>RA!AO439</f>
        <v>#VALUE!</v>
      </c>
      <c r="AN19" s="1" t="e">
        <f>RA!AG440</f>
        <v>#VALUE!</v>
      </c>
      <c r="AO19" s="1" t="e">
        <f>RA!AK440</f>
        <v>#VALUE!</v>
      </c>
      <c r="AP19" s="1" t="e">
        <f>RA!AM440</f>
        <v>#VALUE!</v>
      </c>
      <c r="AQ19" s="1" t="e">
        <f>RA!AO440</f>
        <v>#VALUE!</v>
      </c>
      <c r="AR19" s="1" t="e">
        <f>RA!AG441</f>
        <v>#VALUE!</v>
      </c>
      <c r="AS19" s="1" t="e">
        <f>RA!AK441</f>
        <v>#VALUE!</v>
      </c>
      <c r="AT19" s="1" t="e">
        <f>RA!AM441</f>
        <v>#VALUE!</v>
      </c>
      <c r="AU19" s="3" t="e">
        <f>RA!AO441</f>
        <v>#VALUE!</v>
      </c>
      <c r="AV19" s="154"/>
      <c r="AW19" s="2" t="e">
        <f>RA!AG442</f>
        <v>#VALUE!</v>
      </c>
      <c r="AX19" s="1" t="e">
        <f>RA!AK442</f>
        <v>#VALUE!</v>
      </c>
      <c r="AY19" s="1" t="e">
        <f>RA!AM442</f>
        <v>#VALUE!</v>
      </c>
      <c r="AZ19" s="1" t="e">
        <f>RA!AO442</f>
        <v>#VALUE!</v>
      </c>
      <c r="BA19" s="1" t="e">
        <f>RA!AG443</f>
        <v>#VALUE!</v>
      </c>
      <c r="BB19" s="1" t="e">
        <f>RA!AK443</f>
        <v>#VALUE!</v>
      </c>
      <c r="BC19" s="1" t="e">
        <f>RA!AM443</f>
        <v>#VALUE!</v>
      </c>
      <c r="BD19" s="1" t="e">
        <f>RA!AO443</f>
        <v>#VALUE!</v>
      </c>
      <c r="BE19" s="1" t="e">
        <f>RA!AG444</f>
        <v>#VALUE!</v>
      </c>
      <c r="BF19" s="1" t="e">
        <f>RA!AK444</f>
        <v>#VALUE!</v>
      </c>
      <c r="BG19" s="1" t="e">
        <f>RA!AM444</f>
        <v>#VALUE!</v>
      </c>
      <c r="BH19" s="3" t="e">
        <f>RA!AO444</f>
        <v>#VALUE!</v>
      </c>
    </row>
    <row r="20" spans="2:60" x14ac:dyDescent="0.25">
      <c r="B20" s="196"/>
      <c r="C20" s="158" t="str">
        <f>RA!C445</f>
        <v>Class A5_270p</v>
      </c>
      <c r="D20" s="166">
        <f>RA!AH445</f>
        <v>-0.20664708141463212</v>
      </c>
      <c r="E20" s="114">
        <f>RA!AI445</f>
        <v>-0.18582074194443207</v>
      </c>
      <c r="F20" s="114">
        <f>RA!AJ445</f>
        <v>-0.18234574130966033</v>
      </c>
      <c r="G20" s="114">
        <f>RA!AL445</f>
        <v>-0.21904799238377048</v>
      </c>
      <c r="H20" s="114">
        <f>RA!AN445</f>
        <v>-0.19877622777047332</v>
      </c>
      <c r="I20" s="114">
        <f>RA!AP445</f>
        <v>-0.21341959342963357</v>
      </c>
      <c r="J20" s="114">
        <f>RA!AH446</f>
        <v>-0.27346095794466319</v>
      </c>
      <c r="K20" s="114">
        <f>RA!AI446</f>
        <v>-0.23885370954660823</v>
      </c>
      <c r="L20" s="114">
        <f>RA!AJ446</f>
        <v>-0.23443810148770872</v>
      </c>
      <c r="M20" s="114">
        <f>RA!AL446</f>
        <v>-0.28345368495207346</v>
      </c>
      <c r="N20" s="114">
        <f>RA!AN446</f>
        <v>-0.24461841785526273</v>
      </c>
      <c r="O20" s="114">
        <f>RA!AP446</f>
        <v>-0.26054518433190599</v>
      </c>
      <c r="P20" s="114">
        <f>RA!AH447</f>
        <v>-0.13375655761769667</v>
      </c>
      <c r="Q20" s="114">
        <f>RA!AI447</f>
        <v>-0.11581450240129587</v>
      </c>
      <c r="R20" s="114">
        <f>RA!AJ447</f>
        <v>-0.12764807897474084</v>
      </c>
      <c r="S20" s="114">
        <f>RA!AL447</f>
        <v>-0.14231962951384014</v>
      </c>
      <c r="T20" s="114">
        <f>RA!AN447</f>
        <v>-0.13223736270117414</v>
      </c>
      <c r="U20" s="167">
        <f>RA!AP447</f>
        <v>-0.12722047901605205</v>
      </c>
      <c r="V20" s="154"/>
      <c r="W20" s="166">
        <f>RA!AG445</f>
        <v>2.3211155714211174E-3</v>
      </c>
      <c r="X20" s="114">
        <f>RA!AK445</f>
        <v>-0.22629974874438658</v>
      </c>
      <c r="Y20" s="114">
        <f>RA!AM445</f>
        <v>-0.21056055125297016</v>
      </c>
      <c r="Z20" s="114">
        <f>RA!AO445</f>
        <v>-0.27267133541478078</v>
      </c>
      <c r="AA20" s="114">
        <f>RA!AG446</f>
        <v>5.5918640867713698E-4</v>
      </c>
      <c r="AB20" s="114">
        <f>RA!AK446</f>
        <v>-0.27729042738893517</v>
      </c>
      <c r="AC20" s="114">
        <f>RA!AM446</f>
        <v>-0.2645417592328565</v>
      </c>
      <c r="AD20" s="114">
        <f>RA!AO446</f>
        <v>-0.33681488832251816</v>
      </c>
      <c r="AE20" s="114">
        <f>RA!AG447</f>
        <v>3.6005823506464196E-3</v>
      </c>
      <c r="AF20" s="114">
        <f>RA!AK447</f>
        <v>-0.15527904520940083</v>
      </c>
      <c r="AG20" s="114">
        <f>RA!AM447</f>
        <v>-0.14801575874785955</v>
      </c>
      <c r="AH20" s="167">
        <f>RA!AO447</f>
        <v>-0.14438789909589722</v>
      </c>
      <c r="AI20" s="154"/>
      <c r="AJ20" s="2">
        <f>RA!AG448</f>
        <v>1.3228168127115691E-3</v>
      </c>
      <c r="AK20" s="1">
        <f>RA!AK448</f>
        <v>-0.22427215325826688</v>
      </c>
      <c r="AL20" s="1">
        <f>RA!AM448</f>
        <v>-0.20453006890398234</v>
      </c>
      <c r="AM20" s="1">
        <f>RA!AO448</f>
        <v>-0.24105935172595494</v>
      </c>
      <c r="AN20" s="1">
        <f>RA!AG449</f>
        <v>3.1102223771006798E-4</v>
      </c>
      <c r="AO20" s="1">
        <f>RA!AK449</f>
        <v>-0.29015376410190263</v>
      </c>
      <c r="AP20" s="1">
        <f>RA!AM449</f>
        <v>-0.25604025734251801</v>
      </c>
      <c r="AQ20" s="1">
        <f>RA!AO449</f>
        <v>-0.2944159329778322</v>
      </c>
      <c r="AR20" s="1">
        <f>RA!AG450</f>
        <v>3.5076702080973909E-3</v>
      </c>
      <c r="AS20" s="1">
        <f>RA!AK450</f>
        <v>-0.14548242877751505</v>
      </c>
      <c r="AT20" s="1">
        <f>RA!AM450</f>
        <v>-0.13558227530065503</v>
      </c>
      <c r="AU20" s="3">
        <f>RA!AO450</f>
        <v>-0.13115402679574306</v>
      </c>
      <c r="AV20" s="154"/>
      <c r="AW20" s="2">
        <f>RA!AG451</f>
        <v>1.4212202598834489E-4</v>
      </c>
      <c r="AX20" s="1">
        <f>RA!AK451</f>
        <v>-0.21337749956849447</v>
      </c>
      <c r="AY20" s="1">
        <f>RA!AM451</f>
        <v>-0.18986725691387635</v>
      </c>
      <c r="AZ20" s="1">
        <f>RA!AO451</f>
        <v>-0.19895340938544395</v>
      </c>
      <c r="BA20" s="1">
        <f>RA!AG452</f>
        <v>-2.6590852197692083E-3</v>
      </c>
      <c r="BB20" s="1">
        <f>RA!AK452</f>
        <v>-0.29347107866470623</v>
      </c>
      <c r="BC20" s="1">
        <f>RA!AM452</f>
        <v>-0.24410563760743365</v>
      </c>
      <c r="BD20" s="1">
        <f>RA!AO452</f>
        <v>-0.24134710497967082</v>
      </c>
      <c r="BE20" s="1">
        <f>RA!AG453</f>
        <v>2.8509300871251142E-3</v>
      </c>
      <c r="BF20" s="1">
        <f>RA!AK453</f>
        <v>-0.13476291465405155</v>
      </c>
      <c r="BG20" s="1">
        <f>RA!AM453</f>
        <v>-0.12278549237135561</v>
      </c>
      <c r="BH20" s="3">
        <f>RA!AO453</f>
        <v>-0.12379457658732484</v>
      </c>
    </row>
    <row r="21" spans="2:60" x14ac:dyDescent="0.25">
      <c r="B21" s="196"/>
      <c r="C21" s="158" t="str">
        <f>RA!C454</f>
        <v>Class B1_SYN</v>
      </c>
      <c r="D21" s="166" t="e">
        <f>RA!AH454</f>
        <v>#VALUE!</v>
      </c>
      <c r="E21" s="114" t="e">
        <f>RA!AI454</f>
        <v>#VALUE!</v>
      </c>
      <c r="F21" s="114" t="e">
        <f>RA!AJ454</f>
        <v>#VALUE!</v>
      </c>
      <c r="G21" s="114" t="e">
        <f>RA!AL454</f>
        <v>#VALUE!</v>
      </c>
      <c r="H21" s="114" t="e">
        <f>RA!AN454</f>
        <v>#VALUE!</v>
      </c>
      <c r="I21" s="114" t="e">
        <f>RA!AP454</f>
        <v>#VALUE!</v>
      </c>
      <c r="J21" s="114" t="e">
        <f>RA!AH455</f>
        <v>#VALUE!</v>
      </c>
      <c r="K21" s="114" t="e">
        <f>RA!AI455</f>
        <v>#VALUE!</v>
      </c>
      <c r="L21" s="114" t="e">
        <f>RA!AJ455</f>
        <v>#VALUE!</v>
      </c>
      <c r="M21" s="114" t="e">
        <f>RA!AL455</f>
        <v>#VALUE!</v>
      </c>
      <c r="N21" s="114" t="e">
        <f>RA!AN455</f>
        <v>#VALUE!</v>
      </c>
      <c r="O21" s="114" t="e">
        <f>RA!AP455</f>
        <v>#VALUE!</v>
      </c>
      <c r="P21" s="114" t="e">
        <f>RA!AH456</f>
        <v>#VALUE!</v>
      </c>
      <c r="Q21" s="114" t="e">
        <f>RA!AI456</f>
        <v>#VALUE!</v>
      </c>
      <c r="R21" s="114" t="e">
        <f>RA!AJ456</f>
        <v>#VALUE!</v>
      </c>
      <c r="S21" s="114" t="e">
        <f>RA!AL456</f>
        <v>#VALUE!</v>
      </c>
      <c r="T21" s="114" t="e">
        <f>RA!AN456</f>
        <v>#VALUE!</v>
      </c>
      <c r="U21" s="167" t="e">
        <f>RA!AP456</f>
        <v>#VALUE!</v>
      </c>
      <c r="V21" s="154"/>
      <c r="W21" s="166" t="e">
        <f>RA!AG454</f>
        <v>#VALUE!</v>
      </c>
      <c r="X21" s="114" t="e">
        <f>RA!AK454</f>
        <v>#VALUE!</v>
      </c>
      <c r="Y21" s="114" t="e">
        <f>RA!AM454</f>
        <v>#VALUE!</v>
      </c>
      <c r="Z21" s="114" t="e">
        <f>RA!AO454</f>
        <v>#VALUE!</v>
      </c>
      <c r="AA21" s="114" t="e">
        <f>RA!AG455</f>
        <v>#VALUE!</v>
      </c>
      <c r="AB21" s="114" t="e">
        <f>RA!AK455</f>
        <v>#VALUE!</v>
      </c>
      <c r="AC21" s="114" t="e">
        <f>RA!AM455</f>
        <v>#VALUE!</v>
      </c>
      <c r="AD21" s="114" t="e">
        <f>RA!AO455</f>
        <v>#VALUE!</v>
      </c>
      <c r="AE21" s="114" t="e">
        <f>RA!AG456</f>
        <v>#VALUE!</v>
      </c>
      <c r="AF21" s="114" t="e">
        <f>RA!AK456</f>
        <v>#VALUE!</v>
      </c>
      <c r="AG21" s="114" t="e">
        <f>RA!AM456</f>
        <v>#VALUE!</v>
      </c>
      <c r="AH21" s="167" t="e">
        <f>RA!AO456</f>
        <v>#VALUE!</v>
      </c>
      <c r="AI21" s="154"/>
      <c r="AJ21" s="2" t="e">
        <f>RA!AG457</f>
        <v>#VALUE!</v>
      </c>
      <c r="AK21" s="1" t="e">
        <f>RA!AK457</f>
        <v>#VALUE!</v>
      </c>
      <c r="AL21" s="1" t="e">
        <f>RA!AM457</f>
        <v>#VALUE!</v>
      </c>
      <c r="AM21" s="1" t="e">
        <f>RA!AO457</f>
        <v>#VALUE!</v>
      </c>
      <c r="AN21" s="1" t="e">
        <f>RA!AG458</f>
        <v>#VALUE!</v>
      </c>
      <c r="AO21" s="1" t="e">
        <f>RA!AK458</f>
        <v>#VALUE!</v>
      </c>
      <c r="AP21" s="1" t="e">
        <f>RA!AM458</f>
        <v>#VALUE!</v>
      </c>
      <c r="AQ21" s="1" t="e">
        <f>RA!AO458</f>
        <v>#VALUE!</v>
      </c>
      <c r="AR21" s="1" t="e">
        <f>RA!AG459</f>
        <v>#VALUE!</v>
      </c>
      <c r="AS21" s="1" t="e">
        <f>RA!AK459</f>
        <v>#VALUE!</v>
      </c>
      <c r="AT21" s="1" t="e">
        <f>RA!AM459</f>
        <v>#VALUE!</v>
      </c>
      <c r="AU21" s="3" t="e">
        <f>RA!AO459</f>
        <v>#VALUE!</v>
      </c>
      <c r="AV21" s="154"/>
      <c r="AW21" s="2" t="e">
        <f>RA!AG460</f>
        <v>#VALUE!</v>
      </c>
      <c r="AX21" s="1" t="e">
        <f>RA!AK460</f>
        <v>#VALUE!</v>
      </c>
      <c r="AY21" s="1" t="e">
        <f>RA!AM460</f>
        <v>#VALUE!</v>
      </c>
      <c r="AZ21" s="1" t="e">
        <f>RA!AO460</f>
        <v>#VALUE!</v>
      </c>
      <c r="BA21" s="1" t="e">
        <f>RA!AG461</f>
        <v>#VALUE!</v>
      </c>
      <c r="BB21" s="1" t="e">
        <f>RA!AK461</f>
        <v>#VALUE!</v>
      </c>
      <c r="BC21" s="1" t="e">
        <f>RA!AM461</f>
        <v>#VALUE!</v>
      </c>
      <c r="BD21" s="1" t="e">
        <f>RA!AO461</f>
        <v>#VALUE!</v>
      </c>
      <c r="BE21" s="1" t="e">
        <f>RA!AG462</f>
        <v>#VALUE!</v>
      </c>
      <c r="BF21" s="1" t="e">
        <f>RA!AK462</f>
        <v>#VALUE!</v>
      </c>
      <c r="BG21" s="1" t="e">
        <f>RA!AM462</f>
        <v>#VALUE!</v>
      </c>
      <c r="BH21" s="3" t="e">
        <f>RA!AO462</f>
        <v>#VALUE!</v>
      </c>
    </row>
    <row r="22" spans="2:60" x14ac:dyDescent="0.25">
      <c r="B22" s="196"/>
      <c r="C22" s="158" t="str">
        <f>RA!C463</f>
        <v>Class HDR1_4K</v>
      </c>
      <c r="D22" s="166" t="e">
        <f>RA!AH463</f>
        <v>#VALUE!</v>
      </c>
      <c r="E22" s="114" t="e">
        <f>RA!AI463</f>
        <v>#VALUE!</v>
      </c>
      <c r="F22" s="114" t="e">
        <f>RA!AJ463</f>
        <v>#VALUE!</v>
      </c>
      <c r="G22" s="114" t="e">
        <f>RA!AL463</f>
        <v>#VALUE!</v>
      </c>
      <c r="H22" s="114" t="e">
        <f>RA!AN463</f>
        <v>#VALUE!</v>
      </c>
      <c r="I22" s="114" t="e">
        <f>RA!AP463</f>
        <v>#VALUE!</v>
      </c>
      <c r="J22" s="114" t="e">
        <f>RA!AH464</f>
        <v>#VALUE!</v>
      </c>
      <c r="K22" s="114" t="e">
        <f>RA!AI464</f>
        <v>#VALUE!</v>
      </c>
      <c r="L22" s="114" t="e">
        <f>RA!AJ464</f>
        <v>#VALUE!</v>
      </c>
      <c r="M22" s="114" t="e">
        <f>RA!AL464</f>
        <v>#VALUE!</v>
      </c>
      <c r="N22" s="114" t="e">
        <f>RA!AN464</f>
        <v>#VALUE!</v>
      </c>
      <c r="O22" s="114" t="e">
        <f>RA!AP464</f>
        <v>#VALUE!</v>
      </c>
      <c r="P22" s="114" t="e">
        <f>RA!AH465</f>
        <v>#VALUE!</v>
      </c>
      <c r="Q22" s="114" t="e">
        <f>RA!AI465</f>
        <v>#VALUE!</v>
      </c>
      <c r="R22" s="114" t="e">
        <f>RA!AJ465</f>
        <v>#VALUE!</v>
      </c>
      <c r="S22" s="114" t="e">
        <f>RA!AL465</f>
        <v>#VALUE!</v>
      </c>
      <c r="T22" s="114" t="e">
        <f>RA!AN465</f>
        <v>#VALUE!</v>
      </c>
      <c r="U22" s="167" t="e">
        <f>RA!AP465</f>
        <v>#VALUE!</v>
      </c>
      <c r="V22" s="154"/>
      <c r="W22" s="166" t="e">
        <f>RA!AG463</f>
        <v>#VALUE!</v>
      </c>
      <c r="X22" s="114" t="e">
        <f>RA!AK463</f>
        <v>#VALUE!</v>
      </c>
      <c r="Y22" s="114" t="e">
        <f>RA!AM463</f>
        <v>#VALUE!</v>
      </c>
      <c r="Z22" s="114" t="e">
        <f>RA!AO463</f>
        <v>#VALUE!</v>
      </c>
      <c r="AA22" s="114" t="e">
        <f>RA!AG464</f>
        <v>#VALUE!</v>
      </c>
      <c r="AB22" s="114" t="e">
        <f>RA!AK464</f>
        <v>#VALUE!</v>
      </c>
      <c r="AC22" s="114" t="e">
        <f>RA!AM464</f>
        <v>#VALUE!</v>
      </c>
      <c r="AD22" s="114" t="e">
        <f>RA!AO464</f>
        <v>#VALUE!</v>
      </c>
      <c r="AE22" s="114" t="e">
        <f>RA!AG465</f>
        <v>#VALUE!</v>
      </c>
      <c r="AF22" s="114" t="e">
        <f>RA!AK465</f>
        <v>#VALUE!</v>
      </c>
      <c r="AG22" s="114" t="e">
        <f>RA!AM465</f>
        <v>#VALUE!</v>
      </c>
      <c r="AH22" s="167" t="e">
        <f>RA!AO465</f>
        <v>#VALUE!</v>
      </c>
      <c r="AI22" s="154"/>
      <c r="AJ22" s="2" t="e">
        <f>RA!AG466</f>
        <v>#VALUE!</v>
      </c>
      <c r="AK22" s="1" t="e">
        <f>RA!AK466</f>
        <v>#VALUE!</v>
      </c>
      <c r="AL22" s="1" t="e">
        <f>RA!AM466</f>
        <v>#VALUE!</v>
      </c>
      <c r="AM22" s="1" t="e">
        <f>RA!AO466</f>
        <v>#VALUE!</v>
      </c>
      <c r="AN22" s="1" t="e">
        <f>RA!AG467</f>
        <v>#VALUE!</v>
      </c>
      <c r="AO22" s="1" t="e">
        <f>RA!AK467</f>
        <v>#VALUE!</v>
      </c>
      <c r="AP22" s="1" t="e">
        <f>RA!AM467</f>
        <v>#VALUE!</v>
      </c>
      <c r="AQ22" s="1" t="e">
        <f>RA!AO467</f>
        <v>#VALUE!</v>
      </c>
      <c r="AR22" s="1" t="e">
        <f>RA!AG468</f>
        <v>#VALUE!</v>
      </c>
      <c r="AS22" s="1" t="e">
        <f>RA!AK468</f>
        <v>#VALUE!</v>
      </c>
      <c r="AT22" s="1" t="e">
        <f>RA!AM468</f>
        <v>#VALUE!</v>
      </c>
      <c r="AU22" s="3" t="e">
        <f>RA!AO468</f>
        <v>#VALUE!</v>
      </c>
      <c r="AV22" s="154"/>
      <c r="AW22" s="2" t="e">
        <f>RA!AG469</f>
        <v>#VALUE!</v>
      </c>
      <c r="AX22" s="1" t="e">
        <f>RA!AK469</f>
        <v>#VALUE!</v>
      </c>
      <c r="AY22" s="1" t="e">
        <f>RA!AM469</f>
        <v>#VALUE!</v>
      </c>
      <c r="AZ22" s="1" t="e">
        <f>RA!AO469</f>
        <v>#VALUE!</v>
      </c>
      <c r="BA22" s="1" t="e">
        <f>RA!AG470</f>
        <v>#VALUE!</v>
      </c>
      <c r="BB22" s="1" t="e">
        <f>RA!AK470</f>
        <v>#VALUE!</v>
      </c>
      <c r="BC22" s="1" t="e">
        <f>RA!AM470</f>
        <v>#VALUE!</v>
      </c>
      <c r="BD22" s="1" t="e">
        <f>RA!AO470</f>
        <v>#VALUE!</v>
      </c>
      <c r="BE22" s="1" t="e">
        <f>RA!AG471</f>
        <v>#VALUE!</v>
      </c>
      <c r="BF22" s="1" t="e">
        <f>RA!AK471</f>
        <v>#VALUE!</v>
      </c>
      <c r="BG22" s="1" t="e">
        <f>RA!AM471</f>
        <v>#VALUE!</v>
      </c>
      <c r="BH22" s="3" t="e">
        <f>RA!AO471</f>
        <v>#VALUE!</v>
      </c>
    </row>
    <row r="23" spans="2:60" x14ac:dyDescent="0.25">
      <c r="B23" s="196"/>
      <c r="C23" s="158" t="str">
        <f>RA!C472</f>
        <v>Class HDR2_2K</v>
      </c>
      <c r="D23" s="166" t="e">
        <f>RA!AH472</f>
        <v>#VALUE!</v>
      </c>
      <c r="E23" s="114" t="e">
        <f>RA!AI472</f>
        <v>#VALUE!</v>
      </c>
      <c r="F23" s="114" t="e">
        <f>RA!AJ472</f>
        <v>#VALUE!</v>
      </c>
      <c r="G23" s="114" t="e">
        <f>RA!AL472</f>
        <v>#VALUE!</v>
      </c>
      <c r="H23" s="114" t="e">
        <f>RA!AN472</f>
        <v>#VALUE!</v>
      </c>
      <c r="I23" s="114" t="e">
        <f>RA!AP472</f>
        <v>#VALUE!</v>
      </c>
      <c r="J23" s="114" t="e">
        <f>RA!AH473</f>
        <v>#VALUE!</v>
      </c>
      <c r="K23" s="114" t="e">
        <f>RA!AI473</f>
        <v>#VALUE!</v>
      </c>
      <c r="L23" s="114" t="e">
        <f>RA!AJ473</f>
        <v>#VALUE!</v>
      </c>
      <c r="M23" s="114" t="e">
        <f>RA!AL473</f>
        <v>#VALUE!</v>
      </c>
      <c r="N23" s="114" t="e">
        <f>RA!AN473</f>
        <v>#VALUE!</v>
      </c>
      <c r="O23" s="114" t="e">
        <f>RA!AP473</f>
        <v>#VALUE!</v>
      </c>
      <c r="P23" s="114" t="e">
        <f>RA!AH474</f>
        <v>#VALUE!</v>
      </c>
      <c r="Q23" s="114" t="e">
        <f>RA!AI474</f>
        <v>#VALUE!</v>
      </c>
      <c r="R23" s="114" t="e">
        <f>RA!AJ474</f>
        <v>#VALUE!</v>
      </c>
      <c r="S23" s="114" t="e">
        <f>RA!AL474</f>
        <v>#VALUE!</v>
      </c>
      <c r="T23" s="114" t="e">
        <f>RA!AN474</f>
        <v>#VALUE!</v>
      </c>
      <c r="U23" s="167" t="e">
        <f>RA!AP474</f>
        <v>#VALUE!</v>
      </c>
      <c r="V23" s="154"/>
      <c r="W23" s="166" t="e">
        <f>RA!AG472</f>
        <v>#VALUE!</v>
      </c>
      <c r="X23" s="114" t="e">
        <f>RA!AK472</f>
        <v>#VALUE!</v>
      </c>
      <c r="Y23" s="114" t="e">
        <f>RA!AM472</f>
        <v>#VALUE!</v>
      </c>
      <c r="Z23" s="114" t="e">
        <f>RA!AO472</f>
        <v>#VALUE!</v>
      </c>
      <c r="AA23" s="114" t="e">
        <f>RA!AG473</f>
        <v>#VALUE!</v>
      </c>
      <c r="AB23" s="114" t="e">
        <f>RA!AK473</f>
        <v>#VALUE!</v>
      </c>
      <c r="AC23" s="114" t="e">
        <f>RA!AM473</f>
        <v>#VALUE!</v>
      </c>
      <c r="AD23" s="114" t="e">
        <f>RA!AO473</f>
        <v>#VALUE!</v>
      </c>
      <c r="AE23" s="114" t="e">
        <f>RA!AG474</f>
        <v>#VALUE!</v>
      </c>
      <c r="AF23" s="114" t="e">
        <f>RA!AK474</f>
        <v>#VALUE!</v>
      </c>
      <c r="AG23" s="114" t="e">
        <f>RA!AM474</f>
        <v>#VALUE!</v>
      </c>
      <c r="AH23" s="167" t="e">
        <f>RA!AO474</f>
        <v>#VALUE!</v>
      </c>
      <c r="AI23" s="154"/>
      <c r="AJ23" s="2" t="e">
        <f>RA!AG475</f>
        <v>#VALUE!</v>
      </c>
      <c r="AK23" s="1" t="e">
        <f>RA!AK475</f>
        <v>#VALUE!</v>
      </c>
      <c r="AL23" s="1" t="e">
        <f>RA!AM475</f>
        <v>#VALUE!</v>
      </c>
      <c r="AM23" s="1" t="e">
        <f>RA!AO475</f>
        <v>#VALUE!</v>
      </c>
      <c r="AN23" s="1" t="e">
        <f>RA!AG476</f>
        <v>#VALUE!</v>
      </c>
      <c r="AO23" s="1" t="e">
        <f>RA!AK476</f>
        <v>#VALUE!</v>
      </c>
      <c r="AP23" s="1" t="e">
        <f>RA!AM476</f>
        <v>#VALUE!</v>
      </c>
      <c r="AQ23" s="1" t="e">
        <f>RA!AO476</f>
        <v>#VALUE!</v>
      </c>
      <c r="AR23" s="1" t="e">
        <f>RA!AG477</f>
        <v>#VALUE!</v>
      </c>
      <c r="AS23" s="1" t="e">
        <f>RA!AK477</f>
        <v>#VALUE!</v>
      </c>
      <c r="AT23" s="1" t="e">
        <f>RA!AM477</f>
        <v>#VALUE!</v>
      </c>
      <c r="AU23" s="3" t="e">
        <f>RA!AO477</f>
        <v>#VALUE!</v>
      </c>
      <c r="AV23" s="154"/>
      <c r="AW23" s="2" t="e">
        <f>RA!AG478</f>
        <v>#VALUE!</v>
      </c>
      <c r="AX23" s="1" t="e">
        <f>RA!AK478</f>
        <v>#VALUE!</v>
      </c>
      <c r="AY23" s="1" t="e">
        <f>RA!AM478</f>
        <v>#VALUE!</v>
      </c>
      <c r="AZ23" s="1" t="e">
        <f>RA!AO478</f>
        <v>#VALUE!</v>
      </c>
      <c r="BA23" s="1" t="e">
        <f>RA!AG479</f>
        <v>#VALUE!</v>
      </c>
      <c r="BB23" s="1" t="e">
        <f>RA!AK479</f>
        <v>#VALUE!</v>
      </c>
      <c r="BC23" s="1" t="e">
        <f>RA!AM479</f>
        <v>#VALUE!</v>
      </c>
      <c r="BD23" s="1" t="e">
        <f>RA!AO479</f>
        <v>#VALUE!</v>
      </c>
      <c r="BE23" s="1" t="e">
        <f>RA!AG480</f>
        <v>#VALUE!</v>
      </c>
      <c r="BF23" s="1" t="e">
        <f>RA!AK480</f>
        <v>#VALUE!</v>
      </c>
      <c r="BG23" s="1" t="e">
        <f>RA!AM480</f>
        <v>#VALUE!</v>
      </c>
      <c r="BH23" s="3" t="e">
        <f>RA!AO480</f>
        <v>#VALUE!</v>
      </c>
    </row>
    <row r="24" spans="2:60" ht="16.5" thickBot="1" x14ac:dyDescent="0.3">
      <c r="B24" s="197"/>
      <c r="C24" s="160" t="str">
        <f>RA!C483</f>
        <v>Overall</v>
      </c>
      <c r="D24" s="172" t="e">
        <f>RA!AH483</f>
        <v>#VALUE!</v>
      </c>
      <c r="E24" s="143" t="e">
        <f>RA!AI483</f>
        <v>#VALUE!</v>
      </c>
      <c r="F24" s="143" t="e">
        <f>RA!AJ483</f>
        <v>#VALUE!</v>
      </c>
      <c r="G24" s="143" t="e">
        <f>RA!AL483</f>
        <v>#VALUE!</v>
      </c>
      <c r="H24" s="143" t="e">
        <f>RA!AN483</f>
        <v>#VALUE!</v>
      </c>
      <c r="I24" s="143" t="e">
        <f>RA!AP483</f>
        <v>#VALUE!</v>
      </c>
      <c r="J24" s="143" t="e">
        <f>RA!AH484</f>
        <v>#VALUE!</v>
      </c>
      <c r="K24" s="143" t="e">
        <f>RA!AI484</f>
        <v>#VALUE!</v>
      </c>
      <c r="L24" s="143" t="e">
        <f>RA!AJ484</f>
        <v>#VALUE!</v>
      </c>
      <c r="M24" s="143" t="e">
        <f>RA!AL484</f>
        <v>#VALUE!</v>
      </c>
      <c r="N24" s="143" t="e">
        <f>RA!AN484</f>
        <v>#VALUE!</v>
      </c>
      <c r="O24" s="143" t="e">
        <f>RA!AP484</f>
        <v>#VALUE!</v>
      </c>
      <c r="P24" s="143" t="e">
        <f>RA!AH485</f>
        <v>#VALUE!</v>
      </c>
      <c r="Q24" s="143" t="e">
        <f>RA!AI485</f>
        <v>#VALUE!</v>
      </c>
      <c r="R24" s="143" t="e">
        <f>RA!AJ485</f>
        <v>#VALUE!</v>
      </c>
      <c r="S24" s="143" t="e">
        <f>RA!AL485</f>
        <v>#VALUE!</v>
      </c>
      <c r="T24" s="143" t="e">
        <f>RA!AN485</f>
        <v>#VALUE!</v>
      </c>
      <c r="U24" s="173" t="e">
        <f>RA!AP485</f>
        <v>#VALUE!</v>
      </c>
      <c r="V24" s="137"/>
      <c r="W24" s="172" t="e">
        <f>RA!AG483</f>
        <v>#VALUE!</v>
      </c>
      <c r="X24" s="143" t="e">
        <f>RA!AK483</f>
        <v>#VALUE!</v>
      </c>
      <c r="Y24" s="143" t="e">
        <f>RA!AM483</f>
        <v>#VALUE!</v>
      </c>
      <c r="Z24" s="143" t="e">
        <f>RA!AO483</f>
        <v>#VALUE!</v>
      </c>
      <c r="AA24" s="143" t="e">
        <f>RA!AG484</f>
        <v>#VALUE!</v>
      </c>
      <c r="AB24" s="143" t="e">
        <f>RA!AK484</f>
        <v>#VALUE!</v>
      </c>
      <c r="AC24" s="143" t="e">
        <f>RA!AM484</f>
        <v>#VALUE!</v>
      </c>
      <c r="AD24" s="143" t="e">
        <f>RA!AO484</f>
        <v>#VALUE!</v>
      </c>
      <c r="AE24" s="143" t="e">
        <f>RA!AG485</f>
        <v>#VALUE!</v>
      </c>
      <c r="AF24" s="143" t="e">
        <f>RA!AK485</f>
        <v>#VALUE!</v>
      </c>
      <c r="AG24" s="143" t="e">
        <f>RA!AM485</f>
        <v>#VALUE!</v>
      </c>
      <c r="AH24" s="173" t="e">
        <f>RA!AO485</f>
        <v>#VALUE!</v>
      </c>
      <c r="AI24" s="137"/>
      <c r="AJ24" s="126" t="e">
        <f>RA!AG486</f>
        <v>#VALUE!</v>
      </c>
      <c r="AK24" s="127" t="e">
        <f>RA!AK486</f>
        <v>#VALUE!</v>
      </c>
      <c r="AL24" s="127" t="e">
        <f>RA!AM486</f>
        <v>#VALUE!</v>
      </c>
      <c r="AM24" s="127" t="e">
        <f>RA!AO486</f>
        <v>#VALUE!</v>
      </c>
      <c r="AN24" s="127" t="e">
        <f>RA!AG487</f>
        <v>#VALUE!</v>
      </c>
      <c r="AO24" s="127" t="e">
        <f>RA!AK487</f>
        <v>#VALUE!</v>
      </c>
      <c r="AP24" s="127" t="e">
        <f>RA!AM487</f>
        <v>#VALUE!</v>
      </c>
      <c r="AQ24" s="127" t="e">
        <f>RA!AO487</f>
        <v>#VALUE!</v>
      </c>
      <c r="AR24" s="127" t="e">
        <f>RA!AG488</f>
        <v>#VALUE!</v>
      </c>
      <c r="AS24" s="127" t="e">
        <f>RA!AK488</f>
        <v>#VALUE!</v>
      </c>
      <c r="AT24" s="127" t="e">
        <f>RA!AM488</f>
        <v>#VALUE!</v>
      </c>
      <c r="AU24" s="128" t="e">
        <f>RA!AO488</f>
        <v>#VALUE!</v>
      </c>
      <c r="AV24" s="137"/>
      <c r="AW24" s="121" t="e">
        <f>RA!AG489</f>
        <v>#VALUE!</v>
      </c>
      <c r="AX24" s="122" t="e">
        <f>RA!AK489</f>
        <v>#VALUE!</v>
      </c>
      <c r="AY24" s="122" t="e">
        <f>RA!AM489</f>
        <v>#VALUE!</v>
      </c>
      <c r="AZ24" s="122" t="e">
        <f>RA!AO489</f>
        <v>#VALUE!</v>
      </c>
      <c r="BA24" s="122" t="e">
        <f>RA!AG490</f>
        <v>#VALUE!</v>
      </c>
      <c r="BB24" s="122" t="e">
        <f>RA!AK490</f>
        <v>#VALUE!</v>
      </c>
      <c r="BC24" s="122" t="e">
        <f>RA!AM490</f>
        <v>#VALUE!</v>
      </c>
      <c r="BD24" s="122" t="e">
        <f>RA!AO490</f>
        <v>#VALUE!</v>
      </c>
      <c r="BE24" s="122" t="e">
        <f>RA!AG491</f>
        <v>#VALUE!</v>
      </c>
      <c r="BF24" s="122" t="e">
        <f>RA!AK491</f>
        <v>#VALUE!</v>
      </c>
      <c r="BG24" s="122" t="e">
        <f>RA!AM491</f>
        <v>#VALUE!</v>
      </c>
      <c r="BH24" s="123" t="e">
        <f>RA!AO491</f>
        <v>#VALUE!</v>
      </c>
    </row>
    <row r="25" spans="2:60" ht="8.1" customHeight="1" x14ac:dyDescent="0.25">
      <c r="B25" s="134"/>
      <c r="C25" s="136"/>
      <c r="D25" s="170"/>
      <c r="E25" s="137"/>
      <c r="F25" s="137"/>
      <c r="G25" s="137"/>
      <c r="H25" s="137"/>
      <c r="I25" s="137"/>
      <c r="J25" s="137"/>
      <c r="K25" s="137"/>
      <c r="L25" s="137"/>
      <c r="M25" s="137"/>
      <c r="N25" s="137"/>
      <c r="O25" s="137"/>
      <c r="P25" s="137"/>
      <c r="Q25" s="137"/>
      <c r="R25" s="137"/>
      <c r="S25" s="137"/>
      <c r="T25" s="137"/>
      <c r="U25" s="171"/>
      <c r="V25" s="137"/>
      <c r="W25" s="170"/>
      <c r="X25" s="137"/>
      <c r="Y25" s="137"/>
      <c r="Z25" s="137"/>
      <c r="AA25" s="137"/>
      <c r="AB25" s="137"/>
      <c r="AC25" s="137"/>
      <c r="AD25" s="137"/>
      <c r="AE25" s="137"/>
      <c r="AF25" s="137"/>
      <c r="AG25" s="137"/>
      <c r="AH25" s="171"/>
      <c r="AI25" s="137"/>
      <c r="AJ25" s="185"/>
      <c r="AK25" s="138"/>
      <c r="AL25" s="138"/>
      <c r="AM25" s="138"/>
      <c r="AN25" s="138"/>
      <c r="AO25" s="138"/>
      <c r="AP25" s="138"/>
      <c r="AQ25" s="138"/>
      <c r="AR25" s="138"/>
      <c r="AS25" s="138"/>
      <c r="AT25" s="138"/>
      <c r="AU25" s="151"/>
      <c r="AV25" s="137"/>
      <c r="AW25" s="185"/>
      <c r="AX25" s="138"/>
      <c r="AY25" s="138"/>
      <c r="AZ25" s="138"/>
      <c r="BA25" s="138"/>
      <c r="BB25" s="138"/>
      <c r="BC25" s="138"/>
      <c r="BD25" s="138"/>
      <c r="BE25" s="138"/>
      <c r="BF25" s="138"/>
      <c r="BG25" s="138"/>
      <c r="BH25" s="151"/>
    </row>
    <row r="26" spans="2:60" x14ac:dyDescent="0.25">
      <c r="B26" s="196"/>
      <c r="C26" s="158" t="str">
        <f>LD!C295</f>
        <v>Class A1_2K</v>
      </c>
      <c r="D26" s="166" t="e">
        <f>LD!AH295</f>
        <v>#VALUE!</v>
      </c>
      <c r="E26" s="114" t="e">
        <f>LD!AI295</f>
        <v>#VALUE!</v>
      </c>
      <c r="F26" s="114" t="e">
        <f>LD!AJ295</f>
        <v>#VALUE!</v>
      </c>
      <c r="G26" s="114" t="e">
        <f>LD!AL295</f>
        <v>#VALUE!</v>
      </c>
      <c r="H26" s="114" t="e">
        <f>LD!AN295</f>
        <v>#VALUE!</v>
      </c>
      <c r="I26" s="114" t="e">
        <f>LD!AP295</f>
        <v>#VALUE!</v>
      </c>
      <c r="J26" s="114" t="e">
        <f>LD!AH296</f>
        <v>#VALUE!</v>
      </c>
      <c r="K26" s="114" t="e">
        <f>LD!AI296</f>
        <v>#VALUE!</v>
      </c>
      <c r="L26" s="114" t="e">
        <f>LD!AJ296</f>
        <v>#VALUE!</v>
      </c>
      <c r="M26" s="114" t="e">
        <f>LD!AL296</f>
        <v>#VALUE!</v>
      </c>
      <c r="N26" s="114" t="e">
        <f>LD!AN296</f>
        <v>#VALUE!</v>
      </c>
      <c r="O26" s="114" t="e">
        <f>LD!AP296</f>
        <v>#VALUE!</v>
      </c>
      <c r="P26" s="114" t="e">
        <f>LD!AH297</f>
        <v>#VALUE!</v>
      </c>
      <c r="Q26" s="114" t="e">
        <f>LD!AI297</f>
        <v>#VALUE!</v>
      </c>
      <c r="R26" s="114" t="e">
        <f>LD!AJ297</f>
        <v>#VALUE!</v>
      </c>
      <c r="S26" s="114" t="e">
        <f>LD!AL297</f>
        <v>#VALUE!</v>
      </c>
      <c r="T26" s="114" t="e">
        <f>LD!AN297</f>
        <v>#VALUE!</v>
      </c>
      <c r="U26" s="167" t="e">
        <f>LD!AP297</f>
        <v>#VALUE!</v>
      </c>
      <c r="V26" s="154"/>
      <c r="W26" s="166" t="e">
        <f>LD!AG295</f>
        <v>#VALUE!</v>
      </c>
      <c r="X26" s="114" t="e">
        <f>LD!AK295</f>
        <v>#VALUE!</v>
      </c>
      <c r="Y26" s="114" t="e">
        <f>LD!AM295</f>
        <v>#VALUE!</v>
      </c>
      <c r="Z26" s="114" t="e">
        <f>LD!AO295</f>
        <v>#VALUE!</v>
      </c>
      <c r="AA26" s="114" t="e">
        <f>LD!AG296</f>
        <v>#VALUE!</v>
      </c>
      <c r="AB26" s="114" t="e">
        <f>LD!AK296</f>
        <v>#VALUE!</v>
      </c>
      <c r="AC26" s="114" t="e">
        <f>LD!AM296</f>
        <v>#VALUE!</v>
      </c>
      <c r="AD26" s="114" t="e">
        <f>LD!AO296</f>
        <v>#VALUE!</v>
      </c>
      <c r="AE26" s="114" t="e">
        <f>LD!AG297</f>
        <v>#VALUE!</v>
      </c>
      <c r="AF26" s="114" t="e">
        <f>LD!AK297</f>
        <v>#VALUE!</v>
      </c>
      <c r="AG26" s="114" t="e">
        <f>LD!AM297</f>
        <v>#VALUE!</v>
      </c>
      <c r="AH26" s="167" t="e">
        <f>LD!AO297</f>
        <v>#VALUE!</v>
      </c>
      <c r="AI26" s="154"/>
      <c r="AJ26" s="2" t="e">
        <f>LD!AG298</f>
        <v>#VALUE!</v>
      </c>
      <c r="AK26" s="1" t="e">
        <f>LD!AK298</f>
        <v>#VALUE!</v>
      </c>
      <c r="AL26" s="1" t="e">
        <f>LD!AM298</f>
        <v>#VALUE!</v>
      </c>
      <c r="AM26" s="1" t="e">
        <f>LD!AO298</f>
        <v>#VALUE!</v>
      </c>
      <c r="AN26" s="1" t="e">
        <f>LD!AG299</f>
        <v>#VALUE!</v>
      </c>
      <c r="AO26" s="1" t="e">
        <f>LD!AK299</f>
        <v>#VALUE!</v>
      </c>
      <c r="AP26" s="1" t="e">
        <f>LD!AM299</f>
        <v>#VALUE!</v>
      </c>
      <c r="AQ26" s="1" t="e">
        <f>LD!AO299</f>
        <v>#VALUE!</v>
      </c>
      <c r="AR26" s="1" t="e">
        <f>LD!AG300</f>
        <v>#VALUE!</v>
      </c>
      <c r="AS26" s="1" t="e">
        <f>LD!AK300</f>
        <v>#VALUE!</v>
      </c>
      <c r="AT26" s="1" t="e">
        <f>LD!AM300</f>
        <v>#VALUE!</v>
      </c>
      <c r="AU26" s="3" t="e">
        <f>LD!AO300</f>
        <v>#VALUE!</v>
      </c>
      <c r="AV26" s="154"/>
      <c r="AW26" s="2" t="e">
        <f>LD!AG301</f>
        <v>#VALUE!</v>
      </c>
      <c r="AX26" s="1" t="e">
        <f>LD!AK301</f>
        <v>#VALUE!</v>
      </c>
      <c r="AY26" s="1" t="e">
        <f>LD!AM301</f>
        <v>#VALUE!</v>
      </c>
      <c r="AZ26" s="1" t="e">
        <f>LD!AO301</f>
        <v>#VALUE!</v>
      </c>
      <c r="BA26" s="1" t="e">
        <f>LD!AG302</f>
        <v>#VALUE!</v>
      </c>
      <c r="BB26" s="1" t="e">
        <f>LD!AK302</f>
        <v>#VALUE!</v>
      </c>
      <c r="BC26" s="1" t="e">
        <f>LD!AM302</f>
        <v>#VALUE!</v>
      </c>
      <c r="BD26" s="1" t="e">
        <f>LD!AO302</f>
        <v>#VALUE!</v>
      </c>
      <c r="BE26" s="1" t="e">
        <f>LD!AG303</f>
        <v>#VALUE!</v>
      </c>
      <c r="BF26" s="1" t="e">
        <f>LD!AK303</f>
        <v>#VALUE!</v>
      </c>
      <c r="BG26" s="1" t="e">
        <f>LD!AM303</f>
        <v>#VALUE!</v>
      </c>
      <c r="BH26" s="3" t="e">
        <f>LD!AO303</f>
        <v>#VALUE!</v>
      </c>
    </row>
    <row r="27" spans="2:60" x14ac:dyDescent="0.25">
      <c r="B27" s="196"/>
      <c r="C27" s="158" t="str">
        <f>LD!C304</f>
        <v>Class A3_720p</v>
      </c>
      <c r="D27" s="166" t="e">
        <f>LD!AH304</f>
        <v>#VALUE!</v>
      </c>
      <c r="E27" s="114" t="e">
        <f>LD!AI304</f>
        <v>#VALUE!</v>
      </c>
      <c r="F27" s="114" t="e">
        <f>LD!AJ304</f>
        <v>#VALUE!</v>
      </c>
      <c r="G27" s="114" t="e">
        <f>LD!AL304</f>
        <v>#VALUE!</v>
      </c>
      <c r="H27" s="114" t="e">
        <f>LD!AN304</f>
        <v>#VALUE!</v>
      </c>
      <c r="I27" s="114" t="e">
        <f>LD!AP304</f>
        <v>#VALUE!</v>
      </c>
      <c r="J27" s="114" t="e">
        <f>LD!AH305</f>
        <v>#VALUE!</v>
      </c>
      <c r="K27" s="114" t="e">
        <f>LD!AI305</f>
        <v>#VALUE!</v>
      </c>
      <c r="L27" s="114" t="e">
        <f>LD!AJ305</f>
        <v>#VALUE!</v>
      </c>
      <c r="M27" s="114" t="e">
        <f>LD!AL305</f>
        <v>#VALUE!</v>
      </c>
      <c r="N27" s="114" t="e">
        <f>LD!AN305</f>
        <v>#VALUE!</v>
      </c>
      <c r="O27" s="114" t="e">
        <f>LD!AP305</f>
        <v>#VALUE!</v>
      </c>
      <c r="P27" s="114" t="e">
        <f>LD!AH306</f>
        <v>#VALUE!</v>
      </c>
      <c r="Q27" s="114" t="e">
        <f>LD!AI306</f>
        <v>#VALUE!</v>
      </c>
      <c r="R27" s="114" t="e">
        <f>LD!AJ306</f>
        <v>#VALUE!</v>
      </c>
      <c r="S27" s="114" t="e">
        <f>LD!AL306</f>
        <v>#VALUE!</v>
      </c>
      <c r="T27" s="114" t="e">
        <f>LD!AN306</f>
        <v>#VALUE!</v>
      </c>
      <c r="U27" s="167" t="e">
        <f>LD!AP306</f>
        <v>#VALUE!</v>
      </c>
      <c r="V27" s="154"/>
      <c r="W27" s="166" t="e">
        <f>LD!AG304</f>
        <v>#VALUE!</v>
      </c>
      <c r="X27" s="114" t="e">
        <f>LD!AK304</f>
        <v>#VALUE!</v>
      </c>
      <c r="Y27" s="114" t="e">
        <f>LD!AM304</f>
        <v>#VALUE!</v>
      </c>
      <c r="Z27" s="114" t="e">
        <f>LD!AO304</f>
        <v>#VALUE!</v>
      </c>
      <c r="AA27" s="114" t="e">
        <f>LD!AG305</f>
        <v>#VALUE!</v>
      </c>
      <c r="AB27" s="114" t="e">
        <f>LD!AK305</f>
        <v>#VALUE!</v>
      </c>
      <c r="AC27" s="114" t="e">
        <f>LD!AM305</f>
        <v>#VALUE!</v>
      </c>
      <c r="AD27" s="114" t="e">
        <f>LD!AO305</f>
        <v>#VALUE!</v>
      </c>
      <c r="AE27" s="114" t="e">
        <f>LD!AG306</f>
        <v>#VALUE!</v>
      </c>
      <c r="AF27" s="114" t="e">
        <f>LD!AK306</f>
        <v>#VALUE!</v>
      </c>
      <c r="AG27" s="114" t="e">
        <f>LD!AM306</f>
        <v>#VALUE!</v>
      </c>
      <c r="AH27" s="167" t="e">
        <f>LD!AO306</f>
        <v>#VALUE!</v>
      </c>
      <c r="AI27" s="154"/>
      <c r="AJ27" s="2" t="e">
        <f>LD!AG307</f>
        <v>#VALUE!</v>
      </c>
      <c r="AK27" s="1" t="e">
        <f>LD!AK307</f>
        <v>#VALUE!</v>
      </c>
      <c r="AL27" s="1" t="e">
        <f>LD!AM307</f>
        <v>#VALUE!</v>
      </c>
      <c r="AM27" s="1" t="e">
        <f>LD!AO307</f>
        <v>#VALUE!</v>
      </c>
      <c r="AN27" s="1" t="e">
        <f>LD!AG308</f>
        <v>#VALUE!</v>
      </c>
      <c r="AO27" s="1" t="e">
        <f>LD!AK308</f>
        <v>#VALUE!</v>
      </c>
      <c r="AP27" s="1" t="e">
        <f>LD!AM308</f>
        <v>#VALUE!</v>
      </c>
      <c r="AQ27" s="1" t="e">
        <f>LD!AO308</f>
        <v>#VALUE!</v>
      </c>
      <c r="AR27" s="1" t="e">
        <f>LD!AG309</f>
        <v>#VALUE!</v>
      </c>
      <c r="AS27" s="1" t="e">
        <f>LD!AK309</f>
        <v>#VALUE!</v>
      </c>
      <c r="AT27" s="1" t="e">
        <f>LD!AM309</f>
        <v>#VALUE!</v>
      </c>
      <c r="AU27" s="3" t="e">
        <f>LD!AO309</f>
        <v>#VALUE!</v>
      </c>
      <c r="AV27" s="154"/>
      <c r="AW27" s="2" t="e">
        <f>LD!AG310</f>
        <v>#VALUE!</v>
      </c>
      <c r="AX27" s="1" t="e">
        <f>LD!AK310</f>
        <v>#VALUE!</v>
      </c>
      <c r="AY27" s="1" t="e">
        <f>LD!AM310</f>
        <v>#VALUE!</v>
      </c>
      <c r="AZ27" s="1" t="e">
        <f>LD!AO310</f>
        <v>#VALUE!</v>
      </c>
      <c r="BA27" s="1" t="e">
        <f>LD!AG311</f>
        <v>#VALUE!</v>
      </c>
      <c r="BB27" s="1" t="e">
        <f>LD!AK311</f>
        <v>#VALUE!</v>
      </c>
      <c r="BC27" s="1" t="e">
        <f>LD!AM311</f>
        <v>#VALUE!</v>
      </c>
      <c r="BD27" s="1" t="e">
        <f>LD!AO311</f>
        <v>#VALUE!</v>
      </c>
      <c r="BE27" s="1" t="e">
        <f>LD!AG312</f>
        <v>#VALUE!</v>
      </c>
      <c r="BF27" s="1" t="e">
        <f>LD!AK312</f>
        <v>#VALUE!</v>
      </c>
      <c r="BG27" s="1" t="e">
        <f>LD!AM312</f>
        <v>#VALUE!</v>
      </c>
      <c r="BH27" s="3" t="e">
        <f>LD!AO312</f>
        <v>#VALUE!</v>
      </c>
    </row>
    <row r="28" spans="2:60" x14ac:dyDescent="0.25">
      <c r="B28" s="196"/>
      <c r="C28" s="158" t="str">
        <f>LD!C313</f>
        <v>Class A4_360p</v>
      </c>
      <c r="D28" s="166" t="e">
        <f>LD!AH313</f>
        <v>#VALUE!</v>
      </c>
      <c r="E28" s="114" t="e">
        <f>LD!AI313</f>
        <v>#VALUE!</v>
      </c>
      <c r="F28" s="114" t="e">
        <f>LD!AJ313</f>
        <v>#VALUE!</v>
      </c>
      <c r="G28" s="114" t="e">
        <f>LD!AL313</f>
        <v>#VALUE!</v>
      </c>
      <c r="H28" s="114" t="e">
        <f>LD!AN313</f>
        <v>#VALUE!</v>
      </c>
      <c r="I28" s="114" t="e">
        <f>LD!AP313</f>
        <v>#VALUE!</v>
      </c>
      <c r="J28" s="114" t="e">
        <f>LD!AH314</f>
        <v>#VALUE!</v>
      </c>
      <c r="K28" s="114" t="e">
        <f>LD!AI314</f>
        <v>#VALUE!</v>
      </c>
      <c r="L28" s="114" t="e">
        <f>LD!AJ314</f>
        <v>#VALUE!</v>
      </c>
      <c r="M28" s="114" t="e">
        <f>LD!AL314</f>
        <v>#VALUE!</v>
      </c>
      <c r="N28" s="114" t="e">
        <f>LD!AN314</f>
        <v>#VALUE!</v>
      </c>
      <c r="O28" s="114" t="e">
        <f>LD!AP314</f>
        <v>#VALUE!</v>
      </c>
      <c r="P28" s="114" t="e">
        <f>LD!AH315</f>
        <v>#VALUE!</v>
      </c>
      <c r="Q28" s="114" t="e">
        <f>LD!AI315</f>
        <v>#VALUE!</v>
      </c>
      <c r="R28" s="114" t="e">
        <f>LD!AJ315</f>
        <v>#VALUE!</v>
      </c>
      <c r="S28" s="114" t="e">
        <f>LD!AL315</f>
        <v>#VALUE!</v>
      </c>
      <c r="T28" s="114" t="e">
        <f>LD!AN315</f>
        <v>#VALUE!</v>
      </c>
      <c r="U28" s="167" t="e">
        <f>LD!AP315</f>
        <v>#VALUE!</v>
      </c>
      <c r="V28" s="154"/>
      <c r="W28" s="166" t="e">
        <f>LD!AG313</f>
        <v>#VALUE!</v>
      </c>
      <c r="X28" s="114" t="e">
        <f>LD!AK313</f>
        <v>#VALUE!</v>
      </c>
      <c r="Y28" s="114" t="e">
        <f>LD!AM313</f>
        <v>#VALUE!</v>
      </c>
      <c r="Z28" s="114" t="e">
        <f>LD!AO313</f>
        <v>#VALUE!</v>
      </c>
      <c r="AA28" s="114" t="e">
        <f>LD!AG314</f>
        <v>#VALUE!</v>
      </c>
      <c r="AB28" s="114" t="e">
        <f>LD!AK314</f>
        <v>#VALUE!</v>
      </c>
      <c r="AC28" s="114" t="e">
        <f>LD!AM314</f>
        <v>#VALUE!</v>
      </c>
      <c r="AD28" s="114" t="e">
        <f>LD!AO314</f>
        <v>#VALUE!</v>
      </c>
      <c r="AE28" s="114" t="e">
        <f>LD!AG315</f>
        <v>#VALUE!</v>
      </c>
      <c r="AF28" s="114" t="e">
        <f>LD!AK315</f>
        <v>#VALUE!</v>
      </c>
      <c r="AG28" s="114" t="e">
        <f>LD!AM315</f>
        <v>#VALUE!</v>
      </c>
      <c r="AH28" s="167" t="e">
        <f>LD!AO315</f>
        <v>#VALUE!</v>
      </c>
      <c r="AI28" s="154"/>
      <c r="AJ28" s="2" t="e">
        <f>LD!AG316</f>
        <v>#VALUE!</v>
      </c>
      <c r="AK28" s="1" t="e">
        <f>LD!AK316</f>
        <v>#VALUE!</v>
      </c>
      <c r="AL28" s="1" t="e">
        <f>LD!AM316</f>
        <v>#VALUE!</v>
      </c>
      <c r="AM28" s="1" t="e">
        <f>LD!AO316</f>
        <v>#VALUE!</v>
      </c>
      <c r="AN28" s="1" t="e">
        <f>LD!AG317</f>
        <v>#VALUE!</v>
      </c>
      <c r="AO28" s="1" t="e">
        <f>LD!AK317</f>
        <v>#VALUE!</v>
      </c>
      <c r="AP28" s="1" t="e">
        <f>LD!AM317</f>
        <v>#VALUE!</v>
      </c>
      <c r="AQ28" s="1" t="e">
        <f>LD!AO317</f>
        <v>#VALUE!</v>
      </c>
      <c r="AR28" s="1" t="e">
        <f>LD!AG318</f>
        <v>#VALUE!</v>
      </c>
      <c r="AS28" s="1" t="e">
        <f>LD!AK318</f>
        <v>#VALUE!</v>
      </c>
      <c r="AT28" s="1" t="e">
        <f>LD!AM318</f>
        <v>#VALUE!</v>
      </c>
      <c r="AU28" s="3" t="e">
        <f>LD!AO318</f>
        <v>#VALUE!</v>
      </c>
      <c r="AV28" s="154"/>
      <c r="AW28" s="2" t="e">
        <f>LD!AG319</f>
        <v>#VALUE!</v>
      </c>
      <c r="AX28" s="1" t="e">
        <f>LD!AK319</f>
        <v>#VALUE!</v>
      </c>
      <c r="AY28" s="1" t="e">
        <f>LD!AM319</f>
        <v>#VALUE!</v>
      </c>
      <c r="AZ28" s="1" t="e">
        <f>LD!AO319</f>
        <v>#VALUE!</v>
      </c>
      <c r="BA28" s="1" t="e">
        <f>LD!AG320</f>
        <v>#VALUE!</v>
      </c>
      <c r="BB28" s="1" t="e">
        <f>LD!AK320</f>
        <v>#VALUE!</v>
      </c>
      <c r="BC28" s="1" t="e">
        <f>LD!AM320</f>
        <v>#VALUE!</v>
      </c>
      <c r="BD28" s="1" t="e">
        <f>LD!AO320</f>
        <v>#VALUE!</v>
      </c>
      <c r="BE28" s="1" t="e">
        <f>LD!AG321</f>
        <v>#VALUE!</v>
      </c>
      <c r="BF28" s="1" t="e">
        <f>LD!AK321</f>
        <v>#VALUE!</v>
      </c>
      <c r="BG28" s="1" t="e">
        <f>LD!AM321</f>
        <v>#VALUE!</v>
      </c>
      <c r="BH28" s="3" t="e">
        <f>LD!AO321</f>
        <v>#VALUE!</v>
      </c>
    </row>
    <row r="29" spans="2:60" x14ac:dyDescent="0.25">
      <c r="B29" s="196"/>
      <c r="C29" s="158" t="str">
        <f>LD!C322</f>
        <v>Class A5_270p</v>
      </c>
      <c r="D29" s="166">
        <f>LD!AH322</f>
        <v>-0.21829619151660773</v>
      </c>
      <c r="E29" s="114">
        <f>LD!AI322</f>
        <v>-0.19705409131804794</v>
      </c>
      <c r="F29" s="114">
        <f>LD!AJ322</f>
        <v>-0.22861964171130875</v>
      </c>
      <c r="G29" s="114">
        <f>LD!AL322</f>
        <v>-0.21996800935427213</v>
      </c>
      <c r="H29" s="114">
        <f>LD!AN322</f>
        <v>-0.2077442377989844</v>
      </c>
      <c r="I29" s="114">
        <f>LD!AP322</f>
        <v>-0.16192386093083494</v>
      </c>
      <c r="J29" s="114">
        <f>LD!AH323</f>
        <v>-0.33305958719283879</v>
      </c>
      <c r="K29" s="114">
        <f>LD!AI323</f>
        <v>-0.24733626461605129</v>
      </c>
      <c r="L29" s="114">
        <f>LD!AJ323</f>
        <v>-0.31403503899055218</v>
      </c>
      <c r="M29" s="114">
        <f>LD!AL323</f>
        <v>-0.33395251092735811</v>
      </c>
      <c r="N29" s="114">
        <f>LD!AN323</f>
        <v>-0.307809924088708</v>
      </c>
      <c r="O29" s="114">
        <f>LD!AP323</f>
        <v>-0.20484570399999102</v>
      </c>
      <c r="P29" s="114">
        <f>LD!AH324</f>
        <v>-0.13138895710511844</v>
      </c>
      <c r="Q29" s="114">
        <f>LD!AI324</f>
        <v>-0.11811283758149838</v>
      </c>
      <c r="R29" s="114">
        <f>LD!AJ324</f>
        <v>-0.10916921767754373</v>
      </c>
      <c r="S29" s="114">
        <f>LD!AL324</f>
        <v>-0.13447409712585534</v>
      </c>
      <c r="T29" s="114">
        <f>LD!AN324</f>
        <v>-0.13574734650694364</v>
      </c>
      <c r="U29" s="167">
        <f>LD!AP324</f>
        <v>-6.2926684475493322E-2</v>
      </c>
      <c r="V29" s="154"/>
      <c r="W29" s="166">
        <f>LD!AG322</f>
        <v>2.4721827973419042E-3</v>
      </c>
      <c r="X29" s="114">
        <f>LD!AK322</f>
        <v>-0.22911545912498305</v>
      </c>
      <c r="Y29" s="114">
        <f>LD!AM322</f>
        <v>-0.2222327442773096</v>
      </c>
      <c r="Z29" s="114">
        <f>LD!AO322</f>
        <v>-0.20849251659361684</v>
      </c>
      <c r="AA29" s="114">
        <f>LD!AG323</f>
        <v>7.0180282035958719E-4</v>
      </c>
      <c r="AB29" s="114">
        <f>LD!AK323</f>
        <v>-0.31727125027782321</v>
      </c>
      <c r="AC29" s="114">
        <f>LD!AM323</f>
        <v>-0.29906301264047042</v>
      </c>
      <c r="AD29" s="114">
        <f>LD!AO323</f>
        <v>-0.24346039900537364</v>
      </c>
      <c r="AE29" s="114">
        <f>LD!AG324</f>
        <v>4.6573268459983996E-3</v>
      </c>
      <c r="AF29" s="114">
        <f>LD!AK324</f>
        <v>-0.13904675831174185</v>
      </c>
      <c r="AG29" s="114">
        <f>LD!AM324</f>
        <v>-0.13996956655416293</v>
      </c>
      <c r="AH29" s="167">
        <f>LD!AO324</f>
        <v>-0.13524840892574319</v>
      </c>
      <c r="AI29" s="154"/>
      <c r="AJ29" s="2">
        <f>LD!AG325</f>
        <v>2.4126944018537655E-3</v>
      </c>
      <c r="AK29" s="1">
        <f>LD!AK325</f>
        <v>-0.22872245867872093</v>
      </c>
      <c r="AL29" s="1">
        <f>LD!AM325</f>
        <v>-0.21928900170948434</v>
      </c>
      <c r="AM29" s="1">
        <f>LD!AO325</f>
        <v>-0.18911348323970684</v>
      </c>
      <c r="AN29" s="1">
        <f>LD!AG326</f>
        <v>9.0457068947280561E-5</v>
      </c>
      <c r="AO29" s="1">
        <f>LD!AK326</f>
        <v>-0.35062630200036449</v>
      </c>
      <c r="AP29" s="1">
        <f>LD!AM326</f>
        <v>-0.33377783211094747</v>
      </c>
      <c r="AQ29" s="1">
        <f>LD!AO326</f>
        <v>-0.2413999346910819</v>
      </c>
      <c r="AR29" s="1">
        <f>LD!AG327</f>
        <v>6.8699410154509088E-3</v>
      </c>
      <c r="AS29" s="1">
        <f>LD!AK327</f>
        <v>-0.14109043827660239</v>
      </c>
      <c r="AT29" s="1">
        <f>LD!AM327</f>
        <v>-0.14068417096759889</v>
      </c>
      <c r="AU29" s="3">
        <f>LD!AO327</f>
        <v>-9.3208507171599786E-2</v>
      </c>
      <c r="AV29" s="154"/>
      <c r="AW29" s="2">
        <f>LD!AG328</f>
        <v>4.6882960224639558E-4</v>
      </c>
      <c r="AX29" s="1">
        <f>LD!AK328</f>
        <v>-0.21628857045103969</v>
      </c>
      <c r="AY29" s="1">
        <f>LD!AM328</f>
        <v>-0.19947067324807816</v>
      </c>
      <c r="AZ29" s="1">
        <f>LD!AO328</f>
        <v>-0.15256853463136194</v>
      </c>
      <c r="BA29" s="1">
        <f>LD!AG329</f>
        <v>-3.1866440066448121E-3</v>
      </c>
      <c r="BB29" s="1">
        <f>LD!AK329</f>
        <v>-0.36279865482374496</v>
      </c>
      <c r="BC29" s="1">
        <f>LD!AM329</f>
        <v>-0.32811059091548278</v>
      </c>
      <c r="BD29" s="1">
        <f>LD!AO329</f>
        <v>-0.19917856374566489</v>
      </c>
      <c r="BE29" s="1">
        <f>LD!AG330</f>
        <v>5.4550531690584769E-3</v>
      </c>
      <c r="BF29" s="1">
        <f>LD!AK330</f>
        <v>-0.1320486067793325</v>
      </c>
      <c r="BG29" s="1">
        <f>LD!AM330</f>
        <v>-0.13371099272641229</v>
      </c>
      <c r="BH29" s="3">
        <f>LD!AO330</f>
        <v>-4.7299282465810055E-2</v>
      </c>
    </row>
    <row r="30" spans="2:60" x14ac:dyDescent="0.25">
      <c r="B30" s="196"/>
      <c r="C30" s="158" t="str">
        <f>LD!C331</f>
        <v>Class B1_SYN</v>
      </c>
      <c r="D30" s="166" t="e">
        <f>LD!AH331</f>
        <v>#VALUE!</v>
      </c>
      <c r="E30" s="114" t="e">
        <f>LD!AI331</f>
        <v>#VALUE!</v>
      </c>
      <c r="F30" s="114" t="e">
        <f>LD!AJ331</f>
        <v>#VALUE!</v>
      </c>
      <c r="G30" s="114" t="e">
        <f>LD!AL331</f>
        <v>#VALUE!</v>
      </c>
      <c r="H30" s="114" t="e">
        <f>LD!AN331</f>
        <v>#VALUE!</v>
      </c>
      <c r="I30" s="114" t="e">
        <f>LD!AP331</f>
        <v>#VALUE!</v>
      </c>
      <c r="J30" s="114" t="e">
        <f>LD!AH332</f>
        <v>#VALUE!</v>
      </c>
      <c r="K30" s="114" t="e">
        <f>LD!AI332</f>
        <v>#VALUE!</v>
      </c>
      <c r="L30" s="114" t="e">
        <f>LD!AJ332</f>
        <v>#VALUE!</v>
      </c>
      <c r="M30" s="114" t="e">
        <f>LD!AL332</f>
        <v>#VALUE!</v>
      </c>
      <c r="N30" s="114" t="e">
        <f>LD!AN332</f>
        <v>#VALUE!</v>
      </c>
      <c r="O30" s="114" t="e">
        <f>LD!AP332</f>
        <v>#VALUE!</v>
      </c>
      <c r="P30" s="114" t="e">
        <f>LD!AH333</f>
        <v>#VALUE!</v>
      </c>
      <c r="Q30" s="114" t="e">
        <f>LD!AI333</f>
        <v>#VALUE!</v>
      </c>
      <c r="R30" s="114" t="e">
        <f>LD!AJ333</f>
        <v>#VALUE!</v>
      </c>
      <c r="S30" s="114" t="e">
        <f>LD!AL333</f>
        <v>#VALUE!</v>
      </c>
      <c r="T30" s="114" t="e">
        <f>LD!AN333</f>
        <v>#VALUE!</v>
      </c>
      <c r="U30" s="167" t="e">
        <f>LD!AP333</f>
        <v>#VALUE!</v>
      </c>
      <c r="V30" s="154"/>
      <c r="W30" s="166" t="e">
        <f>LD!AG331</f>
        <v>#VALUE!</v>
      </c>
      <c r="X30" s="114" t="e">
        <f>LD!AK331</f>
        <v>#VALUE!</v>
      </c>
      <c r="Y30" s="114" t="e">
        <f>LD!AM331</f>
        <v>#VALUE!</v>
      </c>
      <c r="Z30" s="114" t="e">
        <f>LD!AO331</f>
        <v>#VALUE!</v>
      </c>
      <c r="AA30" s="114" t="e">
        <f>LD!AG332</f>
        <v>#VALUE!</v>
      </c>
      <c r="AB30" s="114" t="e">
        <f>LD!AK332</f>
        <v>#VALUE!</v>
      </c>
      <c r="AC30" s="114" t="e">
        <f>LD!AM332</f>
        <v>#VALUE!</v>
      </c>
      <c r="AD30" s="114" t="e">
        <f>LD!AO332</f>
        <v>#VALUE!</v>
      </c>
      <c r="AE30" s="114" t="e">
        <f>LD!AG333</f>
        <v>#VALUE!</v>
      </c>
      <c r="AF30" s="114" t="e">
        <f>LD!AK333</f>
        <v>#VALUE!</v>
      </c>
      <c r="AG30" s="114" t="e">
        <f>LD!AM333</f>
        <v>#VALUE!</v>
      </c>
      <c r="AH30" s="167" t="e">
        <f>LD!AO333</f>
        <v>#VALUE!</v>
      </c>
      <c r="AI30" s="154"/>
      <c r="AJ30" s="2" t="e">
        <f>LD!AG334</f>
        <v>#VALUE!</v>
      </c>
      <c r="AK30" s="1" t="e">
        <f>LD!AK334</f>
        <v>#VALUE!</v>
      </c>
      <c r="AL30" s="1" t="e">
        <f>LD!AM334</f>
        <v>#VALUE!</v>
      </c>
      <c r="AM30" s="1" t="e">
        <f>LD!AO334</f>
        <v>#VALUE!</v>
      </c>
      <c r="AN30" s="1" t="e">
        <f>LD!AG335</f>
        <v>#VALUE!</v>
      </c>
      <c r="AO30" s="1" t="e">
        <f>LD!AK335</f>
        <v>#VALUE!</v>
      </c>
      <c r="AP30" s="1" t="e">
        <f>LD!AM335</f>
        <v>#VALUE!</v>
      </c>
      <c r="AQ30" s="1" t="e">
        <f>LD!AO335</f>
        <v>#VALUE!</v>
      </c>
      <c r="AR30" s="1" t="e">
        <f>LD!AG336</f>
        <v>#VALUE!</v>
      </c>
      <c r="AS30" s="1" t="e">
        <f>LD!AK336</f>
        <v>#VALUE!</v>
      </c>
      <c r="AT30" s="1" t="e">
        <f>LD!AM336</f>
        <v>#VALUE!</v>
      </c>
      <c r="AU30" s="3" t="e">
        <f>LD!AO336</f>
        <v>#VALUE!</v>
      </c>
      <c r="AV30" s="154"/>
      <c r="AW30" s="2" t="e">
        <f>LD!AG337</f>
        <v>#VALUE!</v>
      </c>
      <c r="AX30" s="1" t="e">
        <f>LD!AK337</f>
        <v>#VALUE!</v>
      </c>
      <c r="AY30" s="1" t="e">
        <f>LD!AM337</f>
        <v>#VALUE!</v>
      </c>
      <c r="AZ30" s="1" t="e">
        <f>LD!AO337</f>
        <v>#VALUE!</v>
      </c>
      <c r="BA30" s="1" t="e">
        <f>LD!AG338</f>
        <v>#VALUE!</v>
      </c>
      <c r="BB30" s="1" t="e">
        <f>LD!AK338</f>
        <v>#VALUE!</v>
      </c>
      <c r="BC30" s="1" t="e">
        <f>LD!AM338</f>
        <v>#VALUE!</v>
      </c>
      <c r="BD30" s="1" t="e">
        <f>LD!AO338</f>
        <v>#VALUE!</v>
      </c>
      <c r="BE30" s="1" t="e">
        <f>LD!AG339</f>
        <v>#VALUE!</v>
      </c>
      <c r="BF30" s="1" t="e">
        <f>LD!AK339</f>
        <v>#VALUE!</v>
      </c>
      <c r="BG30" s="1" t="e">
        <f>LD!AM339</f>
        <v>#VALUE!</v>
      </c>
      <c r="BH30" s="3" t="e">
        <f>LD!AO339</f>
        <v>#VALUE!</v>
      </c>
    </row>
    <row r="31" spans="2:60" ht="16.5" thickBot="1" x14ac:dyDescent="0.3">
      <c r="B31" s="197"/>
      <c r="C31" s="160" t="str">
        <f>LD!C342</f>
        <v>Overall</v>
      </c>
      <c r="D31" s="172" t="e">
        <f>LD!AH342</f>
        <v>#VALUE!</v>
      </c>
      <c r="E31" s="143" t="e">
        <f>LD!AI342</f>
        <v>#VALUE!</v>
      </c>
      <c r="F31" s="143" t="e">
        <f>LD!AJ342</f>
        <v>#VALUE!</v>
      </c>
      <c r="G31" s="143" t="e">
        <f>LD!AL342</f>
        <v>#VALUE!</v>
      </c>
      <c r="H31" s="143" t="e">
        <f>LD!AN342</f>
        <v>#VALUE!</v>
      </c>
      <c r="I31" s="143" t="e">
        <f>LD!AP342</f>
        <v>#VALUE!</v>
      </c>
      <c r="J31" s="143" t="e">
        <f>LD!AH343</f>
        <v>#VALUE!</v>
      </c>
      <c r="K31" s="143" t="e">
        <f>LD!AI343</f>
        <v>#VALUE!</v>
      </c>
      <c r="L31" s="143" t="e">
        <f>LD!AJ343</f>
        <v>#VALUE!</v>
      </c>
      <c r="M31" s="143" t="e">
        <f>LD!AL343</f>
        <v>#VALUE!</v>
      </c>
      <c r="N31" s="143" t="e">
        <f>LD!AN343</f>
        <v>#VALUE!</v>
      </c>
      <c r="O31" s="143" t="e">
        <f>LD!AP343</f>
        <v>#VALUE!</v>
      </c>
      <c r="P31" s="143" t="e">
        <f>LD!AH344</f>
        <v>#VALUE!</v>
      </c>
      <c r="Q31" s="143" t="e">
        <f>LD!AI344</f>
        <v>#VALUE!</v>
      </c>
      <c r="R31" s="143" t="e">
        <f>LD!AJ344</f>
        <v>#VALUE!</v>
      </c>
      <c r="S31" s="143" t="e">
        <f>LD!AL344</f>
        <v>#VALUE!</v>
      </c>
      <c r="T31" s="143" t="e">
        <f>LD!AN344</f>
        <v>#VALUE!</v>
      </c>
      <c r="U31" s="173" t="e">
        <f>LD!AP344</f>
        <v>#VALUE!</v>
      </c>
      <c r="V31" s="178"/>
      <c r="W31" s="172" t="e">
        <f>LD!AG342</f>
        <v>#VALUE!</v>
      </c>
      <c r="X31" s="143" t="e">
        <f>LD!AK342</f>
        <v>#VALUE!</v>
      </c>
      <c r="Y31" s="143" t="e">
        <f>LD!AM342</f>
        <v>#VALUE!</v>
      </c>
      <c r="Z31" s="143" t="e">
        <f>LD!AO342</f>
        <v>#VALUE!</v>
      </c>
      <c r="AA31" s="143" t="e">
        <f>LD!AG343</f>
        <v>#VALUE!</v>
      </c>
      <c r="AB31" s="143" t="e">
        <f>LD!AK343</f>
        <v>#VALUE!</v>
      </c>
      <c r="AC31" s="143" t="e">
        <f>LD!AM343</f>
        <v>#VALUE!</v>
      </c>
      <c r="AD31" s="143" t="e">
        <f>LD!AO343</f>
        <v>#VALUE!</v>
      </c>
      <c r="AE31" s="143" t="e">
        <f>LD!AG344</f>
        <v>#VALUE!</v>
      </c>
      <c r="AF31" s="143" t="e">
        <f>LD!AK344</f>
        <v>#VALUE!</v>
      </c>
      <c r="AG31" s="143" t="e">
        <f>LD!AM344</f>
        <v>#VALUE!</v>
      </c>
      <c r="AH31" s="173" t="e">
        <f>LD!AO344</f>
        <v>#VALUE!</v>
      </c>
      <c r="AI31" s="178"/>
      <c r="AJ31" s="126" t="e">
        <f>LD!AG345</f>
        <v>#VALUE!</v>
      </c>
      <c r="AK31" s="127" t="e">
        <f>LD!AK345</f>
        <v>#VALUE!</v>
      </c>
      <c r="AL31" s="127" t="e">
        <f>LD!AM345</f>
        <v>#VALUE!</v>
      </c>
      <c r="AM31" s="127" t="e">
        <f>LD!AO345</f>
        <v>#VALUE!</v>
      </c>
      <c r="AN31" s="127" t="e">
        <f>LD!AG346</f>
        <v>#VALUE!</v>
      </c>
      <c r="AO31" s="127" t="e">
        <f>LD!AK346</f>
        <v>#VALUE!</v>
      </c>
      <c r="AP31" s="127" t="e">
        <f>LD!AM346</f>
        <v>#VALUE!</v>
      </c>
      <c r="AQ31" s="127" t="e">
        <f>LD!AO346</f>
        <v>#VALUE!</v>
      </c>
      <c r="AR31" s="127" t="e">
        <f>LD!AG347</f>
        <v>#VALUE!</v>
      </c>
      <c r="AS31" s="127" t="e">
        <f>LD!AK347</f>
        <v>#VALUE!</v>
      </c>
      <c r="AT31" s="127" t="e">
        <f>LD!AM347</f>
        <v>#VALUE!</v>
      </c>
      <c r="AU31" s="128" t="e">
        <f>LD!AO347</f>
        <v>#VALUE!</v>
      </c>
      <c r="AV31" s="178"/>
      <c r="AW31" s="121" t="e">
        <f>LD!AG348</f>
        <v>#VALUE!</v>
      </c>
      <c r="AX31" s="122" t="e">
        <f>LD!AK348</f>
        <v>#VALUE!</v>
      </c>
      <c r="AY31" s="122" t="e">
        <f>LD!AM348</f>
        <v>#VALUE!</v>
      </c>
      <c r="AZ31" s="122" t="e">
        <f>LD!AO348</f>
        <v>#VALUE!</v>
      </c>
      <c r="BA31" s="122" t="e">
        <f>LD!AG349</f>
        <v>#VALUE!</v>
      </c>
      <c r="BB31" s="122" t="e">
        <f>LD!AK349</f>
        <v>#VALUE!</v>
      </c>
      <c r="BC31" s="122" t="e">
        <f>LD!AM349</f>
        <v>#VALUE!</v>
      </c>
      <c r="BD31" s="122" t="e">
        <f>LD!AO349</f>
        <v>#VALUE!</v>
      </c>
      <c r="BE31" s="122" t="e">
        <f>LD!AG350</f>
        <v>#VALUE!</v>
      </c>
      <c r="BF31" s="122" t="e">
        <f>LD!AK350</f>
        <v>#VALUE!</v>
      </c>
      <c r="BG31" s="122" t="e">
        <f>LD!AM350</f>
        <v>#VALUE!</v>
      </c>
      <c r="BH31" s="123" t="e">
        <f>LD!AO350</f>
        <v>#VALUE!</v>
      </c>
    </row>
  </sheetData>
  <mergeCells count="22">
    <mergeCell ref="B6:B14"/>
    <mergeCell ref="B16:B24"/>
    <mergeCell ref="B26:B31"/>
    <mergeCell ref="AW2:BH2"/>
    <mergeCell ref="AW3:AZ3"/>
    <mergeCell ref="BA3:BD3"/>
    <mergeCell ref="BE3:BH3"/>
    <mergeCell ref="AJ2:AU2"/>
    <mergeCell ref="AJ3:AM3"/>
    <mergeCell ref="AN3:AQ3"/>
    <mergeCell ref="AR3:AU3"/>
    <mergeCell ref="W2:AH2"/>
    <mergeCell ref="W3:Z3"/>
    <mergeCell ref="AA3:AD3"/>
    <mergeCell ref="AE3:AH3"/>
    <mergeCell ref="D3:I3"/>
    <mergeCell ref="D2:U2"/>
    <mergeCell ref="D4:F4"/>
    <mergeCell ref="J3:O3"/>
    <mergeCell ref="J4:L4"/>
    <mergeCell ref="P3:U3"/>
    <mergeCell ref="P4:R4"/>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AP517"/>
  <sheetViews>
    <sheetView zoomScale="80" zoomScaleNormal="80" workbookViewId="0">
      <pane xSplit="8700" ySplit="1620" topLeftCell="F244" activePane="bottomRight"/>
      <selection pane="topRight" activeCell="F1" sqref="F1"/>
      <selection pane="bottomLeft" activeCell="A4" sqref="A4"/>
      <selection pane="bottomRight" activeCell="I250" sqref="I250"/>
    </sheetView>
  </sheetViews>
  <sheetFormatPr defaultColWidth="11" defaultRowHeight="17.100000000000001" customHeight="1" outlineLevelRow="5" outlineLevelCol="1" x14ac:dyDescent="0.25"/>
  <cols>
    <col min="1" max="1" width="4" style="4" bestFit="1" customWidth="1"/>
    <col min="2" max="2" width="8.625" style="4" bestFit="1" customWidth="1"/>
    <col min="3" max="3" width="45.5" style="4" bestFit="1" customWidth="1"/>
    <col min="4" max="4" width="5.375" style="6" bestFit="1" customWidth="1"/>
    <col min="5" max="5" width="7.375" style="4" bestFit="1" customWidth="1"/>
    <col min="6" max="6" width="7.125" style="6" customWidth="1" outlineLevel="1"/>
    <col min="7" max="7" width="8.875" style="6" customWidth="1" outlineLevel="1"/>
    <col min="8" max="10" width="5.625" style="6" customWidth="1" outlineLevel="1"/>
    <col min="11" max="11" width="8.125" style="6" customWidth="1" outlineLevel="1"/>
    <col min="12" max="12" width="10.875" style="6" customWidth="1" outlineLevel="1"/>
    <col min="13" max="13" width="5.5" style="6" customWidth="1" outlineLevel="1"/>
    <col min="14" max="14" width="8" style="6" customWidth="1" outlineLevel="1"/>
    <col min="15" max="16" width="7.5" style="6" customWidth="1" outlineLevel="1"/>
    <col min="17" max="17" width="2.875" style="4" customWidth="1" outlineLevel="1"/>
    <col min="18" max="18" width="8.875" style="4" customWidth="1" outlineLevel="1"/>
    <col min="19" max="21" width="5.625" style="4" customWidth="1" outlineLevel="1"/>
    <col min="22" max="22" width="8.125" style="4" bestFit="1" customWidth="1" outlineLevel="1"/>
    <col min="23" max="23" width="10.875" style="4" bestFit="1" customWidth="1" outlineLevel="1"/>
    <col min="24" max="24" width="5.5" style="4" customWidth="1" outlineLevel="1"/>
    <col min="25" max="25" width="8" style="4" customWidth="1" outlineLevel="1"/>
    <col min="26" max="27" width="7.5" style="4" customWidth="1" outlineLevel="1"/>
    <col min="28" max="28" width="4.875" style="4" customWidth="1" outlineLevel="1"/>
    <col min="29" max="29" width="6.375" style="4" customWidth="1" outlineLevel="1"/>
    <col min="30" max="30" width="2.875" style="4" customWidth="1"/>
    <col min="31" max="31" width="4" style="4" bestFit="1" customWidth="1"/>
    <col min="32" max="32" width="3" style="4" bestFit="1" customWidth="1"/>
    <col min="33" max="33" width="10.875" style="6" customWidth="1"/>
    <col min="34" max="36" width="10.875" style="4" customWidth="1"/>
    <col min="37" max="37" width="10.875" style="6" customWidth="1"/>
    <col min="38" max="38" width="10.875" style="4" customWidth="1"/>
    <col min="39" max="39" width="10.875" style="6" customWidth="1"/>
    <col min="40" max="40" width="10.875" style="4" customWidth="1"/>
    <col min="41" max="41" width="10.875" style="6" customWidth="1"/>
    <col min="42" max="42" width="10.875" style="4" customWidth="1"/>
    <col min="43" max="271" width="8.875" style="4" customWidth="1"/>
    <col min="272" max="272" width="8.375" style="4" customWidth="1"/>
    <col min="273" max="273" width="14.875" style="4" customWidth="1"/>
    <col min="274" max="274" width="7.875" style="4" customWidth="1"/>
    <col min="275" max="275" width="9.875" style="4" customWidth="1"/>
    <col min="276" max="278" width="6.875" style="4" customWidth="1"/>
    <col min="279" max="281" width="8.875" style="4" customWidth="1"/>
    <col min="282" max="282" width="2.875" style="4" customWidth="1"/>
    <col min="283" max="283" width="9.875" style="4" customWidth="1"/>
    <col min="284" max="286" width="6.875" style="4" customWidth="1"/>
    <col min="287" max="289" width="8.875" style="4" customWidth="1"/>
    <col min="290" max="291" width="5.125" style="4" customWidth="1"/>
    <col min="292" max="292" width="2.875" style="4" customWidth="1"/>
    <col min="293" max="527" width="8.875" style="4" customWidth="1"/>
    <col min="528" max="528" width="8.375" style="4" customWidth="1"/>
    <col min="529" max="529" width="14.875" style="4" customWidth="1"/>
    <col min="530" max="530" width="7.875" style="4" customWidth="1"/>
    <col min="531" max="531" width="9.875" style="4" customWidth="1"/>
    <col min="532" max="534" width="6.875" style="4" customWidth="1"/>
    <col min="535" max="537" width="8.875" style="4" customWidth="1"/>
    <col min="538" max="538" width="2.875" style="4" customWidth="1"/>
    <col min="539" max="539" width="9.875" style="4" customWidth="1"/>
    <col min="540" max="542" width="6.875" style="4" customWidth="1"/>
    <col min="543" max="545" width="8.875" style="4" customWidth="1"/>
    <col min="546" max="547" width="5.125" style="4" customWidth="1"/>
    <col min="548" max="548" width="2.875" style="4" customWidth="1"/>
    <col min="549" max="783" width="8.875" style="4" customWidth="1"/>
    <col min="784" max="784" width="8.375" style="4" customWidth="1"/>
    <col min="785" max="785" width="14.875" style="4" customWidth="1"/>
    <col min="786" max="786" width="7.875" style="4" customWidth="1"/>
    <col min="787" max="787" width="9.875" style="4" customWidth="1"/>
    <col min="788" max="790" width="6.875" style="4" customWidth="1"/>
    <col min="791" max="793" width="8.875" style="4" customWidth="1"/>
    <col min="794" max="794" width="2.875" style="4" customWidth="1"/>
    <col min="795" max="795" width="9.875" style="4" customWidth="1"/>
    <col min="796" max="798" width="6.875" style="4" customWidth="1"/>
    <col min="799" max="801" width="8.875" style="4" customWidth="1"/>
    <col min="802" max="803" width="5.125" style="4" customWidth="1"/>
    <col min="804" max="804" width="2.875" style="4" customWidth="1"/>
    <col min="805" max="1039" width="8.875" style="4" customWidth="1"/>
    <col min="1040" max="1040" width="8.375" style="4" customWidth="1"/>
    <col min="1041" max="1041" width="14.875" style="4" customWidth="1"/>
    <col min="1042" max="1042" width="7.875" style="4" customWidth="1"/>
    <col min="1043" max="1043" width="9.875" style="4" customWidth="1"/>
    <col min="1044" max="1046" width="6.875" style="4" customWidth="1"/>
    <col min="1047" max="1049" width="8.875" style="4" customWidth="1"/>
    <col min="1050" max="1050" width="2.875" style="4" customWidth="1"/>
    <col min="1051" max="1051" width="9.875" style="4" customWidth="1"/>
    <col min="1052" max="1054" width="6.875" style="4" customWidth="1"/>
    <col min="1055" max="1057" width="8.875" style="4" customWidth="1"/>
    <col min="1058" max="1059" width="5.125" style="4" customWidth="1"/>
    <col min="1060" max="1060" width="2.875" style="4" customWidth="1"/>
    <col min="1061" max="1295" width="8.875" style="4" customWidth="1"/>
    <col min="1296" max="1296" width="8.375" style="4" customWidth="1"/>
    <col min="1297" max="1297" width="14.875" style="4" customWidth="1"/>
    <col min="1298" max="1298" width="7.875" style="4" customWidth="1"/>
    <col min="1299" max="1299" width="9.875" style="4" customWidth="1"/>
    <col min="1300" max="1302" width="6.875" style="4" customWidth="1"/>
    <col min="1303" max="1305" width="8.875" style="4" customWidth="1"/>
    <col min="1306" max="1306" width="2.875" style="4" customWidth="1"/>
    <col min="1307" max="1307" width="9.875" style="4" customWidth="1"/>
    <col min="1308" max="1310" width="6.875" style="4" customWidth="1"/>
    <col min="1311" max="1313" width="8.875" style="4" customWidth="1"/>
    <col min="1314" max="1315" width="5.125" style="4" customWidth="1"/>
    <col min="1316" max="1316" width="2.875" style="4" customWidth="1"/>
    <col min="1317" max="1551" width="8.875" style="4" customWidth="1"/>
    <col min="1552" max="1552" width="8.375" style="4" customWidth="1"/>
    <col min="1553" max="1553" width="14.875" style="4" customWidth="1"/>
    <col min="1554" max="1554" width="7.875" style="4" customWidth="1"/>
    <col min="1555" max="1555" width="9.875" style="4" customWidth="1"/>
    <col min="1556" max="1558" width="6.875" style="4" customWidth="1"/>
    <col min="1559" max="1561" width="8.875" style="4" customWidth="1"/>
    <col min="1562" max="1562" width="2.875" style="4" customWidth="1"/>
    <col min="1563" max="1563" width="9.875" style="4" customWidth="1"/>
    <col min="1564" max="1566" width="6.875" style="4" customWidth="1"/>
    <col min="1567" max="1569" width="8.875" style="4" customWidth="1"/>
    <col min="1570" max="1571" width="5.125" style="4" customWidth="1"/>
    <col min="1572" max="1572" width="2.875" style="4" customWidth="1"/>
    <col min="1573" max="1807" width="8.875" style="4" customWidth="1"/>
    <col min="1808" max="1808" width="8.375" style="4" customWidth="1"/>
    <col min="1809" max="1809" width="14.875" style="4" customWidth="1"/>
    <col min="1810" max="1810" width="7.875" style="4" customWidth="1"/>
    <col min="1811" max="1811" width="9.875" style="4" customWidth="1"/>
    <col min="1812" max="1814" width="6.875" style="4" customWidth="1"/>
    <col min="1815" max="1817" width="8.875" style="4" customWidth="1"/>
    <col min="1818" max="1818" width="2.875" style="4" customWidth="1"/>
    <col min="1819" max="1819" width="9.875" style="4" customWidth="1"/>
    <col min="1820" max="1822" width="6.875" style="4" customWidth="1"/>
    <col min="1823" max="1825" width="8.875" style="4" customWidth="1"/>
    <col min="1826" max="1827" width="5.125" style="4" customWidth="1"/>
    <col min="1828" max="1828" width="2.875" style="4" customWidth="1"/>
    <col min="1829" max="2063" width="8.875" style="4" customWidth="1"/>
    <col min="2064" max="2064" width="8.375" style="4" customWidth="1"/>
    <col min="2065" max="2065" width="14.875" style="4" customWidth="1"/>
    <col min="2066" max="2066" width="7.875" style="4" customWidth="1"/>
    <col min="2067" max="2067" width="9.875" style="4" customWidth="1"/>
    <col min="2068" max="2070" width="6.875" style="4" customWidth="1"/>
    <col min="2071" max="2073" width="8.875" style="4" customWidth="1"/>
    <col min="2074" max="2074" width="2.875" style="4" customWidth="1"/>
    <col min="2075" max="2075" width="9.875" style="4" customWidth="1"/>
    <col min="2076" max="2078" width="6.875" style="4" customWidth="1"/>
    <col min="2079" max="2081" width="8.875" style="4" customWidth="1"/>
    <col min="2082" max="2083" width="5.125" style="4" customWidth="1"/>
    <col min="2084" max="2084" width="2.875" style="4" customWidth="1"/>
    <col min="2085" max="2319" width="8.875" style="4" customWidth="1"/>
    <col min="2320" max="2320" width="8.375" style="4" customWidth="1"/>
    <col min="2321" max="2321" width="14.875" style="4" customWidth="1"/>
    <col min="2322" max="2322" width="7.875" style="4" customWidth="1"/>
    <col min="2323" max="2323" width="9.875" style="4" customWidth="1"/>
    <col min="2324" max="2326" width="6.875" style="4" customWidth="1"/>
    <col min="2327" max="2329" width="8.875" style="4" customWidth="1"/>
    <col min="2330" max="2330" width="2.875" style="4" customWidth="1"/>
    <col min="2331" max="2331" width="9.875" style="4" customWidth="1"/>
    <col min="2332" max="2334" width="6.875" style="4" customWidth="1"/>
    <col min="2335" max="2337" width="8.875" style="4" customWidth="1"/>
    <col min="2338" max="2339" width="5.125" style="4" customWidth="1"/>
    <col min="2340" max="2340" width="2.875" style="4" customWidth="1"/>
    <col min="2341" max="2575" width="8.875" style="4" customWidth="1"/>
    <col min="2576" max="2576" width="8.375" style="4" customWidth="1"/>
    <col min="2577" max="2577" width="14.875" style="4" customWidth="1"/>
    <col min="2578" max="2578" width="7.875" style="4" customWidth="1"/>
    <col min="2579" max="2579" width="9.875" style="4" customWidth="1"/>
    <col min="2580" max="2582" width="6.875" style="4" customWidth="1"/>
    <col min="2583" max="2585" width="8.875" style="4" customWidth="1"/>
    <col min="2586" max="2586" width="2.875" style="4" customWidth="1"/>
    <col min="2587" max="2587" width="9.875" style="4" customWidth="1"/>
    <col min="2588" max="2590" width="6.875" style="4" customWidth="1"/>
    <col min="2591" max="2593" width="8.875" style="4" customWidth="1"/>
    <col min="2594" max="2595" width="5.125" style="4" customWidth="1"/>
    <col min="2596" max="2596" width="2.875" style="4" customWidth="1"/>
    <col min="2597" max="2831" width="8.875" style="4" customWidth="1"/>
    <col min="2832" max="2832" width="8.375" style="4" customWidth="1"/>
    <col min="2833" max="2833" width="14.875" style="4" customWidth="1"/>
    <col min="2834" max="2834" width="7.875" style="4" customWidth="1"/>
    <col min="2835" max="2835" width="9.875" style="4" customWidth="1"/>
    <col min="2836" max="2838" width="6.875" style="4" customWidth="1"/>
    <col min="2839" max="2841" width="8.875" style="4" customWidth="1"/>
    <col min="2842" max="2842" width="2.875" style="4" customWidth="1"/>
    <col min="2843" max="2843" width="9.875" style="4" customWidth="1"/>
    <col min="2844" max="2846" width="6.875" style="4" customWidth="1"/>
    <col min="2847" max="2849" width="8.875" style="4" customWidth="1"/>
    <col min="2850" max="2851" width="5.125" style="4" customWidth="1"/>
    <col min="2852" max="2852" width="2.875" style="4" customWidth="1"/>
    <col min="2853" max="3087" width="8.875" style="4" customWidth="1"/>
    <col min="3088" max="3088" width="8.375" style="4" customWidth="1"/>
    <col min="3089" max="3089" width="14.875" style="4" customWidth="1"/>
    <col min="3090" max="3090" width="7.875" style="4" customWidth="1"/>
    <col min="3091" max="3091" width="9.875" style="4" customWidth="1"/>
    <col min="3092" max="3094" width="6.875" style="4" customWidth="1"/>
    <col min="3095" max="3097" width="8.875" style="4" customWidth="1"/>
    <col min="3098" max="3098" width="2.875" style="4" customWidth="1"/>
    <col min="3099" max="3099" width="9.875" style="4" customWidth="1"/>
    <col min="3100" max="3102" width="6.875" style="4" customWidth="1"/>
    <col min="3103" max="3105" width="8.875" style="4" customWidth="1"/>
    <col min="3106" max="3107" width="5.125" style="4" customWidth="1"/>
    <col min="3108" max="3108" width="2.875" style="4" customWidth="1"/>
    <col min="3109" max="3343" width="8.875" style="4" customWidth="1"/>
    <col min="3344" max="3344" width="8.375" style="4" customWidth="1"/>
    <col min="3345" max="3345" width="14.875" style="4" customWidth="1"/>
    <col min="3346" max="3346" width="7.875" style="4" customWidth="1"/>
    <col min="3347" max="3347" width="9.875" style="4" customWidth="1"/>
    <col min="3348" max="3350" width="6.875" style="4" customWidth="1"/>
    <col min="3351" max="3353" width="8.875" style="4" customWidth="1"/>
    <col min="3354" max="3354" width="2.875" style="4" customWidth="1"/>
    <col min="3355" max="3355" width="9.875" style="4" customWidth="1"/>
    <col min="3356" max="3358" width="6.875" style="4" customWidth="1"/>
    <col min="3359" max="3361" width="8.875" style="4" customWidth="1"/>
    <col min="3362" max="3363" width="5.125" style="4" customWidth="1"/>
    <col min="3364" max="3364" width="2.875" style="4" customWidth="1"/>
    <col min="3365" max="3599" width="8.875" style="4" customWidth="1"/>
    <col min="3600" max="3600" width="8.375" style="4" customWidth="1"/>
    <col min="3601" max="3601" width="14.875" style="4" customWidth="1"/>
    <col min="3602" max="3602" width="7.875" style="4" customWidth="1"/>
    <col min="3603" max="3603" width="9.875" style="4" customWidth="1"/>
    <col min="3604" max="3606" width="6.875" style="4" customWidth="1"/>
    <col min="3607" max="3609" width="8.875" style="4" customWidth="1"/>
    <col min="3610" max="3610" width="2.875" style="4" customWidth="1"/>
    <col min="3611" max="3611" width="9.875" style="4" customWidth="1"/>
    <col min="3612" max="3614" width="6.875" style="4" customWidth="1"/>
    <col min="3615" max="3617" width="8.875" style="4" customWidth="1"/>
    <col min="3618" max="3619" width="5.125" style="4" customWidth="1"/>
    <col min="3620" max="3620" width="2.875" style="4" customWidth="1"/>
    <col min="3621" max="3855" width="8.875" style="4" customWidth="1"/>
    <col min="3856" max="3856" width="8.375" style="4" customWidth="1"/>
    <col min="3857" max="3857" width="14.875" style="4" customWidth="1"/>
    <col min="3858" max="3858" width="7.875" style="4" customWidth="1"/>
    <col min="3859" max="3859" width="9.875" style="4" customWidth="1"/>
    <col min="3860" max="3862" width="6.875" style="4" customWidth="1"/>
    <col min="3863" max="3865" width="8.875" style="4" customWidth="1"/>
    <col min="3866" max="3866" width="2.875" style="4" customWidth="1"/>
    <col min="3867" max="3867" width="9.875" style="4" customWidth="1"/>
    <col min="3868" max="3870" width="6.875" style="4" customWidth="1"/>
    <col min="3871" max="3873" width="8.875" style="4" customWidth="1"/>
    <col min="3874" max="3875" width="5.125" style="4" customWidth="1"/>
    <col min="3876" max="3876" width="2.875" style="4" customWidth="1"/>
    <col min="3877" max="4111" width="8.875" style="4" customWidth="1"/>
    <col min="4112" max="4112" width="8.375" style="4" customWidth="1"/>
    <col min="4113" max="4113" width="14.875" style="4" customWidth="1"/>
    <col min="4114" max="4114" width="7.875" style="4" customWidth="1"/>
    <col min="4115" max="4115" width="9.875" style="4" customWidth="1"/>
    <col min="4116" max="4118" width="6.875" style="4" customWidth="1"/>
    <col min="4119" max="4121" width="8.875" style="4" customWidth="1"/>
    <col min="4122" max="4122" width="2.875" style="4" customWidth="1"/>
    <col min="4123" max="4123" width="9.875" style="4" customWidth="1"/>
    <col min="4124" max="4126" width="6.875" style="4" customWidth="1"/>
    <col min="4127" max="4129" width="8.875" style="4" customWidth="1"/>
    <col min="4130" max="4131" width="5.125" style="4" customWidth="1"/>
    <col min="4132" max="4132" width="2.875" style="4" customWidth="1"/>
    <col min="4133" max="4367" width="8.875" style="4" customWidth="1"/>
    <col min="4368" max="4368" width="8.375" style="4" customWidth="1"/>
    <col min="4369" max="4369" width="14.875" style="4" customWidth="1"/>
    <col min="4370" max="4370" width="7.875" style="4" customWidth="1"/>
    <col min="4371" max="4371" width="9.875" style="4" customWidth="1"/>
    <col min="4372" max="4374" width="6.875" style="4" customWidth="1"/>
    <col min="4375" max="4377" width="8.875" style="4" customWidth="1"/>
    <col min="4378" max="4378" width="2.875" style="4" customWidth="1"/>
    <col min="4379" max="4379" width="9.875" style="4" customWidth="1"/>
    <col min="4380" max="4382" width="6.875" style="4" customWidth="1"/>
    <col min="4383" max="4385" width="8.875" style="4" customWidth="1"/>
    <col min="4386" max="4387" width="5.125" style="4" customWidth="1"/>
    <col min="4388" max="4388" width="2.875" style="4" customWidth="1"/>
    <col min="4389" max="4623" width="8.875" style="4" customWidth="1"/>
    <col min="4624" max="4624" width="8.375" style="4" customWidth="1"/>
    <col min="4625" max="4625" width="14.875" style="4" customWidth="1"/>
    <col min="4626" max="4626" width="7.875" style="4" customWidth="1"/>
    <col min="4627" max="4627" width="9.875" style="4" customWidth="1"/>
    <col min="4628" max="4630" width="6.875" style="4" customWidth="1"/>
    <col min="4631" max="4633" width="8.875" style="4" customWidth="1"/>
    <col min="4634" max="4634" width="2.875" style="4" customWidth="1"/>
    <col min="4635" max="4635" width="9.875" style="4" customWidth="1"/>
    <col min="4636" max="4638" width="6.875" style="4" customWidth="1"/>
    <col min="4639" max="4641" width="8.875" style="4" customWidth="1"/>
    <col min="4642" max="4643" width="5.125" style="4" customWidth="1"/>
    <col min="4644" max="4644" width="2.875" style="4" customWidth="1"/>
    <col min="4645" max="4879" width="8.875" style="4" customWidth="1"/>
    <col min="4880" max="4880" width="8.375" style="4" customWidth="1"/>
    <col min="4881" max="4881" width="14.875" style="4" customWidth="1"/>
    <col min="4882" max="4882" width="7.875" style="4" customWidth="1"/>
    <col min="4883" max="4883" width="9.875" style="4" customWidth="1"/>
    <col min="4884" max="4886" width="6.875" style="4" customWidth="1"/>
    <col min="4887" max="4889" width="8.875" style="4" customWidth="1"/>
    <col min="4890" max="4890" width="2.875" style="4" customWidth="1"/>
    <col min="4891" max="4891" width="9.875" style="4" customWidth="1"/>
    <col min="4892" max="4894" width="6.875" style="4" customWidth="1"/>
    <col min="4895" max="4897" width="8.875" style="4" customWidth="1"/>
    <col min="4898" max="4899" width="5.125" style="4" customWidth="1"/>
    <col min="4900" max="4900" width="2.875" style="4" customWidth="1"/>
    <col min="4901" max="5135" width="8.875" style="4" customWidth="1"/>
    <col min="5136" max="5136" width="8.375" style="4" customWidth="1"/>
    <col min="5137" max="5137" width="14.875" style="4" customWidth="1"/>
    <col min="5138" max="5138" width="7.875" style="4" customWidth="1"/>
    <col min="5139" max="5139" width="9.875" style="4" customWidth="1"/>
    <col min="5140" max="5142" width="6.875" style="4" customWidth="1"/>
    <col min="5143" max="5145" width="8.875" style="4" customWidth="1"/>
    <col min="5146" max="5146" width="2.875" style="4" customWidth="1"/>
    <col min="5147" max="5147" width="9.875" style="4" customWidth="1"/>
    <col min="5148" max="5150" width="6.875" style="4" customWidth="1"/>
    <col min="5151" max="5153" width="8.875" style="4" customWidth="1"/>
    <col min="5154" max="5155" width="5.125" style="4" customWidth="1"/>
    <col min="5156" max="5156" width="2.875" style="4" customWidth="1"/>
    <col min="5157" max="5391" width="8.875" style="4" customWidth="1"/>
    <col min="5392" max="5392" width="8.375" style="4" customWidth="1"/>
    <col min="5393" max="5393" width="14.875" style="4" customWidth="1"/>
    <col min="5394" max="5394" width="7.875" style="4" customWidth="1"/>
    <col min="5395" max="5395" width="9.875" style="4" customWidth="1"/>
    <col min="5396" max="5398" width="6.875" style="4" customWidth="1"/>
    <col min="5399" max="5401" width="8.875" style="4" customWidth="1"/>
    <col min="5402" max="5402" width="2.875" style="4" customWidth="1"/>
    <col min="5403" max="5403" width="9.875" style="4" customWidth="1"/>
    <col min="5404" max="5406" width="6.875" style="4" customWidth="1"/>
    <col min="5407" max="5409" width="8.875" style="4" customWidth="1"/>
    <col min="5410" max="5411" width="5.125" style="4" customWidth="1"/>
    <col min="5412" max="5412" width="2.875" style="4" customWidth="1"/>
    <col min="5413" max="5647" width="8.875" style="4" customWidth="1"/>
    <col min="5648" max="5648" width="8.375" style="4" customWidth="1"/>
    <col min="5649" max="5649" width="14.875" style="4" customWidth="1"/>
    <col min="5650" max="5650" width="7.875" style="4" customWidth="1"/>
    <col min="5651" max="5651" width="9.875" style="4" customWidth="1"/>
    <col min="5652" max="5654" width="6.875" style="4" customWidth="1"/>
    <col min="5655" max="5657" width="8.875" style="4" customWidth="1"/>
    <col min="5658" max="5658" width="2.875" style="4" customWidth="1"/>
    <col min="5659" max="5659" width="9.875" style="4" customWidth="1"/>
    <col min="5660" max="5662" width="6.875" style="4" customWidth="1"/>
    <col min="5663" max="5665" width="8.875" style="4" customWidth="1"/>
    <col min="5666" max="5667" width="5.125" style="4" customWidth="1"/>
    <col min="5668" max="5668" width="2.875" style="4" customWidth="1"/>
    <col min="5669" max="5903" width="8.875" style="4" customWidth="1"/>
    <col min="5904" max="5904" width="8.375" style="4" customWidth="1"/>
    <col min="5905" max="5905" width="14.875" style="4" customWidth="1"/>
    <col min="5906" max="5906" width="7.875" style="4" customWidth="1"/>
    <col min="5907" max="5907" width="9.875" style="4" customWidth="1"/>
    <col min="5908" max="5910" width="6.875" style="4" customWidth="1"/>
    <col min="5911" max="5913" width="8.875" style="4" customWidth="1"/>
    <col min="5914" max="5914" width="2.875" style="4" customWidth="1"/>
    <col min="5915" max="5915" width="9.875" style="4" customWidth="1"/>
    <col min="5916" max="5918" width="6.875" style="4" customWidth="1"/>
    <col min="5919" max="5921" width="8.875" style="4" customWidth="1"/>
    <col min="5922" max="5923" width="5.125" style="4" customWidth="1"/>
    <col min="5924" max="5924" width="2.875" style="4" customWidth="1"/>
    <col min="5925" max="6159" width="8.875" style="4" customWidth="1"/>
    <col min="6160" max="6160" width="8.375" style="4" customWidth="1"/>
    <col min="6161" max="6161" width="14.875" style="4" customWidth="1"/>
    <col min="6162" max="6162" width="7.875" style="4" customWidth="1"/>
    <col min="6163" max="6163" width="9.875" style="4" customWidth="1"/>
    <col min="6164" max="6166" width="6.875" style="4" customWidth="1"/>
    <col min="6167" max="6169" width="8.875" style="4" customWidth="1"/>
    <col min="6170" max="6170" width="2.875" style="4" customWidth="1"/>
    <col min="6171" max="6171" width="9.875" style="4" customWidth="1"/>
    <col min="6172" max="6174" width="6.875" style="4" customWidth="1"/>
    <col min="6175" max="6177" width="8.875" style="4" customWidth="1"/>
    <col min="6178" max="6179" width="5.125" style="4" customWidth="1"/>
    <col min="6180" max="6180" width="2.875" style="4" customWidth="1"/>
    <col min="6181" max="6415" width="8.875" style="4" customWidth="1"/>
    <col min="6416" max="6416" width="8.375" style="4" customWidth="1"/>
    <col min="6417" max="6417" width="14.875" style="4" customWidth="1"/>
    <col min="6418" max="6418" width="7.875" style="4" customWidth="1"/>
    <col min="6419" max="6419" width="9.875" style="4" customWidth="1"/>
    <col min="6420" max="6422" width="6.875" style="4" customWidth="1"/>
    <col min="6423" max="6425" width="8.875" style="4" customWidth="1"/>
    <col min="6426" max="6426" width="2.875" style="4" customWidth="1"/>
    <col min="6427" max="6427" width="9.875" style="4" customWidth="1"/>
    <col min="6428" max="6430" width="6.875" style="4" customWidth="1"/>
    <col min="6431" max="6433" width="8.875" style="4" customWidth="1"/>
    <col min="6434" max="6435" width="5.125" style="4" customWidth="1"/>
    <col min="6436" max="6436" width="2.875" style="4" customWidth="1"/>
    <col min="6437" max="6671" width="8.875" style="4" customWidth="1"/>
    <col min="6672" max="6672" width="8.375" style="4" customWidth="1"/>
    <col min="6673" max="6673" width="14.875" style="4" customWidth="1"/>
    <col min="6674" max="6674" width="7.875" style="4" customWidth="1"/>
    <col min="6675" max="6675" width="9.875" style="4" customWidth="1"/>
    <col min="6676" max="6678" width="6.875" style="4" customWidth="1"/>
    <col min="6679" max="6681" width="8.875" style="4" customWidth="1"/>
    <col min="6682" max="6682" width="2.875" style="4" customWidth="1"/>
    <col min="6683" max="6683" width="9.875" style="4" customWidth="1"/>
    <col min="6684" max="6686" width="6.875" style="4" customWidth="1"/>
    <col min="6687" max="6689" width="8.875" style="4" customWidth="1"/>
    <col min="6690" max="6691" width="5.125" style="4" customWidth="1"/>
    <col min="6692" max="6692" width="2.875" style="4" customWidth="1"/>
    <col min="6693" max="6927" width="8.875" style="4" customWidth="1"/>
    <col min="6928" max="6928" width="8.375" style="4" customWidth="1"/>
    <col min="6929" max="6929" width="14.875" style="4" customWidth="1"/>
    <col min="6930" max="6930" width="7.875" style="4" customWidth="1"/>
    <col min="6931" max="6931" width="9.875" style="4" customWidth="1"/>
    <col min="6932" max="6934" width="6.875" style="4" customWidth="1"/>
    <col min="6935" max="6937" width="8.875" style="4" customWidth="1"/>
    <col min="6938" max="6938" width="2.875" style="4" customWidth="1"/>
    <col min="6939" max="6939" width="9.875" style="4" customWidth="1"/>
    <col min="6940" max="6942" width="6.875" style="4" customWidth="1"/>
    <col min="6943" max="6945" width="8.875" style="4" customWidth="1"/>
    <col min="6946" max="6947" width="5.125" style="4" customWidth="1"/>
    <col min="6948" max="6948" width="2.875" style="4" customWidth="1"/>
    <col min="6949" max="7183" width="8.875" style="4" customWidth="1"/>
    <col min="7184" max="7184" width="8.375" style="4" customWidth="1"/>
    <col min="7185" max="7185" width="14.875" style="4" customWidth="1"/>
    <col min="7186" max="7186" width="7.875" style="4" customWidth="1"/>
    <col min="7187" max="7187" width="9.875" style="4" customWidth="1"/>
    <col min="7188" max="7190" width="6.875" style="4" customWidth="1"/>
    <col min="7191" max="7193" width="8.875" style="4" customWidth="1"/>
    <col min="7194" max="7194" width="2.875" style="4" customWidth="1"/>
    <col min="7195" max="7195" width="9.875" style="4" customWidth="1"/>
    <col min="7196" max="7198" width="6.875" style="4" customWidth="1"/>
    <col min="7199" max="7201" width="8.875" style="4" customWidth="1"/>
    <col min="7202" max="7203" width="5.125" style="4" customWidth="1"/>
    <col min="7204" max="7204" width="2.875" style="4" customWidth="1"/>
    <col min="7205" max="7439" width="8.875" style="4" customWidth="1"/>
    <col min="7440" max="7440" width="8.375" style="4" customWidth="1"/>
    <col min="7441" max="7441" width="14.875" style="4" customWidth="1"/>
    <col min="7442" max="7442" width="7.875" style="4" customWidth="1"/>
    <col min="7443" max="7443" width="9.875" style="4" customWidth="1"/>
    <col min="7444" max="7446" width="6.875" style="4" customWidth="1"/>
    <col min="7447" max="7449" width="8.875" style="4" customWidth="1"/>
    <col min="7450" max="7450" width="2.875" style="4" customWidth="1"/>
    <col min="7451" max="7451" width="9.875" style="4" customWidth="1"/>
    <col min="7452" max="7454" width="6.875" style="4" customWidth="1"/>
    <col min="7455" max="7457" width="8.875" style="4" customWidth="1"/>
    <col min="7458" max="7459" width="5.125" style="4" customWidth="1"/>
    <col min="7460" max="7460" width="2.875" style="4" customWidth="1"/>
    <col min="7461" max="7695" width="8.875" style="4" customWidth="1"/>
    <col min="7696" max="7696" width="8.375" style="4" customWidth="1"/>
    <col min="7697" max="7697" width="14.875" style="4" customWidth="1"/>
    <col min="7698" max="7698" width="7.875" style="4" customWidth="1"/>
    <col min="7699" max="7699" width="9.875" style="4" customWidth="1"/>
    <col min="7700" max="7702" width="6.875" style="4" customWidth="1"/>
    <col min="7703" max="7705" width="8.875" style="4" customWidth="1"/>
    <col min="7706" max="7706" width="2.875" style="4" customWidth="1"/>
    <col min="7707" max="7707" width="9.875" style="4" customWidth="1"/>
    <col min="7708" max="7710" width="6.875" style="4" customWidth="1"/>
    <col min="7711" max="7713" width="8.875" style="4" customWidth="1"/>
    <col min="7714" max="7715" width="5.125" style="4" customWidth="1"/>
    <col min="7716" max="7716" width="2.875" style="4" customWidth="1"/>
    <col min="7717" max="7951" width="8.875" style="4" customWidth="1"/>
    <col min="7952" max="7952" width="8.375" style="4" customWidth="1"/>
    <col min="7953" max="7953" width="14.875" style="4" customWidth="1"/>
    <col min="7954" max="7954" width="7.875" style="4" customWidth="1"/>
    <col min="7955" max="7955" width="9.875" style="4" customWidth="1"/>
    <col min="7956" max="7958" width="6.875" style="4" customWidth="1"/>
    <col min="7959" max="7961" width="8.875" style="4" customWidth="1"/>
    <col min="7962" max="7962" width="2.875" style="4" customWidth="1"/>
    <col min="7963" max="7963" width="9.875" style="4" customWidth="1"/>
    <col min="7964" max="7966" width="6.875" style="4" customWidth="1"/>
    <col min="7967" max="7969" width="8.875" style="4" customWidth="1"/>
    <col min="7970" max="7971" width="5.125" style="4" customWidth="1"/>
    <col min="7972" max="7972" width="2.875" style="4" customWidth="1"/>
    <col min="7973" max="8207" width="8.875" style="4" customWidth="1"/>
    <col min="8208" max="8208" width="8.375" style="4" customWidth="1"/>
    <col min="8209" max="8209" width="14.875" style="4" customWidth="1"/>
    <col min="8210" max="8210" width="7.875" style="4" customWidth="1"/>
    <col min="8211" max="8211" width="9.875" style="4" customWidth="1"/>
    <col min="8212" max="8214" width="6.875" style="4" customWidth="1"/>
    <col min="8215" max="8217" width="8.875" style="4" customWidth="1"/>
    <col min="8218" max="8218" width="2.875" style="4" customWidth="1"/>
    <col min="8219" max="8219" width="9.875" style="4" customWidth="1"/>
    <col min="8220" max="8222" width="6.875" style="4" customWidth="1"/>
    <col min="8223" max="8225" width="8.875" style="4" customWidth="1"/>
    <col min="8226" max="8227" width="5.125" style="4" customWidth="1"/>
    <col min="8228" max="8228" width="2.875" style="4" customWidth="1"/>
    <col min="8229" max="8463" width="8.875" style="4" customWidth="1"/>
    <col min="8464" max="8464" width="8.375" style="4" customWidth="1"/>
    <col min="8465" max="8465" width="14.875" style="4" customWidth="1"/>
    <col min="8466" max="8466" width="7.875" style="4" customWidth="1"/>
    <col min="8467" max="8467" width="9.875" style="4" customWidth="1"/>
    <col min="8468" max="8470" width="6.875" style="4" customWidth="1"/>
    <col min="8471" max="8473" width="8.875" style="4" customWidth="1"/>
    <col min="8474" max="8474" width="2.875" style="4" customWidth="1"/>
    <col min="8475" max="8475" width="9.875" style="4" customWidth="1"/>
    <col min="8476" max="8478" width="6.875" style="4" customWidth="1"/>
    <col min="8479" max="8481" width="8.875" style="4" customWidth="1"/>
    <col min="8482" max="8483" width="5.125" style="4" customWidth="1"/>
    <col min="8484" max="8484" width="2.875" style="4" customWidth="1"/>
    <col min="8485" max="8719" width="8.875" style="4" customWidth="1"/>
    <col min="8720" max="8720" width="8.375" style="4" customWidth="1"/>
    <col min="8721" max="8721" width="14.875" style="4" customWidth="1"/>
    <col min="8722" max="8722" width="7.875" style="4" customWidth="1"/>
    <col min="8723" max="8723" width="9.875" style="4" customWidth="1"/>
    <col min="8724" max="8726" width="6.875" style="4" customWidth="1"/>
    <col min="8727" max="8729" width="8.875" style="4" customWidth="1"/>
    <col min="8730" max="8730" width="2.875" style="4" customWidth="1"/>
    <col min="8731" max="8731" width="9.875" style="4" customWidth="1"/>
    <col min="8732" max="8734" width="6.875" style="4" customWidth="1"/>
    <col min="8735" max="8737" width="8.875" style="4" customWidth="1"/>
    <col min="8738" max="8739" width="5.125" style="4" customWidth="1"/>
    <col min="8740" max="8740" width="2.875" style="4" customWidth="1"/>
    <col min="8741" max="8975" width="8.875" style="4" customWidth="1"/>
    <col min="8976" max="8976" width="8.375" style="4" customWidth="1"/>
    <col min="8977" max="8977" width="14.875" style="4" customWidth="1"/>
    <col min="8978" max="8978" width="7.875" style="4" customWidth="1"/>
    <col min="8979" max="8979" width="9.875" style="4" customWidth="1"/>
    <col min="8980" max="8982" width="6.875" style="4" customWidth="1"/>
    <col min="8983" max="8985" width="8.875" style="4" customWidth="1"/>
    <col min="8986" max="8986" width="2.875" style="4" customWidth="1"/>
    <col min="8987" max="8987" width="9.875" style="4" customWidth="1"/>
    <col min="8988" max="8990" width="6.875" style="4" customWidth="1"/>
    <col min="8991" max="8993" width="8.875" style="4" customWidth="1"/>
    <col min="8994" max="8995" width="5.125" style="4" customWidth="1"/>
    <col min="8996" max="8996" width="2.875" style="4" customWidth="1"/>
    <col min="8997" max="9231" width="8.875" style="4" customWidth="1"/>
    <col min="9232" max="9232" width="8.375" style="4" customWidth="1"/>
    <col min="9233" max="9233" width="14.875" style="4" customWidth="1"/>
    <col min="9234" max="9234" width="7.875" style="4" customWidth="1"/>
    <col min="9235" max="9235" width="9.875" style="4" customWidth="1"/>
    <col min="9236" max="9238" width="6.875" style="4" customWidth="1"/>
    <col min="9239" max="9241" width="8.875" style="4" customWidth="1"/>
    <col min="9242" max="9242" width="2.875" style="4" customWidth="1"/>
    <col min="9243" max="9243" width="9.875" style="4" customWidth="1"/>
    <col min="9244" max="9246" width="6.875" style="4" customWidth="1"/>
    <col min="9247" max="9249" width="8.875" style="4" customWidth="1"/>
    <col min="9250" max="9251" width="5.125" style="4" customWidth="1"/>
    <col min="9252" max="9252" width="2.875" style="4" customWidth="1"/>
    <col min="9253" max="9487" width="8.875" style="4" customWidth="1"/>
    <col min="9488" max="9488" width="8.375" style="4" customWidth="1"/>
    <col min="9489" max="9489" width="14.875" style="4" customWidth="1"/>
    <col min="9490" max="9490" width="7.875" style="4" customWidth="1"/>
    <col min="9491" max="9491" width="9.875" style="4" customWidth="1"/>
    <col min="9492" max="9494" width="6.875" style="4" customWidth="1"/>
    <col min="9495" max="9497" width="8.875" style="4" customWidth="1"/>
    <col min="9498" max="9498" width="2.875" style="4" customWidth="1"/>
    <col min="9499" max="9499" width="9.875" style="4" customWidth="1"/>
    <col min="9500" max="9502" width="6.875" style="4" customWidth="1"/>
    <col min="9503" max="9505" width="8.875" style="4" customWidth="1"/>
    <col min="9506" max="9507" width="5.125" style="4" customWidth="1"/>
    <col min="9508" max="9508" width="2.875" style="4" customWidth="1"/>
    <col min="9509" max="9743" width="8.875" style="4" customWidth="1"/>
    <col min="9744" max="9744" width="8.375" style="4" customWidth="1"/>
    <col min="9745" max="9745" width="14.875" style="4" customWidth="1"/>
    <col min="9746" max="9746" width="7.875" style="4" customWidth="1"/>
    <col min="9747" max="9747" width="9.875" style="4" customWidth="1"/>
    <col min="9748" max="9750" width="6.875" style="4" customWidth="1"/>
    <col min="9751" max="9753" width="8.875" style="4" customWidth="1"/>
    <col min="9754" max="9754" width="2.875" style="4" customWidth="1"/>
    <col min="9755" max="9755" width="9.875" style="4" customWidth="1"/>
    <col min="9756" max="9758" width="6.875" style="4" customWidth="1"/>
    <col min="9759" max="9761" width="8.875" style="4" customWidth="1"/>
    <col min="9762" max="9763" width="5.125" style="4" customWidth="1"/>
    <col min="9764" max="9764" width="2.875" style="4" customWidth="1"/>
    <col min="9765" max="9999" width="8.875" style="4" customWidth="1"/>
    <col min="10000" max="10000" width="8.375" style="4" customWidth="1"/>
    <col min="10001" max="10001" width="14.875" style="4" customWidth="1"/>
    <col min="10002" max="10002" width="7.875" style="4" customWidth="1"/>
    <col min="10003" max="10003" width="9.875" style="4" customWidth="1"/>
    <col min="10004" max="10006" width="6.875" style="4" customWidth="1"/>
    <col min="10007" max="10009" width="8.875" style="4" customWidth="1"/>
    <col min="10010" max="10010" width="2.875" style="4" customWidth="1"/>
    <col min="10011" max="10011" width="9.875" style="4" customWidth="1"/>
    <col min="10012" max="10014" width="6.875" style="4" customWidth="1"/>
    <col min="10015" max="10017" width="8.875" style="4" customWidth="1"/>
    <col min="10018" max="10019" width="5.125" style="4" customWidth="1"/>
    <col min="10020" max="10020" width="2.875" style="4" customWidth="1"/>
    <col min="10021" max="10255" width="8.875" style="4" customWidth="1"/>
    <col min="10256" max="10256" width="8.375" style="4" customWidth="1"/>
    <col min="10257" max="10257" width="14.875" style="4" customWidth="1"/>
    <col min="10258" max="10258" width="7.875" style="4" customWidth="1"/>
    <col min="10259" max="10259" width="9.875" style="4" customWidth="1"/>
    <col min="10260" max="10262" width="6.875" style="4" customWidth="1"/>
    <col min="10263" max="10265" width="8.875" style="4" customWidth="1"/>
    <col min="10266" max="10266" width="2.875" style="4" customWidth="1"/>
    <col min="10267" max="10267" width="9.875" style="4" customWidth="1"/>
    <col min="10268" max="10270" width="6.875" style="4" customWidth="1"/>
    <col min="10271" max="10273" width="8.875" style="4" customWidth="1"/>
    <col min="10274" max="10275" width="5.125" style="4" customWidth="1"/>
    <col min="10276" max="10276" width="2.875" style="4" customWidth="1"/>
    <col min="10277" max="10511" width="8.875" style="4" customWidth="1"/>
    <col min="10512" max="10512" width="8.375" style="4" customWidth="1"/>
    <col min="10513" max="10513" width="14.875" style="4" customWidth="1"/>
    <col min="10514" max="10514" width="7.875" style="4" customWidth="1"/>
    <col min="10515" max="10515" width="9.875" style="4" customWidth="1"/>
    <col min="10516" max="10518" width="6.875" style="4" customWidth="1"/>
    <col min="10519" max="10521" width="8.875" style="4" customWidth="1"/>
    <col min="10522" max="10522" width="2.875" style="4" customWidth="1"/>
    <col min="10523" max="10523" width="9.875" style="4" customWidth="1"/>
    <col min="10524" max="10526" width="6.875" style="4" customWidth="1"/>
    <col min="10527" max="10529" width="8.875" style="4" customWidth="1"/>
    <col min="10530" max="10531" width="5.125" style="4" customWidth="1"/>
    <col min="10532" max="10532" width="2.875" style="4" customWidth="1"/>
    <col min="10533" max="10767" width="8.875" style="4" customWidth="1"/>
    <col min="10768" max="10768" width="8.375" style="4" customWidth="1"/>
    <col min="10769" max="10769" width="14.875" style="4" customWidth="1"/>
    <col min="10770" max="10770" width="7.875" style="4" customWidth="1"/>
    <col min="10771" max="10771" width="9.875" style="4" customWidth="1"/>
    <col min="10772" max="10774" width="6.875" style="4" customWidth="1"/>
    <col min="10775" max="10777" width="8.875" style="4" customWidth="1"/>
    <col min="10778" max="10778" width="2.875" style="4" customWidth="1"/>
    <col min="10779" max="10779" width="9.875" style="4" customWidth="1"/>
    <col min="10780" max="10782" width="6.875" style="4" customWidth="1"/>
    <col min="10783" max="10785" width="8.875" style="4" customWidth="1"/>
    <col min="10786" max="10787" width="5.125" style="4" customWidth="1"/>
    <col min="10788" max="10788" width="2.875" style="4" customWidth="1"/>
    <col min="10789" max="11023" width="8.875" style="4" customWidth="1"/>
    <col min="11024" max="11024" width="8.375" style="4" customWidth="1"/>
    <col min="11025" max="11025" width="14.875" style="4" customWidth="1"/>
    <col min="11026" max="11026" width="7.875" style="4" customWidth="1"/>
    <col min="11027" max="11027" width="9.875" style="4" customWidth="1"/>
    <col min="11028" max="11030" width="6.875" style="4" customWidth="1"/>
    <col min="11031" max="11033" width="8.875" style="4" customWidth="1"/>
    <col min="11034" max="11034" width="2.875" style="4" customWidth="1"/>
    <col min="11035" max="11035" width="9.875" style="4" customWidth="1"/>
    <col min="11036" max="11038" width="6.875" style="4" customWidth="1"/>
    <col min="11039" max="11041" width="8.875" style="4" customWidth="1"/>
    <col min="11042" max="11043" width="5.125" style="4" customWidth="1"/>
    <col min="11044" max="11044" width="2.875" style="4" customWidth="1"/>
    <col min="11045" max="11279" width="8.875" style="4" customWidth="1"/>
    <col min="11280" max="11280" width="8.375" style="4" customWidth="1"/>
    <col min="11281" max="11281" width="14.875" style="4" customWidth="1"/>
    <col min="11282" max="11282" width="7.875" style="4" customWidth="1"/>
    <col min="11283" max="11283" width="9.875" style="4" customWidth="1"/>
    <col min="11284" max="11286" width="6.875" style="4" customWidth="1"/>
    <col min="11287" max="11289" width="8.875" style="4" customWidth="1"/>
    <col min="11290" max="11290" width="2.875" style="4" customWidth="1"/>
    <col min="11291" max="11291" width="9.875" style="4" customWidth="1"/>
    <col min="11292" max="11294" width="6.875" style="4" customWidth="1"/>
    <col min="11295" max="11297" width="8.875" style="4" customWidth="1"/>
    <col min="11298" max="11299" width="5.125" style="4" customWidth="1"/>
    <col min="11300" max="11300" width="2.875" style="4" customWidth="1"/>
    <col min="11301" max="11535" width="8.875" style="4" customWidth="1"/>
    <col min="11536" max="11536" width="8.375" style="4" customWidth="1"/>
    <col min="11537" max="11537" width="14.875" style="4" customWidth="1"/>
    <col min="11538" max="11538" width="7.875" style="4" customWidth="1"/>
    <col min="11539" max="11539" width="9.875" style="4" customWidth="1"/>
    <col min="11540" max="11542" width="6.875" style="4" customWidth="1"/>
    <col min="11543" max="11545" width="8.875" style="4" customWidth="1"/>
    <col min="11546" max="11546" width="2.875" style="4" customWidth="1"/>
    <col min="11547" max="11547" width="9.875" style="4" customWidth="1"/>
    <col min="11548" max="11550" width="6.875" style="4" customWidth="1"/>
    <col min="11551" max="11553" width="8.875" style="4" customWidth="1"/>
    <col min="11554" max="11555" width="5.125" style="4" customWidth="1"/>
    <col min="11556" max="11556" width="2.875" style="4" customWidth="1"/>
    <col min="11557" max="11791" width="8.875" style="4" customWidth="1"/>
    <col min="11792" max="11792" width="8.375" style="4" customWidth="1"/>
    <col min="11793" max="11793" width="14.875" style="4" customWidth="1"/>
    <col min="11794" max="11794" width="7.875" style="4" customWidth="1"/>
    <col min="11795" max="11795" width="9.875" style="4" customWidth="1"/>
    <col min="11796" max="11798" width="6.875" style="4" customWidth="1"/>
    <col min="11799" max="11801" width="8.875" style="4" customWidth="1"/>
    <col min="11802" max="11802" width="2.875" style="4" customWidth="1"/>
    <col min="11803" max="11803" width="9.875" style="4" customWidth="1"/>
    <col min="11804" max="11806" width="6.875" style="4" customWidth="1"/>
    <col min="11807" max="11809" width="8.875" style="4" customWidth="1"/>
    <col min="11810" max="11811" width="5.125" style="4" customWidth="1"/>
    <col min="11812" max="11812" width="2.875" style="4" customWidth="1"/>
    <col min="11813" max="12047" width="8.875" style="4" customWidth="1"/>
    <col min="12048" max="12048" width="8.375" style="4" customWidth="1"/>
    <col min="12049" max="12049" width="14.875" style="4" customWidth="1"/>
    <col min="12050" max="12050" width="7.875" style="4" customWidth="1"/>
    <col min="12051" max="12051" width="9.875" style="4" customWidth="1"/>
    <col min="12052" max="12054" width="6.875" style="4" customWidth="1"/>
    <col min="12055" max="12057" width="8.875" style="4" customWidth="1"/>
    <col min="12058" max="12058" width="2.875" style="4" customWidth="1"/>
    <col min="12059" max="12059" width="9.875" style="4" customWidth="1"/>
    <col min="12060" max="12062" width="6.875" style="4" customWidth="1"/>
    <col min="12063" max="12065" width="8.875" style="4" customWidth="1"/>
    <col min="12066" max="12067" width="5.125" style="4" customWidth="1"/>
    <col min="12068" max="12068" width="2.875" style="4" customWidth="1"/>
    <col min="12069" max="12303" width="8.875" style="4" customWidth="1"/>
    <col min="12304" max="12304" width="8.375" style="4" customWidth="1"/>
    <col min="12305" max="12305" width="14.875" style="4" customWidth="1"/>
    <col min="12306" max="12306" width="7.875" style="4" customWidth="1"/>
    <col min="12307" max="12307" width="9.875" style="4" customWidth="1"/>
    <col min="12308" max="12310" width="6.875" style="4" customWidth="1"/>
    <col min="12311" max="12313" width="8.875" style="4" customWidth="1"/>
    <col min="12314" max="12314" width="2.875" style="4" customWidth="1"/>
    <col min="12315" max="12315" width="9.875" style="4" customWidth="1"/>
    <col min="12316" max="12318" width="6.875" style="4" customWidth="1"/>
    <col min="12319" max="12321" width="8.875" style="4" customWidth="1"/>
    <col min="12322" max="12323" width="5.125" style="4" customWidth="1"/>
    <col min="12324" max="12324" width="2.875" style="4" customWidth="1"/>
    <col min="12325" max="12559" width="8.875" style="4" customWidth="1"/>
    <col min="12560" max="12560" width="8.375" style="4" customWidth="1"/>
    <col min="12561" max="12561" width="14.875" style="4" customWidth="1"/>
    <col min="12562" max="12562" width="7.875" style="4" customWidth="1"/>
    <col min="12563" max="12563" width="9.875" style="4" customWidth="1"/>
    <col min="12564" max="12566" width="6.875" style="4" customWidth="1"/>
    <col min="12567" max="12569" width="8.875" style="4" customWidth="1"/>
    <col min="12570" max="12570" width="2.875" style="4" customWidth="1"/>
    <col min="12571" max="12571" width="9.875" style="4" customWidth="1"/>
    <col min="12572" max="12574" width="6.875" style="4" customWidth="1"/>
    <col min="12575" max="12577" width="8.875" style="4" customWidth="1"/>
    <col min="12578" max="12579" width="5.125" style="4" customWidth="1"/>
    <col min="12580" max="12580" width="2.875" style="4" customWidth="1"/>
    <col min="12581" max="12815" width="8.875" style="4" customWidth="1"/>
    <col min="12816" max="12816" width="8.375" style="4" customWidth="1"/>
    <col min="12817" max="12817" width="14.875" style="4" customWidth="1"/>
    <col min="12818" max="12818" width="7.875" style="4" customWidth="1"/>
    <col min="12819" max="12819" width="9.875" style="4" customWidth="1"/>
    <col min="12820" max="12822" width="6.875" style="4" customWidth="1"/>
    <col min="12823" max="12825" width="8.875" style="4" customWidth="1"/>
    <col min="12826" max="12826" width="2.875" style="4" customWidth="1"/>
    <col min="12827" max="12827" width="9.875" style="4" customWidth="1"/>
    <col min="12828" max="12830" width="6.875" style="4" customWidth="1"/>
    <col min="12831" max="12833" width="8.875" style="4" customWidth="1"/>
    <col min="12834" max="12835" width="5.125" style="4" customWidth="1"/>
    <col min="12836" max="12836" width="2.875" style="4" customWidth="1"/>
    <col min="12837" max="13071" width="8.875" style="4" customWidth="1"/>
    <col min="13072" max="13072" width="8.375" style="4" customWidth="1"/>
    <col min="13073" max="13073" width="14.875" style="4" customWidth="1"/>
    <col min="13074" max="13074" width="7.875" style="4" customWidth="1"/>
    <col min="13075" max="13075" width="9.875" style="4" customWidth="1"/>
    <col min="13076" max="13078" width="6.875" style="4" customWidth="1"/>
    <col min="13079" max="13081" width="8.875" style="4" customWidth="1"/>
    <col min="13082" max="13082" width="2.875" style="4" customWidth="1"/>
    <col min="13083" max="13083" width="9.875" style="4" customWidth="1"/>
    <col min="13084" max="13086" width="6.875" style="4" customWidth="1"/>
    <col min="13087" max="13089" width="8.875" style="4" customWidth="1"/>
    <col min="13090" max="13091" width="5.125" style="4" customWidth="1"/>
    <col min="13092" max="13092" width="2.875" style="4" customWidth="1"/>
    <col min="13093" max="13327" width="8.875" style="4" customWidth="1"/>
    <col min="13328" max="13328" width="8.375" style="4" customWidth="1"/>
    <col min="13329" max="13329" width="14.875" style="4" customWidth="1"/>
    <col min="13330" max="13330" width="7.875" style="4" customWidth="1"/>
    <col min="13331" max="13331" width="9.875" style="4" customWidth="1"/>
    <col min="13332" max="13334" width="6.875" style="4" customWidth="1"/>
    <col min="13335" max="13337" width="8.875" style="4" customWidth="1"/>
    <col min="13338" max="13338" width="2.875" style="4" customWidth="1"/>
    <col min="13339" max="13339" width="9.875" style="4" customWidth="1"/>
    <col min="13340" max="13342" width="6.875" style="4" customWidth="1"/>
    <col min="13343" max="13345" width="8.875" style="4" customWidth="1"/>
    <col min="13346" max="13347" width="5.125" style="4" customWidth="1"/>
    <col min="13348" max="13348" width="2.875" style="4" customWidth="1"/>
    <col min="13349" max="13583" width="8.875" style="4" customWidth="1"/>
    <col min="13584" max="13584" width="8.375" style="4" customWidth="1"/>
    <col min="13585" max="13585" width="14.875" style="4" customWidth="1"/>
    <col min="13586" max="13586" width="7.875" style="4" customWidth="1"/>
    <col min="13587" max="13587" width="9.875" style="4" customWidth="1"/>
    <col min="13588" max="13590" width="6.875" style="4" customWidth="1"/>
    <col min="13591" max="13593" width="8.875" style="4" customWidth="1"/>
    <col min="13594" max="13594" width="2.875" style="4" customWidth="1"/>
    <col min="13595" max="13595" width="9.875" style="4" customWidth="1"/>
    <col min="13596" max="13598" width="6.875" style="4" customWidth="1"/>
    <col min="13599" max="13601" width="8.875" style="4" customWidth="1"/>
    <col min="13602" max="13603" width="5.125" style="4" customWidth="1"/>
    <col min="13604" max="13604" width="2.875" style="4" customWidth="1"/>
    <col min="13605" max="13839" width="8.875" style="4" customWidth="1"/>
    <col min="13840" max="13840" width="8.375" style="4" customWidth="1"/>
    <col min="13841" max="13841" width="14.875" style="4" customWidth="1"/>
    <col min="13842" max="13842" width="7.875" style="4" customWidth="1"/>
    <col min="13843" max="13843" width="9.875" style="4" customWidth="1"/>
    <col min="13844" max="13846" width="6.875" style="4" customWidth="1"/>
    <col min="13847" max="13849" width="8.875" style="4" customWidth="1"/>
    <col min="13850" max="13850" width="2.875" style="4" customWidth="1"/>
    <col min="13851" max="13851" width="9.875" style="4" customWidth="1"/>
    <col min="13852" max="13854" width="6.875" style="4" customWidth="1"/>
    <col min="13855" max="13857" width="8.875" style="4" customWidth="1"/>
    <col min="13858" max="13859" width="5.125" style="4" customWidth="1"/>
    <col min="13860" max="13860" width="2.875" style="4" customWidth="1"/>
    <col min="13861" max="14095" width="8.875" style="4" customWidth="1"/>
    <col min="14096" max="14096" width="8.375" style="4" customWidth="1"/>
    <col min="14097" max="14097" width="14.875" style="4" customWidth="1"/>
    <col min="14098" max="14098" width="7.875" style="4" customWidth="1"/>
    <col min="14099" max="14099" width="9.875" style="4" customWidth="1"/>
    <col min="14100" max="14102" width="6.875" style="4" customWidth="1"/>
    <col min="14103" max="14105" width="8.875" style="4" customWidth="1"/>
    <col min="14106" max="14106" width="2.875" style="4" customWidth="1"/>
    <col min="14107" max="14107" width="9.875" style="4" customWidth="1"/>
    <col min="14108" max="14110" width="6.875" style="4" customWidth="1"/>
    <col min="14111" max="14113" width="8.875" style="4" customWidth="1"/>
    <col min="14114" max="14115" width="5.125" style="4" customWidth="1"/>
    <col min="14116" max="14116" width="2.875" style="4" customWidth="1"/>
    <col min="14117" max="14351" width="8.875" style="4" customWidth="1"/>
    <col min="14352" max="14352" width="8.375" style="4" customWidth="1"/>
    <col min="14353" max="14353" width="14.875" style="4" customWidth="1"/>
    <col min="14354" max="14354" width="7.875" style="4" customWidth="1"/>
    <col min="14355" max="14355" width="9.875" style="4" customWidth="1"/>
    <col min="14356" max="14358" width="6.875" style="4" customWidth="1"/>
    <col min="14359" max="14361" width="8.875" style="4" customWidth="1"/>
    <col min="14362" max="14362" width="2.875" style="4" customWidth="1"/>
    <col min="14363" max="14363" width="9.875" style="4" customWidth="1"/>
    <col min="14364" max="14366" width="6.875" style="4" customWidth="1"/>
    <col min="14367" max="14369" width="8.875" style="4" customWidth="1"/>
    <col min="14370" max="14371" width="5.125" style="4" customWidth="1"/>
    <col min="14372" max="14372" width="2.875" style="4" customWidth="1"/>
    <col min="14373" max="14607" width="8.875" style="4" customWidth="1"/>
    <col min="14608" max="14608" width="8.375" style="4" customWidth="1"/>
    <col min="14609" max="14609" width="14.875" style="4" customWidth="1"/>
    <col min="14610" max="14610" width="7.875" style="4" customWidth="1"/>
    <col min="14611" max="14611" width="9.875" style="4" customWidth="1"/>
    <col min="14612" max="14614" width="6.875" style="4" customWidth="1"/>
    <col min="14615" max="14617" width="8.875" style="4" customWidth="1"/>
    <col min="14618" max="14618" width="2.875" style="4" customWidth="1"/>
    <col min="14619" max="14619" width="9.875" style="4" customWidth="1"/>
    <col min="14620" max="14622" width="6.875" style="4" customWidth="1"/>
    <col min="14623" max="14625" width="8.875" style="4" customWidth="1"/>
    <col min="14626" max="14627" width="5.125" style="4" customWidth="1"/>
    <col min="14628" max="14628" width="2.875" style="4" customWidth="1"/>
    <col min="14629" max="14863" width="8.875" style="4" customWidth="1"/>
    <col min="14864" max="14864" width="8.375" style="4" customWidth="1"/>
    <col min="14865" max="14865" width="14.875" style="4" customWidth="1"/>
    <col min="14866" max="14866" width="7.875" style="4" customWidth="1"/>
    <col min="14867" max="14867" width="9.875" style="4" customWidth="1"/>
    <col min="14868" max="14870" width="6.875" style="4" customWidth="1"/>
    <col min="14871" max="14873" width="8.875" style="4" customWidth="1"/>
    <col min="14874" max="14874" width="2.875" style="4" customWidth="1"/>
    <col min="14875" max="14875" width="9.875" style="4" customWidth="1"/>
    <col min="14876" max="14878" width="6.875" style="4" customWidth="1"/>
    <col min="14879" max="14881" width="8.875" style="4" customWidth="1"/>
    <col min="14882" max="14883" width="5.125" style="4" customWidth="1"/>
    <col min="14884" max="14884" width="2.875" style="4" customWidth="1"/>
    <col min="14885" max="15119" width="8.875" style="4" customWidth="1"/>
    <col min="15120" max="15120" width="8.375" style="4" customWidth="1"/>
    <col min="15121" max="15121" width="14.875" style="4" customWidth="1"/>
    <col min="15122" max="15122" width="7.875" style="4" customWidth="1"/>
    <col min="15123" max="15123" width="9.875" style="4" customWidth="1"/>
    <col min="15124" max="15126" width="6.875" style="4" customWidth="1"/>
    <col min="15127" max="15129" width="8.875" style="4" customWidth="1"/>
    <col min="15130" max="15130" width="2.875" style="4" customWidth="1"/>
    <col min="15131" max="15131" width="9.875" style="4" customWidth="1"/>
    <col min="15132" max="15134" width="6.875" style="4" customWidth="1"/>
    <col min="15135" max="15137" width="8.875" style="4" customWidth="1"/>
    <col min="15138" max="15139" width="5.125" style="4" customWidth="1"/>
    <col min="15140" max="15140" width="2.875" style="4" customWidth="1"/>
    <col min="15141" max="15375" width="8.875" style="4" customWidth="1"/>
    <col min="15376" max="15376" width="8.375" style="4" customWidth="1"/>
    <col min="15377" max="15377" width="14.875" style="4" customWidth="1"/>
    <col min="15378" max="15378" width="7.875" style="4" customWidth="1"/>
    <col min="15379" max="15379" width="9.875" style="4" customWidth="1"/>
    <col min="15380" max="15382" width="6.875" style="4" customWidth="1"/>
    <col min="15383" max="15385" width="8.875" style="4" customWidth="1"/>
    <col min="15386" max="15386" width="2.875" style="4" customWidth="1"/>
    <col min="15387" max="15387" width="9.875" style="4" customWidth="1"/>
    <col min="15388" max="15390" width="6.875" style="4" customWidth="1"/>
    <col min="15391" max="15393" width="8.875" style="4" customWidth="1"/>
    <col min="15394" max="15395" width="5.125" style="4" customWidth="1"/>
    <col min="15396" max="15396" width="2.875" style="4" customWidth="1"/>
    <col min="15397" max="15631" width="8.875" style="4" customWidth="1"/>
    <col min="15632" max="15632" width="8.375" style="4" customWidth="1"/>
    <col min="15633" max="15633" width="14.875" style="4" customWidth="1"/>
    <col min="15634" max="15634" width="7.875" style="4" customWidth="1"/>
    <col min="15635" max="15635" width="9.875" style="4" customWidth="1"/>
    <col min="15636" max="15638" width="6.875" style="4" customWidth="1"/>
    <col min="15639" max="15641" width="8.875" style="4" customWidth="1"/>
    <col min="15642" max="15642" width="2.875" style="4" customWidth="1"/>
    <col min="15643" max="15643" width="9.875" style="4" customWidth="1"/>
    <col min="15644" max="15646" width="6.875" style="4" customWidth="1"/>
    <col min="15647" max="15649" width="8.875" style="4" customWidth="1"/>
    <col min="15650" max="15651" width="5.125" style="4" customWidth="1"/>
    <col min="15652" max="15652" width="2.875" style="4" customWidth="1"/>
    <col min="15653" max="15887" width="8.875" style="4" customWidth="1"/>
    <col min="15888" max="15888" width="8.375" style="4" customWidth="1"/>
    <col min="15889" max="15889" width="14.875" style="4" customWidth="1"/>
    <col min="15890" max="15890" width="7.875" style="4" customWidth="1"/>
    <col min="15891" max="15891" width="9.875" style="4" customWidth="1"/>
    <col min="15892" max="15894" width="6.875" style="4" customWidth="1"/>
    <col min="15895" max="15897" width="8.875" style="4" customWidth="1"/>
    <col min="15898" max="15898" width="2.875" style="4" customWidth="1"/>
    <col min="15899" max="15899" width="9.875" style="4" customWidth="1"/>
    <col min="15900" max="15902" width="6.875" style="4" customWidth="1"/>
    <col min="15903" max="15905" width="8.875" style="4" customWidth="1"/>
    <col min="15906" max="15907" width="5.125" style="4" customWidth="1"/>
    <col min="15908" max="15908" width="2.875" style="4" customWidth="1"/>
    <col min="15909" max="16143" width="8.875" style="4" customWidth="1"/>
    <col min="16144" max="16144" width="8.375" style="4" customWidth="1"/>
    <col min="16145" max="16145" width="14.875" style="4" customWidth="1"/>
    <col min="16146" max="16146" width="7.875" style="4" customWidth="1"/>
    <col min="16147" max="16147" width="9.875" style="4" customWidth="1"/>
    <col min="16148" max="16150" width="6.875" style="4" customWidth="1"/>
    <col min="16151" max="16153" width="8.875" style="4" customWidth="1"/>
    <col min="16154" max="16154" width="2.875" style="4" customWidth="1"/>
    <col min="16155" max="16155" width="9.875" style="4" customWidth="1"/>
    <col min="16156" max="16158" width="6.875" style="4" customWidth="1"/>
    <col min="16159" max="16161" width="8.875" style="4" customWidth="1"/>
    <col min="16162" max="16163" width="5.125" style="4" customWidth="1"/>
    <col min="16164" max="16164" width="2.875" style="4" customWidth="1"/>
    <col min="16165" max="16384" width="8.875" style="4" customWidth="1"/>
  </cols>
  <sheetData>
    <row r="1" spans="1:42" ht="17.100000000000001" customHeight="1" thickBot="1" x14ac:dyDescent="0.3">
      <c r="G1" s="225" t="s">
        <v>6</v>
      </c>
      <c r="H1" s="225"/>
      <c r="I1" s="225"/>
      <c r="J1" s="225"/>
      <c r="K1" s="225"/>
      <c r="L1" s="225"/>
      <c r="M1" s="225"/>
      <c r="N1" s="225"/>
      <c r="O1" s="225"/>
      <c r="P1" s="225"/>
      <c r="R1" s="225" t="s">
        <v>7</v>
      </c>
      <c r="S1" s="225"/>
      <c r="T1" s="225"/>
      <c r="U1" s="225"/>
      <c r="V1" s="225"/>
      <c r="W1" s="225"/>
      <c r="X1" s="225"/>
      <c r="Y1" s="225"/>
      <c r="Z1" s="225"/>
      <c r="AA1" s="225"/>
      <c r="AB1" s="5"/>
      <c r="AC1" s="5"/>
      <c r="AD1" s="57"/>
      <c r="AE1" s="57"/>
      <c r="AF1" s="290" t="s">
        <v>120</v>
      </c>
      <c r="AG1" s="291"/>
      <c r="AH1" s="291"/>
      <c r="AI1" s="291"/>
      <c r="AJ1" s="291"/>
      <c r="AK1" s="291"/>
      <c r="AL1" s="291"/>
      <c r="AM1" s="291"/>
      <c r="AN1" s="291"/>
      <c r="AO1" s="291"/>
      <c r="AP1" s="292"/>
    </row>
    <row r="2" spans="1:42" ht="17.100000000000001" customHeight="1" thickBot="1" x14ac:dyDescent="0.3">
      <c r="G2" s="54" t="s">
        <v>119</v>
      </c>
      <c r="H2" s="251" t="s">
        <v>3</v>
      </c>
      <c r="I2" s="251"/>
      <c r="J2" s="251"/>
      <c r="K2" s="55" t="s">
        <v>117</v>
      </c>
      <c r="L2" s="55" t="s">
        <v>118</v>
      </c>
      <c r="M2" s="55" t="s">
        <v>0</v>
      </c>
      <c r="N2" s="55" t="s">
        <v>10</v>
      </c>
      <c r="O2" s="55" t="s">
        <v>11</v>
      </c>
      <c r="P2" s="56" t="s">
        <v>12</v>
      </c>
      <c r="R2" s="54" t="s">
        <v>119</v>
      </c>
      <c r="S2" s="251" t="s">
        <v>3</v>
      </c>
      <c r="T2" s="251"/>
      <c r="U2" s="251"/>
      <c r="V2" s="55" t="s">
        <v>117</v>
      </c>
      <c r="W2" s="55" t="s">
        <v>118</v>
      </c>
      <c r="X2" s="55" t="s">
        <v>0</v>
      </c>
      <c r="Y2" s="55" t="s">
        <v>10</v>
      </c>
      <c r="Z2" s="55" t="s">
        <v>11</v>
      </c>
      <c r="AA2" s="56" t="s">
        <v>12</v>
      </c>
      <c r="AB2" s="5"/>
      <c r="AC2" s="5"/>
      <c r="AD2" s="57"/>
      <c r="AE2" s="57"/>
      <c r="AF2" s="293" t="s">
        <v>3</v>
      </c>
      <c r="AG2" s="255"/>
      <c r="AH2" s="255"/>
      <c r="AI2" s="255"/>
      <c r="AJ2" s="255"/>
      <c r="AK2" s="255" t="s">
        <v>1</v>
      </c>
      <c r="AL2" s="255"/>
      <c r="AM2" s="255" t="s">
        <v>116</v>
      </c>
      <c r="AN2" s="255"/>
      <c r="AO2" s="255" t="s">
        <v>0</v>
      </c>
      <c r="AP2" s="270"/>
    </row>
    <row r="3" spans="1:42" ht="17.100000000000001" customHeight="1" thickBot="1" x14ac:dyDescent="0.3">
      <c r="A3" s="22"/>
      <c r="B3" s="17" t="s">
        <v>113</v>
      </c>
      <c r="C3" s="17" t="s">
        <v>114</v>
      </c>
      <c r="D3" s="79" t="s">
        <v>19</v>
      </c>
      <c r="E3" s="17" t="s">
        <v>112</v>
      </c>
      <c r="F3" s="80" t="s">
        <v>8</v>
      </c>
      <c r="G3" s="81" t="s">
        <v>9</v>
      </c>
      <c r="H3" s="79" t="s">
        <v>15</v>
      </c>
      <c r="I3" s="79" t="s">
        <v>16</v>
      </c>
      <c r="J3" s="79" t="s">
        <v>17</v>
      </c>
      <c r="K3" s="79" t="s">
        <v>15</v>
      </c>
      <c r="L3" s="79" t="s">
        <v>15</v>
      </c>
      <c r="M3" s="79" t="s">
        <v>15</v>
      </c>
      <c r="N3" s="79"/>
      <c r="O3" s="79"/>
      <c r="P3" s="80"/>
      <c r="Q3" s="79"/>
      <c r="R3" s="81" t="s">
        <v>9</v>
      </c>
      <c r="S3" s="79" t="s">
        <v>15</v>
      </c>
      <c r="T3" s="79" t="s">
        <v>16</v>
      </c>
      <c r="U3" s="79" t="s">
        <v>17</v>
      </c>
      <c r="V3" s="79" t="s">
        <v>15</v>
      </c>
      <c r="W3" s="79" t="s">
        <v>15</v>
      </c>
      <c r="X3" s="79" t="s">
        <v>15</v>
      </c>
      <c r="Y3" s="79"/>
      <c r="Z3" s="79"/>
      <c r="AA3" s="80"/>
      <c r="AB3" s="46" t="s">
        <v>13</v>
      </c>
      <c r="AC3" s="47" t="s">
        <v>14</v>
      </c>
      <c r="AD3" s="57"/>
      <c r="AE3" s="57"/>
      <c r="AF3" s="294" t="s">
        <v>98</v>
      </c>
      <c r="AG3" s="295"/>
      <c r="AH3" s="61" t="s">
        <v>15</v>
      </c>
      <c r="AI3" s="61" t="s">
        <v>16</v>
      </c>
      <c r="AJ3" s="61" t="s">
        <v>17</v>
      </c>
      <c r="AK3" s="61" t="s">
        <v>98</v>
      </c>
      <c r="AL3" s="61" t="s">
        <v>15</v>
      </c>
      <c r="AM3" s="61" t="s">
        <v>98</v>
      </c>
      <c r="AN3" s="61" t="s">
        <v>15</v>
      </c>
      <c r="AO3" s="61" t="s">
        <v>98</v>
      </c>
      <c r="AP3" s="62" t="s">
        <v>15</v>
      </c>
    </row>
    <row r="4" spans="1:42" ht="17.100000000000001" customHeight="1" outlineLevel="4" x14ac:dyDescent="0.25">
      <c r="A4" s="226" t="s">
        <v>20</v>
      </c>
      <c r="B4" s="218" t="s">
        <v>18</v>
      </c>
      <c r="C4" s="228" t="s">
        <v>29</v>
      </c>
      <c r="D4" s="231">
        <v>59.94</v>
      </c>
      <c r="E4" s="234">
        <v>10</v>
      </c>
      <c r="F4" s="7">
        <v>23</v>
      </c>
      <c r="G4" s="31"/>
      <c r="H4" s="32"/>
      <c r="I4" s="32"/>
      <c r="J4" s="32"/>
      <c r="K4" s="32"/>
      <c r="L4" s="32"/>
      <c r="M4" s="32"/>
      <c r="N4" s="32"/>
      <c r="O4" s="32"/>
      <c r="P4" s="33"/>
      <c r="Q4" s="18"/>
      <c r="R4" s="31"/>
      <c r="S4" s="32"/>
      <c r="T4" s="32"/>
      <c r="U4" s="32"/>
      <c r="V4" s="32"/>
      <c r="W4" s="32"/>
      <c r="X4" s="32"/>
      <c r="Y4" s="32"/>
      <c r="Z4" s="32"/>
      <c r="AA4" s="33"/>
      <c r="AB4" s="48" t="e">
        <f>Y4/N4</f>
        <v>#DIV/0!</v>
      </c>
      <c r="AC4" s="49" t="e">
        <f>Z4/O4</f>
        <v>#DIV/0!</v>
      </c>
      <c r="AD4" s="19"/>
      <c r="AE4" s="19"/>
      <c r="AF4" s="285" t="s">
        <v>126</v>
      </c>
      <c r="AG4" s="239" t="e" cm="1">
        <f t="array" ref="AG4">bdRateExtend($G4:$G7,H4:H7,$R4:$R7,S4:S7)</f>
        <v>#VALUE!</v>
      </c>
      <c r="AH4" s="241" t="e" cm="1">
        <f t="array" ref="AH4">bdRateExtend($G4:$G9,H4:H9,$R4:$R9,S4:S9)</f>
        <v>#VALUE!</v>
      </c>
      <c r="AI4" s="241" t="e" cm="1">
        <f t="array" ref="AI4">bdRateExtend($G4:$G9,I4:I9,$R4:$R9,T4:T9)</f>
        <v>#VALUE!</v>
      </c>
      <c r="AJ4" s="244" t="e" cm="1">
        <f t="array" ref="AJ4">bdRateExtend($G4:$G9,J4:J9,$R4:$R9,U4:U9)</f>
        <v>#VALUE!</v>
      </c>
      <c r="AK4" s="239" t="e" cm="1">
        <f t="array" ref="AK4">bdRateExtend($G4:$G7,K4:K7,$R4:$R7,V4:V7)</f>
        <v>#VALUE!</v>
      </c>
      <c r="AL4" s="248" t="e" cm="1">
        <f t="array" ref="AL4">bdRateExtend($G4:$G9,K4:K9,$R4:$R9,V4:V9)</f>
        <v>#VALUE!</v>
      </c>
      <c r="AM4" s="239" t="e" cm="1">
        <f t="array" ref="AM4">bdRateExtend($G4:$G7,L4:L7,$R4:$R7,W4:W7)</f>
        <v>#VALUE!</v>
      </c>
      <c r="AN4" s="248" t="e" cm="1">
        <f t="array" ref="AN4">bdRateExtend($G4:$G9,L4:L9,$R4:$R9,W4:W9)</f>
        <v>#VALUE!</v>
      </c>
      <c r="AO4" s="254" t="e" cm="1">
        <f t="array" ref="AO4">bdRateExtend($G4:$G7,M4:M7,$R4:$R7,X4:X7)</f>
        <v>#VALUE!</v>
      </c>
      <c r="AP4" s="248" t="e" cm="1">
        <f t="array" ref="AP4">bdRateExtend($G4:$G9,M4:M9,$R4:$R9,X4:X9)</f>
        <v>#VALUE!</v>
      </c>
    </row>
    <row r="5" spans="1:42" ht="17.100000000000001" customHeight="1" outlineLevel="4" x14ac:dyDescent="0.25">
      <c r="A5" s="222"/>
      <c r="B5" s="219"/>
      <c r="C5" s="229"/>
      <c r="D5" s="232"/>
      <c r="E5" s="235"/>
      <c r="F5" s="16">
        <v>31</v>
      </c>
      <c r="G5" s="34"/>
      <c r="H5" s="39"/>
      <c r="I5" s="39"/>
      <c r="J5" s="39"/>
      <c r="K5" s="39"/>
      <c r="L5" s="39"/>
      <c r="M5" s="39"/>
      <c r="N5" s="39"/>
      <c r="O5" s="39"/>
      <c r="P5" s="35"/>
      <c r="Q5" s="18"/>
      <c r="R5" s="34"/>
      <c r="S5" s="39"/>
      <c r="T5" s="39"/>
      <c r="U5" s="39"/>
      <c r="V5" s="39"/>
      <c r="W5" s="39"/>
      <c r="X5" s="39"/>
      <c r="Y5" s="39"/>
      <c r="Z5" s="39"/>
      <c r="AA5" s="35"/>
      <c r="AB5" s="50" t="e">
        <f>Y5/N5</f>
        <v>#DIV/0!</v>
      </c>
      <c r="AC5" s="51" t="e">
        <f>Z5/O5</f>
        <v>#DIV/0!</v>
      </c>
      <c r="AD5" s="19"/>
      <c r="AE5" s="19"/>
      <c r="AF5" s="285"/>
      <c r="AG5" s="240"/>
      <c r="AH5" s="242"/>
      <c r="AI5" s="242"/>
      <c r="AJ5" s="245"/>
      <c r="AK5" s="240"/>
      <c r="AL5" s="249"/>
      <c r="AM5" s="240"/>
      <c r="AN5" s="249"/>
      <c r="AO5" s="252"/>
      <c r="AP5" s="249"/>
    </row>
    <row r="6" spans="1:42" ht="17.100000000000001" customHeight="1" outlineLevel="4" x14ac:dyDescent="0.25">
      <c r="A6" s="222"/>
      <c r="B6" s="219"/>
      <c r="C6" s="229"/>
      <c r="D6" s="232"/>
      <c r="E6" s="235"/>
      <c r="F6" s="16">
        <v>39</v>
      </c>
      <c r="G6" s="34"/>
      <c r="H6" s="39"/>
      <c r="I6" s="39"/>
      <c r="J6" s="39"/>
      <c r="K6" s="39"/>
      <c r="L6" s="39"/>
      <c r="M6" s="39"/>
      <c r="N6" s="39"/>
      <c r="O6" s="39"/>
      <c r="P6" s="35"/>
      <c r="Q6" s="18"/>
      <c r="R6" s="34"/>
      <c r="S6" s="39"/>
      <c r="T6" s="39"/>
      <c r="U6" s="39"/>
      <c r="V6" s="39"/>
      <c r="W6" s="39"/>
      <c r="X6" s="39"/>
      <c r="Y6" s="39"/>
      <c r="Z6" s="39"/>
      <c r="AA6" s="35"/>
      <c r="AB6" s="50" t="e">
        <f t="shared" ref="AB6:AB7" si="0">Y6/N6</f>
        <v>#DIV/0!</v>
      </c>
      <c r="AC6" s="51" t="e">
        <f t="shared" ref="AC6:AC7" si="1">Z6/O6</f>
        <v>#DIV/0!</v>
      </c>
      <c r="AD6" s="19"/>
      <c r="AE6" s="19"/>
      <c r="AF6" s="285" t="s">
        <v>127</v>
      </c>
      <c r="AG6" s="240" t="e" cm="1">
        <f t="array" ref="AG6">bdRateExtend($G5:$G8,H5:H8,$R5:$R8,S5:S8)</f>
        <v>#VALUE!</v>
      </c>
      <c r="AH6" s="242"/>
      <c r="AI6" s="242"/>
      <c r="AJ6" s="245"/>
      <c r="AK6" s="240" t="e" cm="1">
        <f t="array" ref="AK6">bdRateExtend($G5:$G8,K5:K8,$R5:$R8,V5:V8)</f>
        <v>#VALUE!</v>
      </c>
      <c r="AL6" s="249"/>
      <c r="AM6" s="240" t="e" cm="1">
        <f t="array" ref="AM6">bdRateExtend($G5:$G8,L5:L8,$R5:$R8,W5:W8)</f>
        <v>#VALUE!</v>
      </c>
      <c r="AN6" s="249"/>
      <c r="AO6" s="252" t="e" cm="1">
        <f t="array" ref="AO6">bdRateExtend($G5:$G8,M5:M8,$R5:$R8,X5:X8)</f>
        <v>#VALUE!</v>
      </c>
      <c r="AP6" s="249"/>
    </row>
    <row r="7" spans="1:42" ht="17.100000000000001" customHeight="1" outlineLevel="4" x14ac:dyDescent="0.25">
      <c r="A7" s="222"/>
      <c r="B7" s="219"/>
      <c r="C7" s="229"/>
      <c r="D7" s="232"/>
      <c r="E7" s="235"/>
      <c r="F7" s="16">
        <v>47</v>
      </c>
      <c r="G7" s="34"/>
      <c r="H7" s="39"/>
      <c r="I7" s="39"/>
      <c r="J7" s="39"/>
      <c r="K7" s="39"/>
      <c r="L7" s="39"/>
      <c r="M7" s="39"/>
      <c r="N7" s="39"/>
      <c r="O7" s="39"/>
      <c r="P7" s="35"/>
      <c r="Q7" s="18"/>
      <c r="R7" s="34"/>
      <c r="S7" s="39"/>
      <c r="T7" s="39"/>
      <c r="U7" s="39"/>
      <c r="V7" s="39"/>
      <c r="W7" s="39"/>
      <c r="X7" s="39"/>
      <c r="Y7" s="39"/>
      <c r="Z7" s="39"/>
      <c r="AA7" s="35"/>
      <c r="AB7" s="50" t="e">
        <f t="shared" si="0"/>
        <v>#DIV/0!</v>
      </c>
      <c r="AC7" s="51" t="e">
        <f t="shared" si="1"/>
        <v>#DIV/0!</v>
      </c>
      <c r="AD7" s="19"/>
      <c r="AE7" s="19"/>
      <c r="AF7" s="285"/>
      <c r="AG7" s="240"/>
      <c r="AH7" s="242"/>
      <c r="AI7" s="242"/>
      <c r="AJ7" s="245"/>
      <c r="AK7" s="240"/>
      <c r="AL7" s="249"/>
      <c r="AM7" s="240"/>
      <c r="AN7" s="249"/>
      <c r="AO7" s="252"/>
      <c r="AP7" s="249"/>
    </row>
    <row r="8" spans="1:42" ht="17.100000000000001" customHeight="1" outlineLevel="4" x14ac:dyDescent="0.25">
      <c r="A8" s="222"/>
      <c r="B8" s="219"/>
      <c r="C8" s="229"/>
      <c r="D8" s="232"/>
      <c r="E8" s="235"/>
      <c r="F8" s="16">
        <v>55</v>
      </c>
      <c r="G8" s="34"/>
      <c r="H8" s="39"/>
      <c r="I8" s="39"/>
      <c r="J8" s="39"/>
      <c r="K8" s="39"/>
      <c r="L8" s="39"/>
      <c r="M8" s="39"/>
      <c r="N8" s="39"/>
      <c r="O8" s="39"/>
      <c r="P8" s="35"/>
      <c r="Q8" s="18"/>
      <c r="R8" s="34"/>
      <c r="S8" s="39"/>
      <c r="T8" s="39"/>
      <c r="U8" s="39"/>
      <c r="V8" s="39"/>
      <c r="W8" s="39"/>
      <c r="X8" s="39"/>
      <c r="Y8" s="39"/>
      <c r="Z8" s="39"/>
      <c r="AA8" s="35"/>
      <c r="AB8" s="50" t="e">
        <f>Y8/N8</f>
        <v>#DIV/0!</v>
      </c>
      <c r="AC8" s="51" t="e">
        <f>Z8/O8</f>
        <v>#DIV/0!</v>
      </c>
      <c r="AD8" s="19"/>
      <c r="AE8" s="19"/>
      <c r="AF8" s="285" t="s">
        <v>128</v>
      </c>
      <c r="AG8" s="240" t="e" cm="1">
        <f t="array" ref="AG8">bdRateExtend($G6:$G9,H6:H9,$R6:$R9,S6:S9)</f>
        <v>#VALUE!</v>
      </c>
      <c r="AH8" s="242"/>
      <c r="AI8" s="242"/>
      <c r="AJ8" s="245"/>
      <c r="AK8" s="240" t="e" cm="1">
        <f t="array" ref="AK8">bdRateExtend($G6:$G9,K6:K9,$R6:$R9,V6:V9)</f>
        <v>#VALUE!</v>
      </c>
      <c r="AL8" s="249"/>
      <c r="AM8" s="240" t="e" cm="1">
        <f t="array" ref="AM8">bdRateExtend($G6:$G9,L6:L9,$R6:$R9,W6:W9)</f>
        <v>#VALUE!</v>
      </c>
      <c r="AN8" s="249"/>
      <c r="AO8" s="252" t="e" cm="1">
        <f t="array" ref="AO8">bdRateExtend($G6:$G9,M6:M9,$R6:$R9,X6:X9)</f>
        <v>#VALUE!</v>
      </c>
      <c r="AP8" s="249"/>
    </row>
    <row r="9" spans="1:42" ht="17.100000000000001" customHeight="1" outlineLevel="4" thickBot="1" x14ac:dyDescent="0.3">
      <c r="A9" s="222"/>
      <c r="B9" s="220"/>
      <c r="C9" s="230"/>
      <c r="D9" s="233"/>
      <c r="E9" s="236"/>
      <c r="F9" s="9">
        <v>63</v>
      </c>
      <c r="G9" s="36"/>
      <c r="H9" s="37"/>
      <c r="I9" s="37"/>
      <c r="J9" s="37"/>
      <c r="K9" s="37"/>
      <c r="L9" s="37"/>
      <c r="M9" s="37"/>
      <c r="N9" s="37"/>
      <c r="O9" s="37"/>
      <c r="P9" s="38"/>
      <c r="Q9" s="18"/>
      <c r="R9" s="36"/>
      <c r="S9" s="37"/>
      <c r="T9" s="37"/>
      <c r="U9" s="37"/>
      <c r="V9" s="37"/>
      <c r="W9" s="37"/>
      <c r="X9" s="37"/>
      <c r="Y9" s="37"/>
      <c r="Z9" s="37"/>
      <c r="AA9" s="38"/>
      <c r="AB9" s="52" t="e">
        <f>Y9/N9</f>
        <v>#DIV/0!</v>
      </c>
      <c r="AC9" s="53" t="e">
        <f>Z9/O9</f>
        <v>#DIV/0!</v>
      </c>
      <c r="AD9" s="19"/>
      <c r="AE9" s="19"/>
      <c r="AF9" s="286"/>
      <c r="AG9" s="247"/>
      <c r="AH9" s="243"/>
      <c r="AI9" s="243"/>
      <c r="AJ9" s="246"/>
      <c r="AK9" s="247"/>
      <c r="AL9" s="250"/>
      <c r="AM9" s="247"/>
      <c r="AN9" s="250"/>
      <c r="AO9" s="253"/>
      <c r="AP9" s="250"/>
    </row>
    <row r="10" spans="1:42" ht="17.100000000000001" customHeight="1" outlineLevel="4" x14ac:dyDescent="0.25">
      <c r="A10" s="222"/>
      <c r="B10" s="218" t="s">
        <v>18</v>
      </c>
      <c r="C10" s="228" t="s">
        <v>30</v>
      </c>
      <c r="D10" s="231">
        <v>59.94</v>
      </c>
      <c r="E10" s="234">
        <v>10</v>
      </c>
      <c r="F10" s="7">
        <v>23</v>
      </c>
      <c r="G10" s="31"/>
      <c r="H10" s="32"/>
      <c r="I10" s="32"/>
      <c r="J10" s="32"/>
      <c r="K10" s="32"/>
      <c r="L10" s="32"/>
      <c r="M10" s="32"/>
      <c r="N10" s="32"/>
      <c r="O10" s="32"/>
      <c r="P10" s="33"/>
      <c r="Q10" s="18"/>
      <c r="R10" s="31"/>
      <c r="S10" s="32"/>
      <c r="T10" s="32"/>
      <c r="U10" s="32"/>
      <c r="V10" s="32"/>
      <c r="W10" s="32"/>
      <c r="X10" s="32"/>
      <c r="Y10" s="32"/>
      <c r="Z10" s="32"/>
      <c r="AA10" s="33"/>
      <c r="AB10" s="48" t="e">
        <f t="shared" ref="AB10:AB73" si="2">Y10/N10</f>
        <v>#DIV/0!</v>
      </c>
      <c r="AC10" s="49" t="e">
        <f t="shared" ref="AC10:AC73" si="3">Z10/O10</f>
        <v>#DIV/0!</v>
      </c>
      <c r="AD10" s="19"/>
      <c r="AE10" s="19"/>
      <c r="AF10" s="284" t="s">
        <v>126</v>
      </c>
      <c r="AG10" s="239" t="e" cm="1">
        <f t="array" ref="AG10">bdRateExtend($G10:$G13,H10:H13,$R10:$R13,S10:S13)</f>
        <v>#VALUE!</v>
      </c>
      <c r="AH10" s="241" t="e" cm="1">
        <f t="array" ref="AH10">bdRateExtend($G10:$G15,H10:H15,$R10:$R15,S10:S15)</f>
        <v>#VALUE!</v>
      </c>
      <c r="AI10" s="241" t="e" cm="1">
        <f t="array" ref="AI10">bdRateExtend($G10:$G15,I10:I15,$R10:$R15,T10:T15)</f>
        <v>#VALUE!</v>
      </c>
      <c r="AJ10" s="244" t="e" cm="1">
        <f t="array" ref="AJ10">bdRateExtend($G10:$G15,J10:J15,$R10:$R15,U10:U15)</f>
        <v>#VALUE!</v>
      </c>
      <c r="AK10" s="239" t="e" cm="1">
        <f t="array" ref="AK10">bdRateExtend($G10:$G13,K10:K13,$R10:$R13,V10:V13)</f>
        <v>#VALUE!</v>
      </c>
      <c r="AL10" s="248" t="e" cm="1">
        <f t="array" ref="AL10">bdRateExtend($G10:$G15,K10:K15,$R10:$R15,V10:V15)</f>
        <v>#VALUE!</v>
      </c>
      <c r="AM10" s="239" t="e" cm="1">
        <f t="array" ref="AM10">bdRateExtend($G10:$G13,L10:L13,$R10:$R13,W10:W13)</f>
        <v>#VALUE!</v>
      </c>
      <c r="AN10" s="248" t="e" cm="1">
        <f t="array" ref="AN10">bdRateExtend($G10:$G15,L10:L15,$R10:$R15,W10:W15)</f>
        <v>#VALUE!</v>
      </c>
      <c r="AO10" s="254" t="e" cm="1">
        <f t="array" ref="AO10">bdRateExtend($G10:$G13,M10:M13,$R10:$R13,X10:X13)</f>
        <v>#VALUE!</v>
      </c>
      <c r="AP10" s="248" t="e" cm="1">
        <f t="array" ref="AP10">bdRateExtend($G10:$G15,M10:M15,$R10:$R15,X10:X15)</f>
        <v>#VALUE!</v>
      </c>
    </row>
    <row r="11" spans="1:42" ht="17.100000000000001" customHeight="1" outlineLevel="4" x14ac:dyDescent="0.25">
      <c r="A11" s="222"/>
      <c r="B11" s="219"/>
      <c r="C11" s="229"/>
      <c r="D11" s="232"/>
      <c r="E11" s="235"/>
      <c r="F11" s="16">
        <v>31</v>
      </c>
      <c r="G11" s="34"/>
      <c r="H11" s="39"/>
      <c r="I11" s="39"/>
      <c r="J11" s="39"/>
      <c r="K11" s="39"/>
      <c r="L11" s="39"/>
      <c r="M11" s="39"/>
      <c r="N11" s="39"/>
      <c r="O11" s="39"/>
      <c r="P11" s="35"/>
      <c r="Q11" s="18"/>
      <c r="R11" s="34"/>
      <c r="S11" s="39"/>
      <c r="T11" s="39"/>
      <c r="U11" s="39"/>
      <c r="V11" s="39"/>
      <c r="W11" s="39"/>
      <c r="X11" s="39"/>
      <c r="Y11" s="39"/>
      <c r="Z11" s="39"/>
      <c r="AA11" s="35"/>
      <c r="AB11" s="50" t="e">
        <f t="shared" si="2"/>
        <v>#DIV/0!</v>
      </c>
      <c r="AC11" s="51" t="e">
        <f t="shared" si="3"/>
        <v>#DIV/0!</v>
      </c>
      <c r="AD11" s="19"/>
      <c r="AE11" s="19"/>
      <c r="AF11" s="285"/>
      <c r="AG11" s="240"/>
      <c r="AH11" s="242"/>
      <c r="AI11" s="242"/>
      <c r="AJ11" s="245"/>
      <c r="AK11" s="240"/>
      <c r="AL11" s="249"/>
      <c r="AM11" s="240"/>
      <c r="AN11" s="249"/>
      <c r="AO11" s="252"/>
      <c r="AP11" s="249"/>
    </row>
    <row r="12" spans="1:42" ht="17.100000000000001" customHeight="1" outlineLevel="4" x14ac:dyDescent="0.25">
      <c r="A12" s="222"/>
      <c r="B12" s="219"/>
      <c r="C12" s="229"/>
      <c r="D12" s="232"/>
      <c r="E12" s="235"/>
      <c r="F12" s="16">
        <v>39</v>
      </c>
      <c r="G12" s="34"/>
      <c r="H12" s="39"/>
      <c r="I12" s="39"/>
      <c r="J12" s="39"/>
      <c r="K12" s="39"/>
      <c r="L12" s="39"/>
      <c r="M12" s="39"/>
      <c r="N12" s="39"/>
      <c r="O12" s="39"/>
      <c r="P12" s="35"/>
      <c r="Q12" s="18"/>
      <c r="R12" s="34"/>
      <c r="S12" s="39"/>
      <c r="T12" s="39"/>
      <c r="U12" s="39"/>
      <c r="V12" s="39"/>
      <c r="W12" s="39"/>
      <c r="X12" s="39"/>
      <c r="Y12" s="39"/>
      <c r="Z12" s="39"/>
      <c r="AA12" s="35"/>
      <c r="AB12" s="50" t="e">
        <f t="shared" si="2"/>
        <v>#DIV/0!</v>
      </c>
      <c r="AC12" s="51" t="e">
        <f t="shared" si="3"/>
        <v>#DIV/0!</v>
      </c>
      <c r="AD12" s="19"/>
      <c r="AE12" s="19"/>
      <c r="AF12" s="285" t="s">
        <v>127</v>
      </c>
      <c r="AG12" s="240" t="e" cm="1">
        <f t="array" ref="AG12">bdRateExtend($G11:$G14,H11:H14,$R11:$R14,S11:S14)</f>
        <v>#VALUE!</v>
      </c>
      <c r="AH12" s="242"/>
      <c r="AI12" s="242"/>
      <c r="AJ12" s="245"/>
      <c r="AK12" s="240" t="e" cm="1">
        <f t="array" ref="AK12">bdRateExtend($G11:$G14,K11:K14,$R11:$R14,V11:V14)</f>
        <v>#VALUE!</v>
      </c>
      <c r="AL12" s="249"/>
      <c r="AM12" s="240" t="e" cm="1">
        <f t="array" ref="AM12">bdRateExtend($G11:$G14,L11:L14,$R11:$R14,W11:W14)</f>
        <v>#VALUE!</v>
      </c>
      <c r="AN12" s="249"/>
      <c r="AO12" s="252" t="e" cm="1">
        <f t="array" ref="AO12">bdRateExtend($G11:$G14,M11:M14,$R11:$R14,X11:X14)</f>
        <v>#VALUE!</v>
      </c>
      <c r="AP12" s="249"/>
    </row>
    <row r="13" spans="1:42" ht="17.100000000000001" customHeight="1" outlineLevel="4" x14ac:dyDescent="0.25">
      <c r="A13" s="222"/>
      <c r="B13" s="219"/>
      <c r="C13" s="229"/>
      <c r="D13" s="232"/>
      <c r="E13" s="235"/>
      <c r="F13" s="16">
        <v>47</v>
      </c>
      <c r="G13" s="34"/>
      <c r="H13" s="39"/>
      <c r="I13" s="39"/>
      <c r="J13" s="39"/>
      <c r="K13" s="39"/>
      <c r="L13" s="39"/>
      <c r="M13" s="39"/>
      <c r="N13" s="39"/>
      <c r="O13" s="39"/>
      <c r="P13" s="35"/>
      <c r="Q13" s="18"/>
      <c r="R13" s="34"/>
      <c r="S13" s="39"/>
      <c r="T13" s="39"/>
      <c r="U13" s="39"/>
      <c r="V13" s="39"/>
      <c r="W13" s="39"/>
      <c r="X13" s="39"/>
      <c r="Y13" s="39"/>
      <c r="Z13" s="39"/>
      <c r="AA13" s="35"/>
      <c r="AB13" s="50" t="e">
        <f t="shared" si="2"/>
        <v>#DIV/0!</v>
      </c>
      <c r="AC13" s="51" t="e">
        <f t="shared" si="3"/>
        <v>#DIV/0!</v>
      </c>
      <c r="AD13" s="19"/>
      <c r="AE13" s="19"/>
      <c r="AF13" s="285"/>
      <c r="AG13" s="240"/>
      <c r="AH13" s="242"/>
      <c r="AI13" s="242"/>
      <c r="AJ13" s="245"/>
      <c r="AK13" s="240"/>
      <c r="AL13" s="249"/>
      <c r="AM13" s="240"/>
      <c r="AN13" s="249"/>
      <c r="AO13" s="252"/>
      <c r="AP13" s="249"/>
    </row>
    <row r="14" spans="1:42" ht="17.100000000000001" customHeight="1" outlineLevel="4" x14ac:dyDescent="0.25">
      <c r="A14" s="222"/>
      <c r="B14" s="219"/>
      <c r="C14" s="229"/>
      <c r="D14" s="232"/>
      <c r="E14" s="235"/>
      <c r="F14" s="16">
        <v>55</v>
      </c>
      <c r="G14" s="34"/>
      <c r="H14" s="39"/>
      <c r="I14" s="39"/>
      <c r="J14" s="39"/>
      <c r="K14" s="39"/>
      <c r="L14" s="39"/>
      <c r="M14" s="39"/>
      <c r="N14" s="39"/>
      <c r="O14" s="39"/>
      <c r="P14" s="35"/>
      <c r="Q14" s="18"/>
      <c r="R14" s="34"/>
      <c r="S14" s="39"/>
      <c r="T14" s="39"/>
      <c r="U14" s="39"/>
      <c r="V14" s="39"/>
      <c r="W14" s="39"/>
      <c r="X14" s="39"/>
      <c r="Y14" s="39"/>
      <c r="Z14" s="39"/>
      <c r="AA14" s="35"/>
      <c r="AB14" s="50" t="e">
        <f t="shared" si="2"/>
        <v>#DIV/0!</v>
      </c>
      <c r="AC14" s="51" t="e">
        <f t="shared" si="3"/>
        <v>#DIV/0!</v>
      </c>
      <c r="AD14" s="19"/>
      <c r="AE14" s="19"/>
      <c r="AF14" s="285" t="s">
        <v>128</v>
      </c>
      <c r="AG14" s="240" t="e" cm="1">
        <f t="array" ref="AG14">bdRateExtend($G12:$G15,H12:H15,$R12:$R15,S12:S15)</f>
        <v>#VALUE!</v>
      </c>
      <c r="AH14" s="242"/>
      <c r="AI14" s="242"/>
      <c r="AJ14" s="245"/>
      <c r="AK14" s="240" t="e" cm="1">
        <f t="array" ref="AK14">bdRateExtend($G12:$G15,K12:K15,$R12:$R15,V12:V15)</f>
        <v>#VALUE!</v>
      </c>
      <c r="AL14" s="249"/>
      <c r="AM14" s="240" t="e" cm="1">
        <f t="array" ref="AM14">bdRateExtend($G12:$G15,L12:L15,$R12:$R15,W12:W15)</f>
        <v>#VALUE!</v>
      </c>
      <c r="AN14" s="249"/>
      <c r="AO14" s="252" t="e" cm="1">
        <f t="array" ref="AO14">bdRateExtend($G12:$G15,M12:M15,$R12:$R15,X12:X15)</f>
        <v>#VALUE!</v>
      </c>
      <c r="AP14" s="249"/>
    </row>
    <row r="15" spans="1:42" ht="17.100000000000001" customHeight="1" outlineLevel="4" thickBot="1" x14ac:dyDescent="0.3">
      <c r="A15" s="222"/>
      <c r="B15" s="220"/>
      <c r="C15" s="230"/>
      <c r="D15" s="233"/>
      <c r="E15" s="236"/>
      <c r="F15" s="9">
        <v>63</v>
      </c>
      <c r="G15" s="36"/>
      <c r="H15" s="37"/>
      <c r="I15" s="37"/>
      <c r="J15" s="37"/>
      <c r="K15" s="37"/>
      <c r="L15" s="37"/>
      <c r="M15" s="37"/>
      <c r="N15" s="37"/>
      <c r="O15" s="37"/>
      <c r="P15" s="38"/>
      <c r="Q15" s="18"/>
      <c r="R15" s="36"/>
      <c r="S15" s="37"/>
      <c r="T15" s="37"/>
      <c r="U15" s="37"/>
      <c r="V15" s="37"/>
      <c r="W15" s="37"/>
      <c r="X15" s="37"/>
      <c r="Y15" s="37"/>
      <c r="Z15" s="37"/>
      <c r="AA15" s="38"/>
      <c r="AB15" s="52" t="e">
        <f t="shared" si="2"/>
        <v>#DIV/0!</v>
      </c>
      <c r="AC15" s="53" t="e">
        <f t="shared" si="3"/>
        <v>#DIV/0!</v>
      </c>
      <c r="AD15" s="19"/>
      <c r="AE15" s="19"/>
      <c r="AF15" s="286"/>
      <c r="AG15" s="247"/>
      <c r="AH15" s="243"/>
      <c r="AI15" s="243"/>
      <c r="AJ15" s="246"/>
      <c r="AK15" s="247"/>
      <c r="AL15" s="250"/>
      <c r="AM15" s="247"/>
      <c r="AN15" s="250"/>
      <c r="AO15" s="253"/>
      <c r="AP15" s="250"/>
    </row>
    <row r="16" spans="1:42" ht="17.100000000000001" customHeight="1" outlineLevel="4" x14ac:dyDescent="0.25">
      <c r="A16" s="222"/>
      <c r="B16" s="218" t="s">
        <v>18</v>
      </c>
      <c r="C16" s="228" t="s">
        <v>31</v>
      </c>
      <c r="D16" s="231">
        <v>59.94</v>
      </c>
      <c r="E16" s="234"/>
      <c r="F16" s="7">
        <v>23</v>
      </c>
      <c r="G16" s="31"/>
      <c r="H16" s="32"/>
      <c r="I16" s="32"/>
      <c r="J16" s="32"/>
      <c r="K16" s="32"/>
      <c r="L16" s="32"/>
      <c r="M16" s="32"/>
      <c r="N16" s="32"/>
      <c r="O16" s="32"/>
      <c r="P16" s="33"/>
      <c r="Q16" s="18"/>
      <c r="R16" s="31"/>
      <c r="S16" s="32"/>
      <c r="T16" s="32"/>
      <c r="U16" s="32"/>
      <c r="V16" s="32"/>
      <c r="W16" s="32"/>
      <c r="X16" s="32"/>
      <c r="Y16" s="32"/>
      <c r="Z16" s="32"/>
      <c r="AA16" s="33"/>
      <c r="AB16" s="48" t="e">
        <f t="shared" si="2"/>
        <v>#DIV/0!</v>
      </c>
      <c r="AC16" s="49" t="e">
        <f t="shared" si="3"/>
        <v>#DIV/0!</v>
      </c>
      <c r="AD16" s="19"/>
      <c r="AE16" s="19"/>
      <c r="AF16" s="284" t="s">
        <v>126</v>
      </c>
      <c r="AG16" s="239" t="e" cm="1">
        <f t="array" ref="AG16">bdRateExtend($G16:$G19,H16:H19,$R16:$R19,S16:S19)</f>
        <v>#VALUE!</v>
      </c>
      <c r="AH16" s="241" t="e" cm="1">
        <f t="array" ref="AH16">bdRateExtend($G16:$G21,H16:H21,$R16:$R21,S16:S21)</f>
        <v>#VALUE!</v>
      </c>
      <c r="AI16" s="241" t="e" cm="1">
        <f t="array" ref="AI16">bdRateExtend($G16:$G21,I16:I21,$R16:$R21,T16:T21)</f>
        <v>#VALUE!</v>
      </c>
      <c r="AJ16" s="244" t="e" cm="1">
        <f t="array" ref="AJ16">bdRateExtend($G16:$G21,J16:J21,$R16:$R21,U16:U21)</f>
        <v>#VALUE!</v>
      </c>
      <c r="AK16" s="239" t="e" cm="1">
        <f t="array" ref="AK16">bdRateExtend($G16:$G19,K16:K19,$R16:$R19,V16:V19)</f>
        <v>#VALUE!</v>
      </c>
      <c r="AL16" s="248" t="e" cm="1">
        <f t="array" ref="AL16">bdRateExtend($G16:$G21,K16:K21,$R16:$R21,V16:V21)</f>
        <v>#VALUE!</v>
      </c>
      <c r="AM16" s="239" t="e" cm="1">
        <f t="array" ref="AM16">bdRateExtend($G16:$G19,L16:L19,$R16:$R19,W16:W19)</f>
        <v>#VALUE!</v>
      </c>
      <c r="AN16" s="248" t="e" cm="1">
        <f t="array" ref="AN16">bdRateExtend($G16:$G21,L16:L21,$R16:$R21,W16:W21)</f>
        <v>#VALUE!</v>
      </c>
      <c r="AO16" s="254" t="e" cm="1">
        <f t="array" ref="AO16">bdRateExtend($G16:$G19,M16:M19,$R16:$R19,X16:X19)</f>
        <v>#VALUE!</v>
      </c>
      <c r="AP16" s="248" t="e" cm="1">
        <f t="array" ref="AP16">bdRateExtend($G16:$G21,M16:M21,$R16:$R21,X16:X21)</f>
        <v>#VALUE!</v>
      </c>
    </row>
    <row r="17" spans="1:42" ht="17.100000000000001" customHeight="1" outlineLevel="4" x14ac:dyDescent="0.25">
      <c r="A17" s="222"/>
      <c r="B17" s="219"/>
      <c r="C17" s="229"/>
      <c r="D17" s="232"/>
      <c r="E17" s="235"/>
      <c r="F17" s="16">
        <v>31</v>
      </c>
      <c r="G17" s="34"/>
      <c r="H17" s="39"/>
      <c r="I17" s="39"/>
      <c r="J17" s="39"/>
      <c r="K17" s="39"/>
      <c r="L17" s="39"/>
      <c r="M17" s="39"/>
      <c r="N17" s="39"/>
      <c r="O17" s="39"/>
      <c r="P17" s="35"/>
      <c r="Q17" s="18"/>
      <c r="R17" s="34"/>
      <c r="S17" s="39"/>
      <c r="T17" s="39"/>
      <c r="U17" s="39"/>
      <c r="V17" s="39"/>
      <c r="W17" s="39"/>
      <c r="X17" s="39"/>
      <c r="Y17" s="39"/>
      <c r="Z17" s="39"/>
      <c r="AA17" s="35"/>
      <c r="AB17" s="50" t="e">
        <f t="shared" si="2"/>
        <v>#DIV/0!</v>
      </c>
      <c r="AC17" s="51" t="e">
        <f t="shared" si="3"/>
        <v>#DIV/0!</v>
      </c>
      <c r="AD17" s="19"/>
      <c r="AE17" s="19"/>
      <c r="AF17" s="285"/>
      <c r="AG17" s="240"/>
      <c r="AH17" s="242"/>
      <c r="AI17" s="242"/>
      <c r="AJ17" s="245"/>
      <c r="AK17" s="240"/>
      <c r="AL17" s="249"/>
      <c r="AM17" s="240"/>
      <c r="AN17" s="249"/>
      <c r="AO17" s="252"/>
      <c r="AP17" s="249"/>
    </row>
    <row r="18" spans="1:42" ht="17.100000000000001" customHeight="1" outlineLevel="4" x14ac:dyDescent="0.25">
      <c r="A18" s="222"/>
      <c r="B18" s="219"/>
      <c r="C18" s="229"/>
      <c r="D18" s="232"/>
      <c r="E18" s="235"/>
      <c r="F18" s="16">
        <v>39</v>
      </c>
      <c r="G18" s="34"/>
      <c r="H18" s="39"/>
      <c r="I18" s="39"/>
      <c r="J18" s="39"/>
      <c r="K18" s="39"/>
      <c r="L18" s="39"/>
      <c r="M18" s="39"/>
      <c r="N18" s="39"/>
      <c r="O18" s="39"/>
      <c r="P18" s="35"/>
      <c r="Q18" s="18"/>
      <c r="R18" s="34"/>
      <c r="S18" s="39"/>
      <c r="T18" s="39"/>
      <c r="U18" s="39"/>
      <c r="V18" s="39"/>
      <c r="W18" s="39"/>
      <c r="X18" s="39"/>
      <c r="Y18" s="39"/>
      <c r="Z18" s="39"/>
      <c r="AA18" s="35"/>
      <c r="AB18" s="50" t="e">
        <f t="shared" si="2"/>
        <v>#DIV/0!</v>
      </c>
      <c r="AC18" s="51" t="e">
        <f t="shared" si="3"/>
        <v>#DIV/0!</v>
      </c>
      <c r="AD18" s="19"/>
      <c r="AE18" s="19"/>
      <c r="AF18" s="285" t="s">
        <v>127</v>
      </c>
      <c r="AG18" s="240" t="e" cm="1">
        <f t="array" ref="AG18">bdRateExtend($G17:$G20,H17:H20,$R17:$R20,S17:S20)</f>
        <v>#VALUE!</v>
      </c>
      <c r="AH18" s="242"/>
      <c r="AI18" s="242"/>
      <c r="AJ18" s="245"/>
      <c r="AK18" s="240" t="e" cm="1">
        <f t="array" ref="AK18">bdRateExtend($G17:$G20,K17:K20,$R17:$R20,V17:V20)</f>
        <v>#VALUE!</v>
      </c>
      <c r="AL18" s="249"/>
      <c r="AM18" s="240" t="e" cm="1">
        <f t="array" ref="AM18">bdRateExtend($G17:$G20,L17:L20,$R17:$R20,W17:W20)</f>
        <v>#VALUE!</v>
      </c>
      <c r="AN18" s="249"/>
      <c r="AO18" s="252" t="e" cm="1">
        <f t="array" ref="AO18">bdRateExtend($G17:$G20,M17:M20,$R17:$R20,X17:X20)</f>
        <v>#VALUE!</v>
      </c>
      <c r="AP18" s="249"/>
    </row>
    <row r="19" spans="1:42" ht="17.100000000000001" customHeight="1" outlineLevel="4" x14ac:dyDescent="0.25">
      <c r="A19" s="222"/>
      <c r="B19" s="219"/>
      <c r="C19" s="229"/>
      <c r="D19" s="232"/>
      <c r="E19" s="235"/>
      <c r="F19" s="16">
        <v>47</v>
      </c>
      <c r="G19" s="34"/>
      <c r="H19" s="39"/>
      <c r="I19" s="39"/>
      <c r="J19" s="39"/>
      <c r="K19" s="39"/>
      <c r="L19" s="39"/>
      <c r="M19" s="39"/>
      <c r="N19" s="39"/>
      <c r="O19" s="39"/>
      <c r="P19" s="35"/>
      <c r="Q19" s="18"/>
      <c r="R19" s="34"/>
      <c r="S19" s="39"/>
      <c r="T19" s="39"/>
      <c r="U19" s="39"/>
      <c r="V19" s="39"/>
      <c r="W19" s="39"/>
      <c r="X19" s="39"/>
      <c r="Y19" s="39"/>
      <c r="Z19" s="39"/>
      <c r="AA19" s="35"/>
      <c r="AB19" s="50" t="e">
        <f t="shared" si="2"/>
        <v>#DIV/0!</v>
      </c>
      <c r="AC19" s="51" t="e">
        <f t="shared" si="3"/>
        <v>#DIV/0!</v>
      </c>
      <c r="AD19" s="19"/>
      <c r="AE19" s="19"/>
      <c r="AF19" s="285"/>
      <c r="AG19" s="240"/>
      <c r="AH19" s="242"/>
      <c r="AI19" s="242"/>
      <c r="AJ19" s="245"/>
      <c r="AK19" s="240"/>
      <c r="AL19" s="249"/>
      <c r="AM19" s="240"/>
      <c r="AN19" s="249"/>
      <c r="AO19" s="252"/>
      <c r="AP19" s="249"/>
    </row>
    <row r="20" spans="1:42" ht="17.100000000000001" customHeight="1" outlineLevel="4" x14ac:dyDescent="0.25">
      <c r="A20" s="222"/>
      <c r="B20" s="219"/>
      <c r="C20" s="229"/>
      <c r="D20" s="232"/>
      <c r="E20" s="235"/>
      <c r="F20" s="16">
        <v>55</v>
      </c>
      <c r="G20" s="34"/>
      <c r="H20" s="39"/>
      <c r="I20" s="39"/>
      <c r="J20" s="39"/>
      <c r="K20" s="39"/>
      <c r="L20" s="39"/>
      <c r="M20" s="39"/>
      <c r="N20" s="39"/>
      <c r="O20" s="39"/>
      <c r="P20" s="35"/>
      <c r="Q20" s="18"/>
      <c r="R20" s="34"/>
      <c r="S20" s="39"/>
      <c r="T20" s="39"/>
      <c r="U20" s="39"/>
      <c r="V20" s="39"/>
      <c r="W20" s="39"/>
      <c r="X20" s="39"/>
      <c r="Y20" s="39"/>
      <c r="Z20" s="39"/>
      <c r="AA20" s="35"/>
      <c r="AB20" s="50" t="e">
        <f t="shared" si="2"/>
        <v>#DIV/0!</v>
      </c>
      <c r="AC20" s="51" t="e">
        <f t="shared" si="3"/>
        <v>#DIV/0!</v>
      </c>
      <c r="AD20" s="19"/>
      <c r="AE20" s="19"/>
      <c r="AF20" s="285" t="s">
        <v>128</v>
      </c>
      <c r="AG20" s="240" t="e" cm="1">
        <f t="array" ref="AG20">bdRateExtend($G18:$G21,H18:H21,$R18:$R21,S18:S21)</f>
        <v>#VALUE!</v>
      </c>
      <c r="AH20" s="242"/>
      <c r="AI20" s="242"/>
      <c r="AJ20" s="245"/>
      <c r="AK20" s="240" t="e" cm="1">
        <f t="array" ref="AK20">bdRateExtend($G18:$G21,K18:K21,$R18:$R21,V18:V21)</f>
        <v>#VALUE!</v>
      </c>
      <c r="AL20" s="249"/>
      <c r="AM20" s="240" t="e" cm="1">
        <f t="array" ref="AM20">bdRateExtend($G18:$G21,L18:L21,$R18:$R21,W18:W21)</f>
        <v>#VALUE!</v>
      </c>
      <c r="AN20" s="249"/>
      <c r="AO20" s="252" t="e" cm="1">
        <f t="array" ref="AO20">bdRateExtend($G18:$G21,M18:M21,$R18:$R21,X18:X21)</f>
        <v>#VALUE!</v>
      </c>
      <c r="AP20" s="249"/>
    </row>
    <row r="21" spans="1:42" ht="17.100000000000001" customHeight="1" outlineLevel="4" thickBot="1" x14ac:dyDescent="0.3">
      <c r="A21" s="222"/>
      <c r="B21" s="220"/>
      <c r="C21" s="230"/>
      <c r="D21" s="233"/>
      <c r="E21" s="236"/>
      <c r="F21" s="9">
        <v>63</v>
      </c>
      <c r="G21" s="36"/>
      <c r="H21" s="37"/>
      <c r="I21" s="37"/>
      <c r="J21" s="37"/>
      <c r="K21" s="37"/>
      <c r="L21" s="37"/>
      <c r="M21" s="37"/>
      <c r="N21" s="37"/>
      <c r="O21" s="37"/>
      <c r="P21" s="38"/>
      <c r="Q21" s="18"/>
      <c r="R21" s="36"/>
      <c r="S21" s="37"/>
      <c r="T21" s="37"/>
      <c r="U21" s="37"/>
      <c r="V21" s="37"/>
      <c r="W21" s="37"/>
      <c r="X21" s="37"/>
      <c r="Y21" s="37"/>
      <c r="Z21" s="37"/>
      <c r="AA21" s="38"/>
      <c r="AB21" s="52" t="e">
        <f t="shared" si="2"/>
        <v>#DIV/0!</v>
      </c>
      <c r="AC21" s="53" t="e">
        <f t="shared" si="3"/>
        <v>#DIV/0!</v>
      </c>
      <c r="AD21" s="19"/>
      <c r="AE21" s="19"/>
      <c r="AF21" s="286"/>
      <c r="AG21" s="247"/>
      <c r="AH21" s="243"/>
      <c r="AI21" s="243"/>
      <c r="AJ21" s="246"/>
      <c r="AK21" s="247"/>
      <c r="AL21" s="250"/>
      <c r="AM21" s="247"/>
      <c r="AN21" s="250"/>
      <c r="AO21" s="253"/>
      <c r="AP21" s="250"/>
    </row>
    <row r="22" spans="1:42" ht="17.100000000000001" customHeight="1" outlineLevel="4" x14ac:dyDescent="0.25">
      <c r="A22" s="222"/>
      <c r="B22" s="218" t="s">
        <v>18</v>
      </c>
      <c r="C22" s="228" t="s">
        <v>32</v>
      </c>
      <c r="D22" s="231">
        <v>29.97</v>
      </c>
      <c r="E22" s="234"/>
      <c r="F22" s="7">
        <v>23</v>
      </c>
      <c r="G22" s="31"/>
      <c r="H22" s="32"/>
      <c r="I22" s="32"/>
      <c r="J22" s="32"/>
      <c r="K22" s="32"/>
      <c r="L22" s="32"/>
      <c r="M22" s="32"/>
      <c r="N22" s="32"/>
      <c r="O22" s="32"/>
      <c r="P22" s="33"/>
      <c r="Q22" s="18"/>
      <c r="R22" s="31"/>
      <c r="S22" s="32"/>
      <c r="T22" s="32"/>
      <c r="U22" s="32"/>
      <c r="V22" s="32"/>
      <c r="W22" s="32"/>
      <c r="X22" s="32"/>
      <c r="Y22" s="32"/>
      <c r="Z22" s="32"/>
      <c r="AA22" s="33"/>
      <c r="AB22" s="48" t="e">
        <f t="shared" si="2"/>
        <v>#DIV/0!</v>
      </c>
      <c r="AC22" s="49" t="e">
        <f t="shared" si="3"/>
        <v>#DIV/0!</v>
      </c>
      <c r="AD22" s="19"/>
      <c r="AE22" s="19"/>
      <c r="AF22" s="284" t="s">
        <v>126</v>
      </c>
      <c r="AG22" s="239" t="e" cm="1">
        <f t="array" ref="AG22">bdRateExtend($G22:$G25,H22:H25,$R22:$R25,S22:S25)</f>
        <v>#VALUE!</v>
      </c>
      <c r="AH22" s="241" t="e" cm="1">
        <f t="array" ref="AH22">bdRateExtend($G22:$G27,H22:H27,$R22:$R27,S22:S27)</f>
        <v>#VALUE!</v>
      </c>
      <c r="AI22" s="241" t="e" cm="1">
        <f t="array" ref="AI22">bdRateExtend($G22:$G27,I22:I27,$R22:$R27,T22:T27)</f>
        <v>#VALUE!</v>
      </c>
      <c r="AJ22" s="244" t="e" cm="1">
        <f t="array" ref="AJ22">bdRateExtend($G22:$G27,J22:J27,$R22:$R27,U22:U27)</f>
        <v>#VALUE!</v>
      </c>
      <c r="AK22" s="239" t="e" cm="1">
        <f t="array" ref="AK22">bdRateExtend($G22:$G25,K22:K25,$R22:$R25,V22:V25)</f>
        <v>#VALUE!</v>
      </c>
      <c r="AL22" s="248" t="e" cm="1">
        <f t="array" ref="AL22">bdRateExtend($G22:$G27,K22:K27,$R22:$R27,V22:V27)</f>
        <v>#VALUE!</v>
      </c>
      <c r="AM22" s="239" t="e" cm="1">
        <f t="array" ref="AM22">bdRateExtend($G22:$G25,L22:L25,$R22:$R25,W22:W25)</f>
        <v>#VALUE!</v>
      </c>
      <c r="AN22" s="248" t="e" cm="1">
        <f t="array" ref="AN22">bdRateExtend($G22:$G27,L22:L27,$R22:$R27,W22:W27)</f>
        <v>#VALUE!</v>
      </c>
      <c r="AO22" s="254" t="e" cm="1">
        <f t="array" ref="AO22">bdRateExtend($G22:$G25,M22:M25,$R22:$R25,X22:X25)</f>
        <v>#VALUE!</v>
      </c>
      <c r="AP22" s="248" t="e" cm="1">
        <f t="array" ref="AP22">bdRateExtend($G22:$G27,M22:M27,$R22:$R27,X22:X27)</f>
        <v>#VALUE!</v>
      </c>
    </row>
    <row r="23" spans="1:42" ht="17.100000000000001" customHeight="1" outlineLevel="4" x14ac:dyDescent="0.25">
      <c r="A23" s="222"/>
      <c r="B23" s="219"/>
      <c r="C23" s="229"/>
      <c r="D23" s="232"/>
      <c r="E23" s="235"/>
      <c r="F23" s="16">
        <v>31</v>
      </c>
      <c r="G23" s="34"/>
      <c r="H23" s="39"/>
      <c r="I23" s="39"/>
      <c r="J23" s="39"/>
      <c r="K23" s="39"/>
      <c r="L23" s="39"/>
      <c r="M23" s="39"/>
      <c r="N23" s="39"/>
      <c r="O23" s="39"/>
      <c r="P23" s="35"/>
      <c r="Q23" s="18"/>
      <c r="R23" s="34"/>
      <c r="S23" s="39"/>
      <c r="T23" s="39"/>
      <c r="U23" s="39"/>
      <c r="V23" s="39"/>
      <c r="W23" s="39"/>
      <c r="X23" s="39"/>
      <c r="Y23" s="39"/>
      <c r="Z23" s="39"/>
      <c r="AA23" s="35"/>
      <c r="AB23" s="50" t="e">
        <f t="shared" si="2"/>
        <v>#DIV/0!</v>
      </c>
      <c r="AC23" s="51" t="e">
        <f t="shared" si="3"/>
        <v>#DIV/0!</v>
      </c>
      <c r="AD23" s="19"/>
      <c r="AE23" s="19"/>
      <c r="AF23" s="285"/>
      <c r="AG23" s="240"/>
      <c r="AH23" s="242"/>
      <c r="AI23" s="242"/>
      <c r="AJ23" s="245"/>
      <c r="AK23" s="240"/>
      <c r="AL23" s="249"/>
      <c r="AM23" s="240"/>
      <c r="AN23" s="249"/>
      <c r="AO23" s="252"/>
      <c r="AP23" s="249"/>
    </row>
    <row r="24" spans="1:42" ht="17.100000000000001" customHeight="1" outlineLevel="4" x14ac:dyDescent="0.25">
      <c r="A24" s="222"/>
      <c r="B24" s="219"/>
      <c r="C24" s="229"/>
      <c r="D24" s="232"/>
      <c r="E24" s="235"/>
      <c r="F24" s="16">
        <v>39</v>
      </c>
      <c r="G24" s="34"/>
      <c r="H24" s="39"/>
      <c r="I24" s="39"/>
      <c r="J24" s="39"/>
      <c r="K24" s="39"/>
      <c r="L24" s="39"/>
      <c r="M24" s="39"/>
      <c r="N24" s="39"/>
      <c r="O24" s="39"/>
      <c r="P24" s="35"/>
      <c r="Q24" s="18"/>
      <c r="R24" s="34"/>
      <c r="S24" s="39"/>
      <c r="T24" s="39"/>
      <c r="U24" s="39"/>
      <c r="V24" s="39"/>
      <c r="W24" s="39"/>
      <c r="X24" s="39"/>
      <c r="Y24" s="39"/>
      <c r="Z24" s="39"/>
      <c r="AA24" s="35"/>
      <c r="AB24" s="50" t="e">
        <f t="shared" si="2"/>
        <v>#DIV/0!</v>
      </c>
      <c r="AC24" s="51" t="e">
        <f t="shared" si="3"/>
        <v>#DIV/0!</v>
      </c>
      <c r="AD24" s="19"/>
      <c r="AE24" s="19"/>
      <c r="AF24" s="285" t="s">
        <v>127</v>
      </c>
      <c r="AG24" s="240" t="e" cm="1">
        <f t="array" ref="AG24">bdRateExtend($G23:$G26,H23:H26,$R23:$R26,S23:S26)</f>
        <v>#VALUE!</v>
      </c>
      <c r="AH24" s="242"/>
      <c r="AI24" s="242"/>
      <c r="AJ24" s="245"/>
      <c r="AK24" s="240" t="e" cm="1">
        <f t="array" ref="AK24">bdRateExtend($G23:$G26,K23:K26,$R23:$R26,V23:V26)</f>
        <v>#VALUE!</v>
      </c>
      <c r="AL24" s="249"/>
      <c r="AM24" s="240" t="e" cm="1">
        <f t="array" ref="AM24">bdRateExtend($G23:$G26,L23:L26,$R23:$R26,W23:W26)</f>
        <v>#VALUE!</v>
      </c>
      <c r="AN24" s="249"/>
      <c r="AO24" s="252" t="e" cm="1">
        <f t="array" ref="AO24">bdRateExtend($G23:$G26,M23:M26,$R23:$R26,X23:X26)</f>
        <v>#VALUE!</v>
      </c>
      <c r="AP24" s="249"/>
    </row>
    <row r="25" spans="1:42" ht="17.100000000000001" customHeight="1" outlineLevel="4" x14ac:dyDescent="0.25">
      <c r="A25" s="222"/>
      <c r="B25" s="219"/>
      <c r="C25" s="229"/>
      <c r="D25" s="232"/>
      <c r="E25" s="235"/>
      <c r="F25" s="16">
        <v>47</v>
      </c>
      <c r="G25" s="34"/>
      <c r="H25" s="39"/>
      <c r="I25" s="39"/>
      <c r="J25" s="39"/>
      <c r="K25" s="39"/>
      <c r="L25" s="39"/>
      <c r="M25" s="39"/>
      <c r="N25" s="39"/>
      <c r="O25" s="39"/>
      <c r="P25" s="35"/>
      <c r="Q25" s="18"/>
      <c r="R25" s="34"/>
      <c r="S25" s="39"/>
      <c r="T25" s="39"/>
      <c r="U25" s="39"/>
      <c r="V25" s="39"/>
      <c r="W25" s="39"/>
      <c r="X25" s="39"/>
      <c r="Y25" s="39"/>
      <c r="Z25" s="39"/>
      <c r="AA25" s="35"/>
      <c r="AB25" s="50" t="e">
        <f t="shared" si="2"/>
        <v>#DIV/0!</v>
      </c>
      <c r="AC25" s="51" t="e">
        <f t="shared" si="3"/>
        <v>#DIV/0!</v>
      </c>
      <c r="AD25" s="19"/>
      <c r="AE25" s="19"/>
      <c r="AF25" s="285"/>
      <c r="AG25" s="240"/>
      <c r="AH25" s="242"/>
      <c r="AI25" s="242"/>
      <c r="AJ25" s="245"/>
      <c r="AK25" s="240"/>
      <c r="AL25" s="249"/>
      <c r="AM25" s="240"/>
      <c r="AN25" s="249"/>
      <c r="AO25" s="252"/>
      <c r="AP25" s="249"/>
    </row>
    <row r="26" spans="1:42" ht="17.100000000000001" customHeight="1" outlineLevel="4" x14ac:dyDescent="0.25">
      <c r="A26" s="222"/>
      <c r="B26" s="219"/>
      <c r="C26" s="229"/>
      <c r="D26" s="232"/>
      <c r="E26" s="235"/>
      <c r="F26" s="16">
        <v>55</v>
      </c>
      <c r="G26" s="34"/>
      <c r="H26" s="39"/>
      <c r="I26" s="39"/>
      <c r="J26" s="39"/>
      <c r="K26" s="39"/>
      <c r="L26" s="39"/>
      <c r="M26" s="39"/>
      <c r="N26" s="39"/>
      <c r="O26" s="39"/>
      <c r="P26" s="35"/>
      <c r="Q26" s="18"/>
      <c r="R26" s="34"/>
      <c r="S26" s="39"/>
      <c r="T26" s="39"/>
      <c r="U26" s="39"/>
      <c r="V26" s="39"/>
      <c r="W26" s="39"/>
      <c r="X26" s="39"/>
      <c r="Y26" s="39"/>
      <c r="Z26" s="39"/>
      <c r="AA26" s="35"/>
      <c r="AB26" s="50" t="e">
        <f t="shared" si="2"/>
        <v>#DIV/0!</v>
      </c>
      <c r="AC26" s="51" t="e">
        <f t="shared" si="3"/>
        <v>#DIV/0!</v>
      </c>
      <c r="AD26" s="19"/>
      <c r="AE26" s="19"/>
      <c r="AF26" s="285" t="s">
        <v>128</v>
      </c>
      <c r="AG26" s="240" t="e" cm="1">
        <f t="array" ref="AG26">bdRateExtend($G24:$G27,H24:H27,$R24:$R27,S24:S27)</f>
        <v>#VALUE!</v>
      </c>
      <c r="AH26" s="242"/>
      <c r="AI26" s="242"/>
      <c r="AJ26" s="245"/>
      <c r="AK26" s="240" t="e" cm="1">
        <f t="array" ref="AK26">bdRateExtend($G24:$G27,K24:K27,$R24:$R27,V24:V27)</f>
        <v>#VALUE!</v>
      </c>
      <c r="AL26" s="249"/>
      <c r="AM26" s="240" t="e" cm="1">
        <f t="array" ref="AM26">bdRateExtend($G24:$G27,L24:L27,$R24:$R27,W24:W27)</f>
        <v>#VALUE!</v>
      </c>
      <c r="AN26" s="249"/>
      <c r="AO26" s="252" t="e" cm="1">
        <f t="array" ref="AO26">bdRateExtend($G24:$G27,M24:M27,$R24:$R27,X24:X27)</f>
        <v>#VALUE!</v>
      </c>
      <c r="AP26" s="249"/>
    </row>
    <row r="27" spans="1:42" ht="17.100000000000001" customHeight="1" outlineLevel="4" thickBot="1" x14ac:dyDescent="0.3">
      <c r="A27" s="222"/>
      <c r="B27" s="220"/>
      <c r="C27" s="230"/>
      <c r="D27" s="233"/>
      <c r="E27" s="236"/>
      <c r="F27" s="9">
        <v>63</v>
      </c>
      <c r="G27" s="36"/>
      <c r="H27" s="37"/>
      <c r="I27" s="37"/>
      <c r="J27" s="37"/>
      <c r="K27" s="37"/>
      <c r="L27" s="37"/>
      <c r="M27" s="37"/>
      <c r="N27" s="37"/>
      <c r="O27" s="37"/>
      <c r="P27" s="38"/>
      <c r="Q27" s="18"/>
      <c r="R27" s="36"/>
      <c r="S27" s="37"/>
      <c r="T27" s="37"/>
      <c r="U27" s="37"/>
      <c r="V27" s="37"/>
      <c r="W27" s="37"/>
      <c r="X27" s="37"/>
      <c r="Y27" s="37"/>
      <c r="Z27" s="37"/>
      <c r="AA27" s="38"/>
      <c r="AB27" s="52" t="e">
        <f t="shared" si="2"/>
        <v>#DIV/0!</v>
      </c>
      <c r="AC27" s="53" t="e">
        <f t="shared" si="3"/>
        <v>#DIV/0!</v>
      </c>
      <c r="AD27" s="19"/>
      <c r="AE27" s="19"/>
      <c r="AF27" s="286"/>
      <c r="AG27" s="247"/>
      <c r="AH27" s="243"/>
      <c r="AI27" s="243"/>
      <c r="AJ27" s="246"/>
      <c r="AK27" s="247"/>
      <c r="AL27" s="250"/>
      <c r="AM27" s="247"/>
      <c r="AN27" s="250"/>
      <c r="AO27" s="253"/>
      <c r="AP27" s="250"/>
    </row>
    <row r="28" spans="1:42" ht="17.100000000000001" customHeight="1" outlineLevel="4" x14ac:dyDescent="0.25">
      <c r="A28" s="222"/>
      <c r="B28" s="218" t="s">
        <v>18</v>
      </c>
      <c r="C28" s="228" t="s">
        <v>33</v>
      </c>
      <c r="D28" s="231">
        <v>60</v>
      </c>
      <c r="E28" s="234"/>
      <c r="F28" s="7">
        <v>23</v>
      </c>
      <c r="G28" s="31"/>
      <c r="H28" s="32"/>
      <c r="I28" s="32"/>
      <c r="J28" s="32"/>
      <c r="K28" s="32"/>
      <c r="L28" s="32"/>
      <c r="M28" s="32"/>
      <c r="N28" s="32"/>
      <c r="O28" s="32"/>
      <c r="P28" s="33"/>
      <c r="Q28" s="18"/>
      <c r="R28" s="31"/>
      <c r="S28" s="32"/>
      <c r="T28" s="32"/>
      <c r="U28" s="32"/>
      <c r="V28" s="32"/>
      <c r="W28" s="32"/>
      <c r="X28" s="32"/>
      <c r="Y28" s="32"/>
      <c r="Z28" s="32"/>
      <c r="AA28" s="33"/>
      <c r="AB28" s="48" t="e">
        <f t="shared" si="2"/>
        <v>#DIV/0!</v>
      </c>
      <c r="AC28" s="49" t="e">
        <f t="shared" si="3"/>
        <v>#DIV/0!</v>
      </c>
      <c r="AD28" s="19"/>
      <c r="AE28" s="19"/>
      <c r="AF28" s="284" t="s">
        <v>126</v>
      </c>
      <c r="AG28" s="239" t="e" cm="1">
        <f t="array" ref="AG28">bdRateExtend($G28:$G31,H28:H31,$R28:$R31,S28:S31)</f>
        <v>#VALUE!</v>
      </c>
      <c r="AH28" s="241" t="e" cm="1">
        <f t="array" ref="AH28">bdRateExtend($G28:$G33,H28:H33,$R28:$R33,S28:S33)</f>
        <v>#VALUE!</v>
      </c>
      <c r="AI28" s="241" t="e" cm="1">
        <f t="array" ref="AI28">bdRateExtend($G28:$G33,I28:I33,$R28:$R33,T28:T33)</f>
        <v>#VALUE!</v>
      </c>
      <c r="AJ28" s="244" t="e" cm="1">
        <f t="array" ref="AJ28">bdRateExtend($G28:$G33,J28:J33,$R28:$R33,U28:U33)</f>
        <v>#VALUE!</v>
      </c>
      <c r="AK28" s="239" t="e" cm="1">
        <f t="array" ref="AK28">bdRateExtend($G28:$G31,K28:K31,$R28:$R31,V28:V31)</f>
        <v>#VALUE!</v>
      </c>
      <c r="AL28" s="248" t="e" cm="1">
        <f t="array" ref="AL28">bdRateExtend($G28:$G33,K28:K33,$R28:$R33,V28:V33)</f>
        <v>#VALUE!</v>
      </c>
      <c r="AM28" s="239" t="e" cm="1">
        <f t="array" ref="AM28">bdRateExtend($G28:$G31,L28:L31,$R28:$R31,W28:W31)</f>
        <v>#VALUE!</v>
      </c>
      <c r="AN28" s="248" t="e" cm="1">
        <f t="array" ref="AN28">bdRateExtend($G28:$G33,L28:L33,$R28:$R33,W28:W33)</f>
        <v>#VALUE!</v>
      </c>
      <c r="AO28" s="254" t="e" cm="1">
        <f t="array" ref="AO28">bdRateExtend($G28:$G31,M28:M31,$R28:$R31,X28:X31)</f>
        <v>#VALUE!</v>
      </c>
      <c r="AP28" s="248" t="e" cm="1">
        <f t="array" ref="AP28">bdRateExtend($G28:$G33,M28:M33,$R28:$R33,X28:X33)</f>
        <v>#VALUE!</v>
      </c>
    </row>
    <row r="29" spans="1:42" ht="17.100000000000001" customHeight="1" outlineLevel="4" x14ac:dyDescent="0.25">
      <c r="A29" s="222"/>
      <c r="B29" s="219"/>
      <c r="C29" s="229"/>
      <c r="D29" s="232"/>
      <c r="E29" s="235"/>
      <c r="F29" s="16">
        <v>31</v>
      </c>
      <c r="G29" s="34"/>
      <c r="H29" s="39"/>
      <c r="I29" s="39"/>
      <c r="J29" s="39"/>
      <c r="K29" s="39"/>
      <c r="L29" s="39"/>
      <c r="M29" s="39"/>
      <c r="N29" s="39"/>
      <c r="O29" s="39"/>
      <c r="P29" s="35"/>
      <c r="Q29" s="18"/>
      <c r="R29" s="34"/>
      <c r="S29" s="39"/>
      <c r="T29" s="39"/>
      <c r="U29" s="39"/>
      <c r="V29" s="39"/>
      <c r="W29" s="39"/>
      <c r="X29" s="39"/>
      <c r="Y29" s="39"/>
      <c r="Z29" s="39"/>
      <c r="AA29" s="35"/>
      <c r="AB29" s="50" t="e">
        <f t="shared" si="2"/>
        <v>#DIV/0!</v>
      </c>
      <c r="AC29" s="51" t="e">
        <f t="shared" si="3"/>
        <v>#DIV/0!</v>
      </c>
      <c r="AD29" s="19"/>
      <c r="AE29" s="19"/>
      <c r="AF29" s="285"/>
      <c r="AG29" s="240"/>
      <c r="AH29" s="242"/>
      <c r="AI29" s="242"/>
      <c r="AJ29" s="245"/>
      <c r="AK29" s="240"/>
      <c r="AL29" s="249"/>
      <c r="AM29" s="240"/>
      <c r="AN29" s="249"/>
      <c r="AO29" s="252"/>
      <c r="AP29" s="249"/>
    </row>
    <row r="30" spans="1:42" ht="17.100000000000001" customHeight="1" outlineLevel="4" x14ac:dyDescent="0.25">
      <c r="A30" s="222"/>
      <c r="B30" s="219"/>
      <c r="C30" s="229"/>
      <c r="D30" s="232"/>
      <c r="E30" s="235"/>
      <c r="F30" s="16">
        <v>39</v>
      </c>
      <c r="G30" s="34"/>
      <c r="H30" s="39"/>
      <c r="I30" s="39"/>
      <c r="J30" s="39"/>
      <c r="K30" s="39"/>
      <c r="L30" s="39"/>
      <c r="M30" s="39"/>
      <c r="N30" s="39"/>
      <c r="O30" s="39"/>
      <c r="P30" s="35"/>
      <c r="Q30" s="18"/>
      <c r="R30" s="34"/>
      <c r="S30" s="39"/>
      <c r="T30" s="39"/>
      <c r="U30" s="39"/>
      <c r="V30" s="39"/>
      <c r="W30" s="39"/>
      <c r="X30" s="39"/>
      <c r="Y30" s="39"/>
      <c r="Z30" s="39"/>
      <c r="AA30" s="35"/>
      <c r="AB30" s="50" t="e">
        <f t="shared" si="2"/>
        <v>#DIV/0!</v>
      </c>
      <c r="AC30" s="51" t="e">
        <f t="shared" si="3"/>
        <v>#DIV/0!</v>
      </c>
      <c r="AD30" s="19"/>
      <c r="AE30" s="19"/>
      <c r="AF30" s="285" t="s">
        <v>127</v>
      </c>
      <c r="AG30" s="240" t="e" cm="1">
        <f t="array" ref="AG30">bdRateExtend($G29:$G32,H29:H32,$R29:$R32,S29:S32)</f>
        <v>#VALUE!</v>
      </c>
      <c r="AH30" s="242"/>
      <c r="AI30" s="242"/>
      <c r="AJ30" s="245"/>
      <c r="AK30" s="240" t="e" cm="1">
        <f t="array" ref="AK30">bdRateExtend($G29:$G32,K29:K32,$R29:$R32,V29:V32)</f>
        <v>#VALUE!</v>
      </c>
      <c r="AL30" s="249"/>
      <c r="AM30" s="240" t="e" cm="1">
        <f t="array" ref="AM30">bdRateExtend($G29:$G32,L29:L32,$R29:$R32,W29:W32)</f>
        <v>#VALUE!</v>
      </c>
      <c r="AN30" s="249"/>
      <c r="AO30" s="252" t="e" cm="1">
        <f t="array" ref="AO30">bdRateExtend($G29:$G32,M29:M32,$R29:$R32,X29:X32)</f>
        <v>#VALUE!</v>
      </c>
      <c r="AP30" s="249"/>
    </row>
    <row r="31" spans="1:42" ht="17.100000000000001" customHeight="1" outlineLevel="4" x14ac:dyDescent="0.25">
      <c r="A31" s="222"/>
      <c r="B31" s="219"/>
      <c r="C31" s="229"/>
      <c r="D31" s="232"/>
      <c r="E31" s="235"/>
      <c r="F31" s="16">
        <v>47</v>
      </c>
      <c r="G31" s="34"/>
      <c r="H31" s="39"/>
      <c r="I31" s="39"/>
      <c r="J31" s="39"/>
      <c r="K31" s="39"/>
      <c r="L31" s="39"/>
      <c r="M31" s="39"/>
      <c r="N31" s="39"/>
      <c r="O31" s="39"/>
      <c r="P31" s="35"/>
      <c r="Q31" s="18"/>
      <c r="R31" s="34"/>
      <c r="S31" s="39"/>
      <c r="T31" s="39"/>
      <c r="U31" s="39"/>
      <c r="V31" s="39"/>
      <c r="W31" s="39"/>
      <c r="X31" s="39"/>
      <c r="Y31" s="39"/>
      <c r="Z31" s="39"/>
      <c r="AA31" s="35"/>
      <c r="AB31" s="50" t="e">
        <f t="shared" si="2"/>
        <v>#DIV/0!</v>
      </c>
      <c r="AC31" s="51" t="e">
        <f t="shared" si="3"/>
        <v>#DIV/0!</v>
      </c>
      <c r="AD31" s="19"/>
      <c r="AE31" s="19"/>
      <c r="AF31" s="285"/>
      <c r="AG31" s="240"/>
      <c r="AH31" s="242"/>
      <c r="AI31" s="242"/>
      <c r="AJ31" s="245"/>
      <c r="AK31" s="240"/>
      <c r="AL31" s="249"/>
      <c r="AM31" s="240"/>
      <c r="AN31" s="249"/>
      <c r="AO31" s="252"/>
      <c r="AP31" s="249"/>
    </row>
    <row r="32" spans="1:42" ht="17.100000000000001" customHeight="1" outlineLevel="4" x14ac:dyDescent="0.25">
      <c r="A32" s="222"/>
      <c r="B32" s="219"/>
      <c r="C32" s="229"/>
      <c r="D32" s="232"/>
      <c r="E32" s="235"/>
      <c r="F32" s="16">
        <v>55</v>
      </c>
      <c r="G32" s="34"/>
      <c r="H32" s="39"/>
      <c r="I32" s="39"/>
      <c r="J32" s="39"/>
      <c r="K32" s="39"/>
      <c r="L32" s="39"/>
      <c r="M32" s="39"/>
      <c r="N32" s="39"/>
      <c r="O32" s="39"/>
      <c r="P32" s="35"/>
      <c r="Q32" s="18"/>
      <c r="R32" s="34"/>
      <c r="S32" s="39"/>
      <c r="T32" s="39"/>
      <c r="U32" s="39"/>
      <c r="V32" s="39"/>
      <c r="W32" s="39"/>
      <c r="X32" s="39"/>
      <c r="Y32" s="39"/>
      <c r="Z32" s="39"/>
      <c r="AA32" s="35"/>
      <c r="AB32" s="50" t="e">
        <f t="shared" si="2"/>
        <v>#DIV/0!</v>
      </c>
      <c r="AC32" s="51" t="e">
        <f t="shared" si="3"/>
        <v>#DIV/0!</v>
      </c>
      <c r="AD32" s="19"/>
      <c r="AE32" s="19"/>
      <c r="AF32" s="285" t="s">
        <v>128</v>
      </c>
      <c r="AG32" s="240" t="e" cm="1">
        <f t="array" ref="AG32">bdRateExtend($G30:$G33,H30:H33,$R30:$R33,S30:S33)</f>
        <v>#VALUE!</v>
      </c>
      <c r="AH32" s="242"/>
      <c r="AI32" s="242"/>
      <c r="AJ32" s="245"/>
      <c r="AK32" s="240" t="e" cm="1">
        <f t="array" ref="AK32">bdRateExtend($G30:$G33,K30:K33,$R30:$R33,V30:V33)</f>
        <v>#VALUE!</v>
      </c>
      <c r="AL32" s="249"/>
      <c r="AM32" s="240" t="e" cm="1">
        <f t="array" ref="AM32">bdRateExtend($G30:$G33,L30:L33,$R30:$R33,W30:W33)</f>
        <v>#VALUE!</v>
      </c>
      <c r="AN32" s="249"/>
      <c r="AO32" s="252" t="e" cm="1">
        <f t="array" ref="AO32">bdRateExtend($G30:$G33,M30:M33,$R30:$R33,X30:X33)</f>
        <v>#VALUE!</v>
      </c>
      <c r="AP32" s="249"/>
    </row>
    <row r="33" spans="1:42" ht="17.100000000000001" customHeight="1" outlineLevel="4" thickBot="1" x14ac:dyDescent="0.3">
      <c r="A33" s="222"/>
      <c r="B33" s="220"/>
      <c r="C33" s="230"/>
      <c r="D33" s="233"/>
      <c r="E33" s="236"/>
      <c r="F33" s="9">
        <v>63</v>
      </c>
      <c r="G33" s="36"/>
      <c r="H33" s="37"/>
      <c r="I33" s="37"/>
      <c r="J33" s="37"/>
      <c r="K33" s="37"/>
      <c r="L33" s="37"/>
      <c r="M33" s="37"/>
      <c r="N33" s="37"/>
      <c r="O33" s="37"/>
      <c r="P33" s="38"/>
      <c r="Q33" s="18"/>
      <c r="R33" s="36"/>
      <c r="S33" s="37"/>
      <c r="T33" s="37"/>
      <c r="U33" s="37"/>
      <c r="V33" s="37"/>
      <c r="W33" s="37"/>
      <c r="X33" s="37"/>
      <c r="Y33" s="37"/>
      <c r="Z33" s="37"/>
      <c r="AA33" s="38"/>
      <c r="AB33" s="52" t="e">
        <f t="shared" si="2"/>
        <v>#DIV/0!</v>
      </c>
      <c r="AC33" s="53" t="e">
        <f t="shared" si="3"/>
        <v>#DIV/0!</v>
      </c>
      <c r="AD33" s="19"/>
      <c r="AE33" s="19"/>
      <c r="AF33" s="286"/>
      <c r="AG33" s="247"/>
      <c r="AH33" s="243"/>
      <c r="AI33" s="243"/>
      <c r="AJ33" s="246"/>
      <c r="AK33" s="247"/>
      <c r="AL33" s="250"/>
      <c r="AM33" s="247"/>
      <c r="AN33" s="250"/>
      <c r="AO33" s="253"/>
      <c r="AP33" s="250"/>
    </row>
    <row r="34" spans="1:42" ht="17.100000000000001" customHeight="1" outlineLevel="4" x14ac:dyDescent="0.25">
      <c r="A34" s="222"/>
      <c r="B34" s="218" t="s">
        <v>18</v>
      </c>
      <c r="C34" s="228" t="s">
        <v>34</v>
      </c>
      <c r="D34" s="231">
        <v>29.97</v>
      </c>
      <c r="E34" s="234"/>
      <c r="F34" s="7">
        <v>23</v>
      </c>
      <c r="G34" s="31"/>
      <c r="H34" s="32"/>
      <c r="I34" s="32"/>
      <c r="J34" s="32"/>
      <c r="K34" s="32"/>
      <c r="L34" s="32"/>
      <c r="M34" s="32"/>
      <c r="N34" s="32"/>
      <c r="O34" s="32"/>
      <c r="P34" s="33"/>
      <c r="Q34" s="18"/>
      <c r="R34" s="31"/>
      <c r="S34" s="32"/>
      <c r="T34" s="32"/>
      <c r="U34" s="32"/>
      <c r="V34" s="32"/>
      <c r="W34" s="32"/>
      <c r="X34" s="32"/>
      <c r="Y34" s="32"/>
      <c r="Z34" s="32"/>
      <c r="AA34" s="33"/>
      <c r="AB34" s="48" t="e">
        <f t="shared" si="2"/>
        <v>#DIV/0!</v>
      </c>
      <c r="AC34" s="49" t="e">
        <f t="shared" si="3"/>
        <v>#DIV/0!</v>
      </c>
      <c r="AD34" s="19"/>
      <c r="AE34" s="19"/>
      <c r="AF34" s="284" t="s">
        <v>126</v>
      </c>
      <c r="AG34" s="239" t="e" cm="1">
        <f t="array" ref="AG34">bdRateExtend($G34:$G37,H34:H37,$R34:$R37,S34:S37)</f>
        <v>#VALUE!</v>
      </c>
      <c r="AH34" s="241" t="e" cm="1">
        <f t="array" ref="AH34">bdRateExtend($G34:$G39,H34:H39,$R34:$R39,S34:S39)</f>
        <v>#VALUE!</v>
      </c>
      <c r="AI34" s="241" t="e" cm="1">
        <f t="array" ref="AI34">bdRateExtend($G34:$G39,I34:I39,$R34:$R39,T34:T39)</f>
        <v>#VALUE!</v>
      </c>
      <c r="AJ34" s="244" t="e" cm="1">
        <f t="array" ref="AJ34">bdRateExtend($G34:$G39,J34:J39,$R34:$R39,U34:U39)</f>
        <v>#VALUE!</v>
      </c>
      <c r="AK34" s="239" t="e" cm="1">
        <f t="array" ref="AK34">bdRateExtend($G34:$G37,K34:K37,$R34:$R37,V34:V37)</f>
        <v>#VALUE!</v>
      </c>
      <c r="AL34" s="248" t="e" cm="1">
        <f t="array" ref="AL34">bdRateExtend($G34:$G39,K34:K39,$R34:$R39,V34:V39)</f>
        <v>#VALUE!</v>
      </c>
      <c r="AM34" s="239" t="e" cm="1">
        <f t="array" ref="AM34">bdRateExtend($G34:$G37,L34:L37,$R34:$R37,W34:W37)</f>
        <v>#VALUE!</v>
      </c>
      <c r="AN34" s="248" t="e" cm="1">
        <f t="array" ref="AN34">bdRateExtend($G34:$G39,L34:L39,$R34:$R39,W34:W39)</f>
        <v>#VALUE!</v>
      </c>
      <c r="AO34" s="254" t="e" cm="1">
        <f t="array" ref="AO34">bdRateExtend($G34:$G37,M34:M37,$R34:$R37,X34:X37)</f>
        <v>#VALUE!</v>
      </c>
      <c r="AP34" s="248" t="e" cm="1">
        <f t="array" ref="AP34">bdRateExtend($G34:$G39,M34:M39,$R34:$R39,X34:X39)</f>
        <v>#VALUE!</v>
      </c>
    </row>
    <row r="35" spans="1:42" ht="17.100000000000001" customHeight="1" outlineLevel="4" x14ac:dyDescent="0.25">
      <c r="A35" s="222"/>
      <c r="B35" s="219"/>
      <c r="C35" s="229"/>
      <c r="D35" s="232"/>
      <c r="E35" s="235"/>
      <c r="F35" s="16">
        <v>31</v>
      </c>
      <c r="G35" s="34"/>
      <c r="H35" s="39"/>
      <c r="I35" s="39"/>
      <c r="J35" s="39"/>
      <c r="K35" s="39"/>
      <c r="L35" s="39"/>
      <c r="M35" s="39"/>
      <c r="N35" s="39"/>
      <c r="O35" s="39"/>
      <c r="P35" s="35"/>
      <c r="Q35" s="18"/>
      <c r="R35" s="34"/>
      <c r="S35" s="39"/>
      <c r="T35" s="39"/>
      <c r="U35" s="39"/>
      <c r="V35" s="39"/>
      <c r="W35" s="39"/>
      <c r="X35" s="39"/>
      <c r="Y35" s="39"/>
      <c r="Z35" s="39"/>
      <c r="AA35" s="35"/>
      <c r="AB35" s="50" t="e">
        <f t="shared" si="2"/>
        <v>#DIV/0!</v>
      </c>
      <c r="AC35" s="51" t="e">
        <f t="shared" si="3"/>
        <v>#DIV/0!</v>
      </c>
      <c r="AD35" s="19"/>
      <c r="AE35" s="19"/>
      <c r="AF35" s="285"/>
      <c r="AG35" s="240"/>
      <c r="AH35" s="242"/>
      <c r="AI35" s="242"/>
      <c r="AJ35" s="245"/>
      <c r="AK35" s="240"/>
      <c r="AL35" s="249"/>
      <c r="AM35" s="240"/>
      <c r="AN35" s="249"/>
      <c r="AO35" s="252"/>
      <c r="AP35" s="249"/>
    </row>
    <row r="36" spans="1:42" ht="17.100000000000001" customHeight="1" outlineLevel="4" x14ac:dyDescent="0.25">
      <c r="A36" s="222"/>
      <c r="B36" s="219"/>
      <c r="C36" s="229"/>
      <c r="D36" s="232"/>
      <c r="E36" s="235"/>
      <c r="F36" s="16">
        <v>39</v>
      </c>
      <c r="G36" s="34"/>
      <c r="H36" s="39"/>
      <c r="I36" s="39"/>
      <c r="J36" s="39"/>
      <c r="K36" s="39"/>
      <c r="L36" s="39"/>
      <c r="M36" s="39"/>
      <c r="N36" s="39"/>
      <c r="O36" s="39"/>
      <c r="P36" s="35"/>
      <c r="Q36" s="18"/>
      <c r="R36" s="34"/>
      <c r="S36" s="39"/>
      <c r="T36" s="39"/>
      <c r="U36" s="39"/>
      <c r="V36" s="39"/>
      <c r="W36" s="39"/>
      <c r="X36" s="39"/>
      <c r="Y36" s="39"/>
      <c r="Z36" s="39"/>
      <c r="AA36" s="35"/>
      <c r="AB36" s="50" t="e">
        <f t="shared" si="2"/>
        <v>#DIV/0!</v>
      </c>
      <c r="AC36" s="51" t="e">
        <f t="shared" si="3"/>
        <v>#DIV/0!</v>
      </c>
      <c r="AD36" s="19"/>
      <c r="AE36" s="19"/>
      <c r="AF36" s="285" t="s">
        <v>127</v>
      </c>
      <c r="AG36" s="240" t="e" cm="1">
        <f t="array" ref="AG36">bdRateExtend($G35:$G38,H35:H38,$R35:$R38,S35:S38)</f>
        <v>#VALUE!</v>
      </c>
      <c r="AH36" s="242"/>
      <c r="AI36" s="242"/>
      <c r="AJ36" s="245"/>
      <c r="AK36" s="240" t="e" cm="1">
        <f t="array" ref="AK36">bdRateExtend($G35:$G38,K35:K38,$R35:$R38,V35:V38)</f>
        <v>#VALUE!</v>
      </c>
      <c r="AL36" s="249"/>
      <c r="AM36" s="240" t="e" cm="1">
        <f t="array" ref="AM36">bdRateExtend($G35:$G38,L35:L38,$R35:$R38,W35:W38)</f>
        <v>#VALUE!</v>
      </c>
      <c r="AN36" s="249"/>
      <c r="AO36" s="252" t="e" cm="1">
        <f t="array" ref="AO36">bdRateExtend($G35:$G38,M35:M38,$R35:$R38,X35:X38)</f>
        <v>#VALUE!</v>
      </c>
      <c r="AP36" s="249"/>
    </row>
    <row r="37" spans="1:42" ht="17.100000000000001" customHeight="1" outlineLevel="4" x14ac:dyDescent="0.25">
      <c r="A37" s="222"/>
      <c r="B37" s="219"/>
      <c r="C37" s="229"/>
      <c r="D37" s="232"/>
      <c r="E37" s="235"/>
      <c r="F37" s="16">
        <v>47</v>
      </c>
      <c r="G37" s="34"/>
      <c r="H37" s="39"/>
      <c r="I37" s="39"/>
      <c r="J37" s="39"/>
      <c r="K37" s="39"/>
      <c r="L37" s="39"/>
      <c r="M37" s="39"/>
      <c r="N37" s="39"/>
      <c r="O37" s="39"/>
      <c r="P37" s="35"/>
      <c r="Q37" s="18"/>
      <c r="R37" s="34"/>
      <c r="S37" s="39"/>
      <c r="T37" s="39"/>
      <c r="U37" s="39"/>
      <c r="V37" s="39"/>
      <c r="W37" s="39"/>
      <c r="X37" s="39"/>
      <c r="Y37" s="39"/>
      <c r="Z37" s="39"/>
      <c r="AA37" s="35"/>
      <c r="AB37" s="50" t="e">
        <f t="shared" si="2"/>
        <v>#DIV/0!</v>
      </c>
      <c r="AC37" s="51" t="e">
        <f t="shared" si="3"/>
        <v>#DIV/0!</v>
      </c>
      <c r="AD37" s="19"/>
      <c r="AE37" s="19"/>
      <c r="AF37" s="285"/>
      <c r="AG37" s="240"/>
      <c r="AH37" s="242"/>
      <c r="AI37" s="242"/>
      <c r="AJ37" s="245"/>
      <c r="AK37" s="240"/>
      <c r="AL37" s="249"/>
      <c r="AM37" s="240"/>
      <c r="AN37" s="249"/>
      <c r="AO37" s="252"/>
      <c r="AP37" s="249"/>
    </row>
    <row r="38" spans="1:42" ht="17.100000000000001" customHeight="1" outlineLevel="4" x14ac:dyDescent="0.25">
      <c r="A38" s="222"/>
      <c r="B38" s="219"/>
      <c r="C38" s="229"/>
      <c r="D38" s="232"/>
      <c r="E38" s="235"/>
      <c r="F38" s="16">
        <v>55</v>
      </c>
      <c r="G38" s="34"/>
      <c r="H38" s="39"/>
      <c r="I38" s="39"/>
      <c r="J38" s="39"/>
      <c r="K38" s="39"/>
      <c r="L38" s="39"/>
      <c r="M38" s="39"/>
      <c r="N38" s="39"/>
      <c r="O38" s="39"/>
      <c r="P38" s="35"/>
      <c r="Q38" s="18"/>
      <c r="R38" s="34"/>
      <c r="S38" s="39"/>
      <c r="T38" s="39"/>
      <c r="U38" s="39"/>
      <c r="V38" s="39"/>
      <c r="W38" s="39"/>
      <c r="X38" s="39"/>
      <c r="Y38" s="39"/>
      <c r="Z38" s="39"/>
      <c r="AA38" s="35"/>
      <c r="AB38" s="50" t="e">
        <f t="shared" si="2"/>
        <v>#DIV/0!</v>
      </c>
      <c r="AC38" s="51" t="e">
        <f t="shared" si="3"/>
        <v>#DIV/0!</v>
      </c>
      <c r="AD38" s="19"/>
      <c r="AE38" s="19"/>
      <c r="AF38" s="285" t="s">
        <v>128</v>
      </c>
      <c r="AG38" s="240" t="e" cm="1">
        <f t="array" ref="AG38">bdRateExtend($G36:$G39,H36:H39,$R36:$R39,S36:S39)</f>
        <v>#VALUE!</v>
      </c>
      <c r="AH38" s="242"/>
      <c r="AI38" s="242"/>
      <c r="AJ38" s="245"/>
      <c r="AK38" s="240" t="e" cm="1">
        <f t="array" ref="AK38">bdRateExtend($G36:$G39,K36:K39,$R36:$R39,V36:V39)</f>
        <v>#VALUE!</v>
      </c>
      <c r="AL38" s="249"/>
      <c r="AM38" s="240" t="e" cm="1">
        <f t="array" ref="AM38">bdRateExtend($G36:$G39,L36:L39,$R36:$R39,W36:W39)</f>
        <v>#VALUE!</v>
      </c>
      <c r="AN38" s="249"/>
      <c r="AO38" s="252" t="e" cm="1">
        <f t="array" ref="AO38">bdRateExtend($G36:$G39,M36:M39,$R36:$R39,X36:X39)</f>
        <v>#VALUE!</v>
      </c>
      <c r="AP38" s="249"/>
    </row>
    <row r="39" spans="1:42" ht="17.100000000000001" customHeight="1" outlineLevel="4" thickBot="1" x14ac:dyDescent="0.3">
      <c r="A39" s="222"/>
      <c r="B39" s="220"/>
      <c r="C39" s="230"/>
      <c r="D39" s="233"/>
      <c r="E39" s="236"/>
      <c r="F39" s="9">
        <v>63</v>
      </c>
      <c r="G39" s="36"/>
      <c r="H39" s="37"/>
      <c r="I39" s="37"/>
      <c r="J39" s="37"/>
      <c r="K39" s="37"/>
      <c r="L39" s="37"/>
      <c r="M39" s="37"/>
      <c r="N39" s="37"/>
      <c r="O39" s="37"/>
      <c r="P39" s="38"/>
      <c r="Q39" s="18"/>
      <c r="R39" s="36"/>
      <c r="S39" s="37"/>
      <c r="T39" s="37"/>
      <c r="U39" s="37"/>
      <c r="V39" s="37"/>
      <c r="W39" s="37"/>
      <c r="X39" s="37"/>
      <c r="Y39" s="37"/>
      <c r="Z39" s="37"/>
      <c r="AA39" s="38"/>
      <c r="AB39" s="52" t="e">
        <f t="shared" si="2"/>
        <v>#DIV/0!</v>
      </c>
      <c r="AC39" s="53" t="e">
        <f t="shared" si="3"/>
        <v>#DIV/0!</v>
      </c>
      <c r="AD39" s="19"/>
      <c r="AE39" s="19"/>
      <c r="AF39" s="286"/>
      <c r="AG39" s="247"/>
      <c r="AH39" s="243"/>
      <c r="AI39" s="243"/>
      <c r="AJ39" s="246"/>
      <c r="AK39" s="247"/>
      <c r="AL39" s="250"/>
      <c r="AM39" s="247"/>
      <c r="AN39" s="250"/>
      <c r="AO39" s="253"/>
      <c r="AP39" s="250"/>
    </row>
    <row r="40" spans="1:42" ht="17.100000000000001" customHeight="1" outlineLevel="4" x14ac:dyDescent="0.25">
      <c r="A40" s="222"/>
      <c r="B40" s="218" t="s">
        <v>18</v>
      </c>
      <c r="C40" s="228" t="s">
        <v>35</v>
      </c>
      <c r="D40" s="231">
        <v>59.94</v>
      </c>
      <c r="E40" s="234"/>
      <c r="F40" s="7">
        <v>23</v>
      </c>
      <c r="G40" s="31"/>
      <c r="H40" s="32"/>
      <c r="I40" s="32"/>
      <c r="J40" s="32"/>
      <c r="K40" s="32"/>
      <c r="L40" s="32"/>
      <c r="M40" s="32"/>
      <c r="N40" s="32"/>
      <c r="O40" s="32"/>
      <c r="P40" s="33"/>
      <c r="Q40" s="18"/>
      <c r="R40" s="31"/>
      <c r="S40" s="32"/>
      <c r="T40" s="32"/>
      <c r="U40" s="32"/>
      <c r="V40" s="32"/>
      <c r="W40" s="32"/>
      <c r="X40" s="32"/>
      <c r="Y40" s="32"/>
      <c r="Z40" s="32"/>
      <c r="AA40" s="33"/>
      <c r="AB40" s="48" t="e">
        <f t="shared" si="2"/>
        <v>#DIV/0!</v>
      </c>
      <c r="AC40" s="49" t="e">
        <f t="shared" si="3"/>
        <v>#DIV/0!</v>
      </c>
      <c r="AD40" s="19"/>
      <c r="AE40" s="19"/>
      <c r="AF40" s="284" t="s">
        <v>126</v>
      </c>
      <c r="AG40" s="239" t="e" cm="1">
        <f t="array" ref="AG40">bdRateExtend($G40:$G43,H40:H43,$R40:$R43,S40:S43)</f>
        <v>#VALUE!</v>
      </c>
      <c r="AH40" s="241" t="e" cm="1">
        <f t="array" ref="AH40">bdRateExtend($G40:$G45,H40:H45,$R40:$R45,S40:S45)</f>
        <v>#VALUE!</v>
      </c>
      <c r="AI40" s="241" t="e" cm="1">
        <f t="array" ref="AI40">bdRateExtend($G40:$G45,I40:I45,$R40:$R45,T40:T45)</f>
        <v>#VALUE!</v>
      </c>
      <c r="AJ40" s="244" t="e" cm="1">
        <f t="array" ref="AJ40">bdRateExtend($G40:$G45,J40:J45,$R40:$R45,U40:U45)</f>
        <v>#VALUE!</v>
      </c>
      <c r="AK40" s="239" t="e" cm="1">
        <f t="array" ref="AK40">bdRateExtend($G40:$G43,K40:K43,$R40:$R43,V40:V43)</f>
        <v>#VALUE!</v>
      </c>
      <c r="AL40" s="248" t="e" cm="1">
        <f t="array" ref="AL40">bdRateExtend($G40:$G45,K40:K45,$R40:$R45,V40:V45)</f>
        <v>#VALUE!</v>
      </c>
      <c r="AM40" s="239" t="e" cm="1">
        <f t="array" ref="AM40">bdRateExtend($G40:$G43,L40:L43,$R40:$R43,W40:W43)</f>
        <v>#VALUE!</v>
      </c>
      <c r="AN40" s="248" t="e" cm="1">
        <f t="array" ref="AN40">bdRateExtend($G40:$G45,L40:L45,$R40:$R45,W40:W45)</f>
        <v>#VALUE!</v>
      </c>
      <c r="AO40" s="254" t="e" cm="1">
        <f t="array" ref="AO40">bdRateExtend($G40:$G43,M40:M43,$R40:$R43,X40:X43)</f>
        <v>#VALUE!</v>
      </c>
      <c r="AP40" s="248" t="e" cm="1">
        <f t="array" ref="AP40">bdRateExtend($G40:$G45,M40:M45,$R40:$R45,X40:X45)</f>
        <v>#VALUE!</v>
      </c>
    </row>
    <row r="41" spans="1:42" ht="17.100000000000001" customHeight="1" outlineLevel="4" x14ac:dyDescent="0.25">
      <c r="A41" s="222"/>
      <c r="B41" s="219"/>
      <c r="C41" s="229"/>
      <c r="D41" s="232"/>
      <c r="E41" s="235"/>
      <c r="F41" s="16">
        <v>31</v>
      </c>
      <c r="G41" s="34"/>
      <c r="H41" s="39"/>
      <c r="I41" s="39"/>
      <c r="J41" s="39"/>
      <c r="K41" s="39"/>
      <c r="L41" s="39"/>
      <c r="M41" s="39"/>
      <c r="N41" s="39"/>
      <c r="O41" s="39"/>
      <c r="P41" s="35"/>
      <c r="Q41" s="18"/>
      <c r="R41" s="34"/>
      <c r="S41" s="39"/>
      <c r="T41" s="39"/>
      <c r="U41" s="39"/>
      <c r="V41" s="39"/>
      <c r="W41" s="39"/>
      <c r="X41" s="39"/>
      <c r="Y41" s="39"/>
      <c r="Z41" s="39"/>
      <c r="AA41" s="35"/>
      <c r="AB41" s="50" t="e">
        <f t="shared" si="2"/>
        <v>#DIV/0!</v>
      </c>
      <c r="AC41" s="51" t="e">
        <f t="shared" si="3"/>
        <v>#DIV/0!</v>
      </c>
      <c r="AD41" s="19"/>
      <c r="AE41" s="19"/>
      <c r="AF41" s="285"/>
      <c r="AG41" s="240"/>
      <c r="AH41" s="242"/>
      <c r="AI41" s="242"/>
      <c r="AJ41" s="245"/>
      <c r="AK41" s="240"/>
      <c r="AL41" s="249"/>
      <c r="AM41" s="240"/>
      <c r="AN41" s="249"/>
      <c r="AO41" s="252"/>
      <c r="AP41" s="249"/>
    </row>
    <row r="42" spans="1:42" ht="17.100000000000001" customHeight="1" outlineLevel="4" x14ac:dyDescent="0.25">
      <c r="A42" s="222"/>
      <c r="B42" s="219"/>
      <c r="C42" s="229"/>
      <c r="D42" s="232"/>
      <c r="E42" s="235"/>
      <c r="F42" s="16">
        <v>39</v>
      </c>
      <c r="G42" s="34"/>
      <c r="H42" s="39"/>
      <c r="I42" s="39"/>
      <c r="J42" s="39"/>
      <c r="K42" s="39"/>
      <c r="L42" s="39"/>
      <c r="M42" s="39"/>
      <c r="N42" s="39"/>
      <c r="O42" s="39"/>
      <c r="P42" s="35"/>
      <c r="Q42" s="18"/>
      <c r="R42" s="34"/>
      <c r="S42" s="39"/>
      <c r="T42" s="39"/>
      <c r="U42" s="39"/>
      <c r="V42" s="39"/>
      <c r="W42" s="39"/>
      <c r="X42" s="39"/>
      <c r="Y42" s="39"/>
      <c r="Z42" s="39"/>
      <c r="AA42" s="35"/>
      <c r="AB42" s="50" t="e">
        <f t="shared" si="2"/>
        <v>#DIV/0!</v>
      </c>
      <c r="AC42" s="51" t="e">
        <f t="shared" si="3"/>
        <v>#DIV/0!</v>
      </c>
      <c r="AD42" s="19"/>
      <c r="AE42" s="19"/>
      <c r="AF42" s="285" t="s">
        <v>127</v>
      </c>
      <c r="AG42" s="240" t="e" cm="1">
        <f t="array" ref="AG42">bdRateExtend($G41:$G44,H41:H44,$R41:$R44,S41:S44)</f>
        <v>#VALUE!</v>
      </c>
      <c r="AH42" s="242"/>
      <c r="AI42" s="242"/>
      <c r="AJ42" s="245"/>
      <c r="AK42" s="240" t="e" cm="1">
        <f t="array" ref="AK42">bdRateExtend($G41:$G44,K41:K44,$R41:$R44,V41:V44)</f>
        <v>#VALUE!</v>
      </c>
      <c r="AL42" s="249"/>
      <c r="AM42" s="240" t="e" cm="1">
        <f t="array" ref="AM42">bdRateExtend($G41:$G44,L41:L44,$R41:$R44,W41:W44)</f>
        <v>#VALUE!</v>
      </c>
      <c r="AN42" s="249"/>
      <c r="AO42" s="252" t="e" cm="1">
        <f t="array" ref="AO42">bdRateExtend($G41:$G44,M41:M44,$R41:$R44,X41:X44)</f>
        <v>#VALUE!</v>
      </c>
      <c r="AP42" s="249"/>
    </row>
    <row r="43" spans="1:42" ht="17.100000000000001" customHeight="1" outlineLevel="4" x14ac:dyDescent="0.25">
      <c r="A43" s="222"/>
      <c r="B43" s="219"/>
      <c r="C43" s="229"/>
      <c r="D43" s="232"/>
      <c r="E43" s="235"/>
      <c r="F43" s="16">
        <v>47</v>
      </c>
      <c r="G43" s="34"/>
      <c r="H43" s="39"/>
      <c r="I43" s="39"/>
      <c r="J43" s="39"/>
      <c r="K43" s="39"/>
      <c r="L43" s="39"/>
      <c r="M43" s="39"/>
      <c r="N43" s="39"/>
      <c r="O43" s="39"/>
      <c r="P43" s="35"/>
      <c r="Q43" s="18"/>
      <c r="R43" s="34"/>
      <c r="S43" s="39"/>
      <c r="T43" s="39"/>
      <c r="U43" s="39"/>
      <c r="V43" s="39"/>
      <c r="W43" s="39"/>
      <c r="X43" s="39"/>
      <c r="Y43" s="39"/>
      <c r="Z43" s="39"/>
      <c r="AA43" s="35"/>
      <c r="AB43" s="50" t="e">
        <f t="shared" si="2"/>
        <v>#DIV/0!</v>
      </c>
      <c r="AC43" s="51" t="e">
        <f t="shared" si="3"/>
        <v>#DIV/0!</v>
      </c>
      <c r="AD43" s="19"/>
      <c r="AE43" s="19"/>
      <c r="AF43" s="285"/>
      <c r="AG43" s="240"/>
      <c r="AH43" s="242"/>
      <c r="AI43" s="242"/>
      <c r="AJ43" s="245"/>
      <c r="AK43" s="240"/>
      <c r="AL43" s="249"/>
      <c r="AM43" s="240"/>
      <c r="AN43" s="249"/>
      <c r="AO43" s="252"/>
      <c r="AP43" s="249"/>
    </row>
    <row r="44" spans="1:42" ht="17.100000000000001" customHeight="1" outlineLevel="4" x14ac:dyDescent="0.25">
      <c r="A44" s="222"/>
      <c r="B44" s="219"/>
      <c r="C44" s="229"/>
      <c r="D44" s="232"/>
      <c r="E44" s="235"/>
      <c r="F44" s="16">
        <v>55</v>
      </c>
      <c r="G44" s="34"/>
      <c r="H44" s="39"/>
      <c r="I44" s="39"/>
      <c r="J44" s="39"/>
      <c r="K44" s="39"/>
      <c r="L44" s="39"/>
      <c r="M44" s="39"/>
      <c r="N44" s="39"/>
      <c r="O44" s="39"/>
      <c r="P44" s="35"/>
      <c r="Q44" s="18"/>
      <c r="R44" s="34"/>
      <c r="S44" s="39"/>
      <c r="T44" s="39"/>
      <c r="U44" s="39"/>
      <c r="V44" s="39"/>
      <c r="W44" s="39"/>
      <c r="X44" s="39"/>
      <c r="Y44" s="39"/>
      <c r="Z44" s="39"/>
      <c r="AA44" s="35"/>
      <c r="AB44" s="50" t="e">
        <f t="shared" si="2"/>
        <v>#DIV/0!</v>
      </c>
      <c r="AC44" s="51" t="e">
        <f t="shared" si="3"/>
        <v>#DIV/0!</v>
      </c>
      <c r="AD44" s="19"/>
      <c r="AE44" s="19"/>
      <c r="AF44" s="285" t="s">
        <v>128</v>
      </c>
      <c r="AG44" s="240" t="e" cm="1">
        <f t="array" ref="AG44">bdRateExtend($G42:$G45,H42:H45,$R42:$R45,S42:S45)</f>
        <v>#VALUE!</v>
      </c>
      <c r="AH44" s="242"/>
      <c r="AI44" s="242"/>
      <c r="AJ44" s="245"/>
      <c r="AK44" s="240" t="e" cm="1">
        <f t="array" ref="AK44">bdRateExtend($G42:$G45,K42:K45,$R42:$R45,V42:V45)</f>
        <v>#VALUE!</v>
      </c>
      <c r="AL44" s="249"/>
      <c r="AM44" s="240" t="e" cm="1">
        <f t="array" ref="AM44">bdRateExtend($G42:$G45,L42:L45,$R42:$R45,W42:W45)</f>
        <v>#VALUE!</v>
      </c>
      <c r="AN44" s="249"/>
      <c r="AO44" s="252" t="e" cm="1">
        <f t="array" ref="AO44">bdRateExtend($G42:$G45,M42:M45,$R42:$R45,X42:X45)</f>
        <v>#VALUE!</v>
      </c>
      <c r="AP44" s="249"/>
    </row>
    <row r="45" spans="1:42" ht="17.100000000000001" customHeight="1" outlineLevel="4" thickBot="1" x14ac:dyDescent="0.3">
      <c r="A45" s="222"/>
      <c r="B45" s="220"/>
      <c r="C45" s="230"/>
      <c r="D45" s="233"/>
      <c r="E45" s="236"/>
      <c r="F45" s="9">
        <v>63</v>
      </c>
      <c r="G45" s="36"/>
      <c r="H45" s="37"/>
      <c r="I45" s="37"/>
      <c r="J45" s="37"/>
      <c r="K45" s="37"/>
      <c r="L45" s="37"/>
      <c r="M45" s="37"/>
      <c r="N45" s="37"/>
      <c r="O45" s="37"/>
      <c r="P45" s="38"/>
      <c r="Q45" s="18"/>
      <c r="R45" s="36"/>
      <c r="S45" s="37"/>
      <c r="T45" s="37"/>
      <c r="U45" s="37"/>
      <c r="V45" s="37"/>
      <c r="W45" s="37"/>
      <c r="X45" s="37"/>
      <c r="Y45" s="37"/>
      <c r="Z45" s="37"/>
      <c r="AA45" s="38"/>
      <c r="AB45" s="52" t="e">
        <f t="shared" si="2"/>
        <v>#DIV/0!</v>
      </c>
      <c r="AC45" s="53" t="e">
        <f t="shared" si="3"/>
        <v>#DIV/0!</v>
      </c>
      <c r="AD45" s="19"/>
      <c r="AE45" s="19"/>
      <c r="AF45" s="286"/>
      <c r="AG45" s="247"/>
      <c r="AH45" s="243"/>
      <c r="AI45" s="243"/>
      <c r="AJ45" s="246"/>
      <c r="AK45" s="247"/>
      <c r="AL45" s="250"/>
      <c r="AM45" s="247"/>
      <c r="AN45" s="250"/>
      <c r="AO45" s="253"/>
      <c r="AP45" s="250"/>
    </row>
    <row r="46" spans="1:42" ht="17.100000000000001" customHeight="1" outlineLevel="4" x14ac:dyDescent="0.25">
      <c r="A46" s="222"/>
      <c r="B46" s="218" t="s">
        <v>18</v>
      </c>
      <c r="C46" s="228" t="s">
        <v>36</v>
      </c>
      <c r="D46" s="231">
        <v>59.94</v>
      </c>
      <c r="E46" s="234"/>
      <c r="F46" s="7">
        <v>23</v>
      </c>
      <c r="G46" s="31"/>
      <c r="H46" s="32"/>
      <c r="I46" s="32"/>
      <c r="J46" s="32"/>
      <c r="K46" s="32"/>
      <c r="L46" s="32"/>
      <c r="M46" s="32"/>
      <c r="N46" s="32"/>
      <c r="O46" s="32"/>
      <c r="P46" s="33"/>
      <c r="Q46" s="18"/>
      <c r="R46" s="31"/>
      <c r="S46" s="32"/>
      <c r="T46" s="32"/>
      <c r="U46" s="32"/>
      <c r="V46" s="32"/>
      <c r="W46" s="32"/>
      <c r="X46" s="32"/>
      <c r="Y46" s="32"/>
      <c r="Z46" s="32"/>
      <c r="AA46" s="33"/>
      <c r="AB46" s="48" t="e">
        <f t="shared" si="2"/>
        <v>#DIV/0!</v>
      </c>
      <c r="AC46" s="49" t="e">
        <f t="shared" si="3"/>
        <v>#DIV/0!</v>
      </c>
      <c r="AD46" s="19"/>
      <c r="AE46" s="19"/>
      <c r="AF46" s="284" t="s">
        <v>126</v>
      </c>
      <c r="AG46" s="239" t="e" cm="1">
        <f t="array" ref="AG46">bdRateExtend($G46:$G49,H46:H49,$R46:$R49,S46:S49)</f>
        <v>#VALUE!</v>
      </c>
      <c r="AH46" s="241" t="e" cm="1">
        <f t="array" ref="AH46">bdRateExtend($G46:$G51,H46:H51,$R46:$R51,S46:S51)</f>
        <v>#VALUE!</v>
      </c>
      <c r="AI46" s="241" t="e" cm="1">
        <f t="array" ref="AI46">bdRateExtend($G46:$G51,I46:I51,$R46:$R51,T46:T51)</f>
        <v>#VALUE!</v>
      </c>
      <c r="AJ46" s="244" t="e" cm="1">
        <f t="array" ref="AJ46">bdRateExtend($G46:$G51,J46:J51,$R46:$R51,U46:U51)</f>
        <v>#VALUE!</v>
      </c>
      <c r="AK46" s="239" t="e" cm="1">
        <f t="array" ref="AK46">bdRateExtend($G46:$G49,K46:K49,$R46:$R49,V46:V49)</f>
        <v>#VALUE!</v>
      </c>
      <c r="AL46" s="248" t="e" cm="1">
        <f t="array" ref="AL46">bdRateExtend($G46:$G51,K46:K51,$R46:$R51,V46:V51)</f>
        <v>#VALUE!</v>
      </c>
      <c r="AM46" s="239" t="e" cm="1">
        <f t="array" ref="AM46">bdRateExtend($G46:$G49,L46:L49,$R46:$R49,W46:W49)</f>
        <v>#VALUE!</v>
      </c>
      <c r="AN46" s="248" t="e" cm="1">
        <f t="array" ref="AN46">bdRateExtend($G46:$G51,L46:L51,$R46:$R51,W46:W51)</f>
        <v>#VALUE!</v>
      </c>
      <c r="AO46" s="254" t="e" cm="1">
        <f t="array" ref="AO46">bdRateExtend($G46:$G49,M46:M49,$R46:$R49,X46:X49)</f>
        <v>#VALUE!</v>
      </c>
      <c r="AP46" s="248" t="e" cm="1">
        <f t="array" ref="AP46">bdRateExtend($G46:$G51,M46:M51,$R46:$R51,X46:X51)</f>
        <v>#VALUE!</v>
      </c>
    </row>
    <row r="47" spans="1:42" ht="17.100000000000001" customHeight="1" outlineLevel="4" x14ac:dyDescent="0.25">
      <c r="A47" s="222"/>
      <c r="B47" s="219"/>
      <c r="C47" s="229"/>
      <c r="D47" s="232"/>
      <c r="E47" s="235"/>
      <c r="F47" s="16">
        <v>31</v>
      </c>
      <c r="G47" s="34"/>
      <c r="H47" s="39"/>
      <c r="I47" s="39"/>
      <c r="J47" s="39"/>
      <c r="K47" s="39"/>
      <c r="L47" s="39"/>
      <c r="M47" s="39"/>
      <c r="N47" s="39"/>
      <c r="O47" s="39"/>
      <c r="P47" s="35"/>
      <c r="Q47" s="18"/>
      <c r="R47" s="34"/>
      <c r="S47" s="39"/>
      <c r="T47" s="39"/>
      <c r="U47" s="39"/>
      <c r="V47" s="39"/>
      <c r="W47" s="39"/>
      <c r="X47" s="39"/>
      <c r="Y47" s="39"/>
      <c r="Z47" s="39"/>
      <c r="AA47" s="35"/>
      <c r="AB47" s="50" t="e">
        <f t="shared" si="2"/>
        <v>#DIV/0!</v>
      </c>
      <c r="AC47" s="51" t="e">
        <f t="shared" si="3"/>
        <v>#DIV/0!</v>
      </c>
      <c r="AD47" s="19"/>
      <c r="AE47" s="19"/>
      <c r="AF47" s="285"/>
      <c r="AG47" s="240"/>
      <c r="AH47" s="242"/>
      <c r="AI47" s="242"/>
      <c r="AJ47" s="245"/>
      <c r="AK47" s="240"/>
      <c r="AL47" s="249"/>
      <c r="AM47" s="240"/>
      <c r="AN47" s="249"/>
      <c r="AO47" s="252"/>
      <c r="AP47" s="249"/>
    </row>
    <row r="48" spans="1:42" ht="17.100000000000001" customHeight="1" outlineLevel="4" x14ac:dyDescent="0.25">
      <c r="A48" s="222"/>
      <c r="B48" s="219"/>
      <c r="C48" s="229"/>
      <c r="D48" s="232"/>
      <c r="E48" s="235"/>
      <c r="F48" s="16">
        <v>39</v>
      </c>
      <c r="G48" s="34"/>
      <c r="H48" s="39"/>
      <c r="I48" s="39"/>
      <c r="J48" s="39"/>
      <c r="K48" s="39"/>
      <c r="L48" s="39"/>
      <c r="M48" s="39"/>
      <c r="N48" s="39"/>
      <c r="O48" s="39"/>
      <c r="P48" s="35"/>
      <c r="Q48" s="18"/>
      <c r="R48" s="34"/>
      <c r="S48" s="39"/>
      <c r="T48" s="39"/>
      <c r="U48" s="39"/>
      <c r="V48" s="39"/>
      <c r="W48" s="39"/>
      <c r="X48" s="39"/>
      <c r="Y48" s="39"/>
      <c r="Z48" s="39"/>
      <c r="AA48" s="35"/>
      <c r="AB48" s="50" t="e">
        <f t="shared" si="2"/>
        <v>#DIV/0!</v>
      </c>
      <c r="AC48" s="51" t="e">
        <f t="shared" si="3"/>
        <v>#DIV/0!</v>
      </c>
      <c r="AD48" s="19"/>
      <c r="AE48" s="19"/>
      <c r="AF48" s="285" t="s">
        <v>127</v>
      </c>
      <c r="AG48" s="240" t="e" cm="1">
        <f t="array" ref="AG48">bdRateExtend($G47:$G50,H47:H50,$R47:$R50,S47:S50)</f>
        <v>#VALUE!</v>
      </c>
      <c r="AH48" s="242"/>
      <c r="AI48" s="242"/>
      <c r="AJ48" s="245"/>
      <c r="AK48" s="240" t="e" cm="1">
        <f t="array" ref="AK48">bdRateExtend($G47:$G50,K47:K50,$R47:$R50,V47:V50)</f>
        <v>#VALUE!</v>
      </c>
      <c r="AL48" s="249"/>
      <c r="AM48" s="240" t="e" cm="1">
        <f t="array" ref="AM48">bdRateExtend($G47:$G50,L47:L50,$R47:$R50,W47:W50)</f>
        <v>#VALUE!</v>
      </c>
      <c r="AN48" s="249"/>
      <c r="AO48" s="252" t="e" cm="1">
        <f t="array" ref="AO48">bdRateExtend($G47:$G50,M47:M50,$R47:$R50,X47:X50)</f>
        <v>#VALUE!</v>
      </c>
      <c r="AP48" s="249"/>
    </row>
    <row r="49" spans="1:42" ht="17.100000000000001" customHeight="1" outlineLevel="4" x14ac:dyDescent="0.25">
      <c r="A49" s="222"/>
      <c r="B49" s="219"/>
      <c r="C49" s="229"/>
      <c r="D49" s="232"/>
      <c r="E49" s="235"/>
      <c r="F49" s="16">
        <v>47</v>
      </c>
      <c r="G49" s="34"/>
      <c r="H49" s="39"/>
      <c r="I49" s="39"/>
      <c r="J49" s="39"/>
      <c r="K49" s="39"/>
      <c r="L49" s="39"/>
      <c r="M49" s="39"/>
      <c r="N49" s="39"/>
      <c r="O49" s="39"/>
      <c r="P49" s="35"/>
      <c r="Q49" s="18"/>
      <c r="R49" s="34"/>
      <c r="S49" s="39"/>
      <c r="T49" s="39"/>
      <c r="U49" s="39"/>
      <c r="V49" s="39"/>
      <c r="W49" s="39"/>
      <c r="X49" s="39"/>
      <c r="Y49" s="39"/>
      <c r="Z49" s="39"/>
      <c r="AA49" s="35"/>
      <c r="AB49" s="50" t="e">
        <f t="shared" si="2"/>
        <v>#DIV/0!</v>
      </c>
      <c r="AC49" s="51" t="e">
        <f t="shared" si="3"/>
        <v>#DIV/0!</v>
      </c>
      <c r="AD49" s="19"/>
      <c r="AE49" s="19"/>
      <c r="AF49" s="285"/>
      <c r="AG49" s="240"/>
      <c r="AH49" s="242"/>
      <c r="AI49" s="242"/>
      <c r="AJ49" s="245"/>
      <c r="AK49" s="240"/>
      <c r="AL49" s="249"/>
      <c r="AM49" s="240"/>
      <c r="AN49" s="249"/>
      <c r="AO49" s="252"/>
      <c r="AP49" s="249"/>
    </row>
    <row r="50" spans="1:42" ht="17.100000000000001" customHeight="1" outlineLevel="4" x14ac:dyDescent="0.25">
      <c r="A50" s="222"/>
      <c r="B50" s="219"/>
      <c r="C50" s="229"/>
      <c r="D50" s="232"/>
      <c r="E50" s="235"/>
      <c r="F50" s="16">
        <v>55</v>
      </c>
      <c r="G50" s="34"/>
      <c r="H50" s="39"/>
      <c r="I50" s="39"/>
      <c r="J50" s="39"/>
      <c r="K50" s="39"/>
      <c r="L50" s="39"/>
      <c r="M50" s="39"/>
      <c r="N50" s="39"/>
      <c r="O50" s="39"/>
      <c r="P50" s="35"/>
      <c r="Q50" s="18"/>
      <c r="R50" s="34"/>
      <c r="S50" s="39"/>
      <c r="T50" s="39"/>
      <c r="U50" s="39"/>
      <c r="V50" s="39"/>
      <c r="W50" s="39"/>
      <c r="X50" s="39"/>
      <c r="Y50" s="39"/>
      <c r="Z50" s="39"/>
      <c r="AA50" s="35"/>
      <c r="AB50" s="50" t="e">
        <f t="shared" si="2"/>
        <v>#DIV/0!</v>
      </c>
      <c r="AC50" s="51" t="e">
        <f t="shared" si="3"/>
        <v>#DIV/0!</v>
      </c>
      <c r="AD50" s="19"/>
      <c r="AE50" s="19"/>
      <c r="AF50" s="285" t="s">
        <v>128</v>
      </c>
      <c r="AG50" s="240" t="e" cm="1">
        <f t="array" ref="AG50">bdRateExtend($G48:$G51,H48:H51,$R48:$R51,S48:S51)</f>
        <v>#VALUE!</v>
      </c>
      <c r="AH50" s="242"/>
      <c r="AI50" s="242"/>
      <c r="AJ50" s="245"/>
      <c r="AK50" s="240" t="e" cm="1">
        <f t="array" ref="AK50">bdRateExtend($G48:$G51,K48:K51,$R48:$R51,V48:V51)</f>
        <v>#VALUE!</v>
      </c>
      <c r="AL50" s="249"/>
      <c r="AM50" s="240" t="e" cm="1">
        <f t="array" ref="AM50">bdRateExtend($G48:$G51,L48:L51,$R48:$R51,W48:W51)</f>
        <v>#VALUE!</v>
      </c>
      <c r="AN50" s="249"/>
      <c r="AO50" s="252" t="e" cm="1">
        <f t="array" ref="AO50">bdRateExtend($G48:$G51,M48:M51,$R48:$R51,X48:X51)</f>
        <v>#VALUE!</v>
      </c>
      <c r="AP50" s="249"/>
    </row>
    <row r="51" spans="1:42" ht="17.100000000000001" customHeight="1" outlineLevel="4" thickBot="1" x14ac:dyDescent="0.3">
      <c r="A51" s="227"/>
      <c r="B51" s="220"/>
      <c r="C51" s="230"/>
      <c r="D51" s="233"/>
      <c r="E51" s="236"/>
      <c r="F51" s="9">
        <v>63</v>
      </c>
      <c r="G51" s="36"/>
      <c r="H51" s="37"/>
      <c r="I51" s="37"/>
      <c r="J51" s="37"/>
      <c r="K51" s="37"/>
      <c r="L51" s="37"/>
      <c r="M51" s="37"/>
      <c r="N51" s="37"/>
      <c r="O51" s="37"/>
      <c r="P51" s="38"/>
      <c r="Q51" s="18"/>
      <c r="R51" s="36"/>
      <c r="S51" s="37"/>
      <c r="T51" s="37"/>
      <c r="U51" s="37"/>
      <c r="V51" s="37"/>
      <c r="W51" s="37"/>
      <c r="X51" s="37"/>
      <c r="Y51" s="37"/>
      <c r="Z51" s="37"/>
      <c r="AA51" s="38"/>
      <c r="AB51" s="52" t="e">
        <f t="shared" si="2"/>
        <v>#DIV/0!</v>
      </c>
      <c r="AC51" s="53" t="e">
        <f t="shared" si="3"/>
        <v>#DIV/0!</v>
      </c>
      <c r="AD51" s="19"/>
      <c r="AE51" s="19"/>
      <c r="AF51" s="286"/>
      <c r="AG51" s="247"/>
      <c r="AH51" s="243"/>
      <c r="AI51" s="243"/>
      <c r="AJ51" s="246"/>
      <c r="AK51" s="247"/>
      <c r="AL51" s="250"/>
      <c r="AM51" s="247"/>
      <c r="AN51" s="250"/>
      <c r="AO51" s="253"/>
      <c r="AP51" s="250"/>
    </row>
    <row r="52" spans="1:42" ht="17.100000000000001" customHeight="1" outlineLevel="4" x14ac:dyDescent="0.25">
      <c r="A52" s="226" t="s">
        <v>21</v>
      </c>
      <c r="B52" s="218" t="s">
        <v>2</v>
      </c>
      <c r="C52" s="228" t="s">
        <v>37</v>
      </c>
      <c r="D52" s="231">
        <v>59.94</v>
      </c>
      <c r="E52" s="234">
        <v>10</v>
      </c>
      <c r="F52" s="7">
        <v>23</v>
      </c>
      <c r="G52" s="31"/>
      <c r="H52" s="32"/>
      <c r="I52" s="32"/>
      <c r="J52" s="32"/>
      <c r="K52" s="32"/>
      <c r="L52" s="32"/>
      <c r="M52" s="32"/>
      <c r="N52" s="32"/>
      <c r="O52" s="32"/>
      <c r="P52" s="33"/>
      <c r="Q52" s="18"/>
      <c r="R52" s="31"/>
      <c r="S52" s="32"/>
      <c r="T52" s="32"/>
      <c r="U52" s="32"/>
      <c r="V52" s="32"/>
      <c r="W52" s="32"/>
      <c r="X52" s="32"/>
      <c r="Y52" s="32"/>
      <c r="Z52" s="32"/>
      <c r="AA52" s="33"/>
      <c r="AB52" s="48" t="e">
        <f t="shared" si="2"/>
        <v>#DIV/0!</v>
      </c>
      <c r="AC52" s="49" t="e">
        <f t="shared" si="3"/>
        <v>#DIV/0!</v>
      </c>
      <c r="AD52" s="19"/>
      <c r="AE52" s="19"/>
      <c r="AF52" s="284" t="s">
        <v>126</v>
      </c>
      <c r="AG52" s="239" t="e" cm="1">
        <f t="array" ref="AG52">bdRateExtend($G52:$G55,H52:H55,$R52:$R55,S52:S55)</f>
        <v>#VALUE!</v>
      </c>
      <c r="AH52" s="241" t="e" cm="1">
        <f t="array" ref="AH52">bdRateExtend($G52:$G57,H52:H57,$R52:$R57,S52:S57)</f>
        <v>#VALUE!</v>
      </c>
      <c r="AI52" s="241" t="e" cm="1">
        <f t="array" ref="AI52">bdRateExtend($G52:$G57,I52:I57,$R52:$R57,T52:T57)</f>
        <v>#VALUE!</v>
      </c>
      <c r="AJ52" s="244" t="e" cm="1">
        <f t="array" ref="AJ52">bdRateExtend($G52:$G57,J52:J57,$R52:$R57,U52:U57)</f>
        <v>#VALUE!</v>
      </c>
      <c r="AK52" s="239" t="e" cm="1">
        <f t="array" ref="AK52">bdRateExtend($G52:$G55,K52:K55,$R52:$R55,V52:V55)</f>
        <v>#VALUE!</v>
      </c>
      <c r="AL52" s="248" t="e" cm="1">
        <f t="array" ref="AL52">bdRateExtend($G52:$G57,K52:K57,$R52:$R57,V52:V57)</f>
        <v>#VALUE!</v>
      </c>
      <c r="AM52" s="239" t="e" cm="1">
        <f t="array" ref="AM52">bdRateExtend($G52:$G55,L52:L55,$R52:$R55,W52:W55)</f>
        <v>#VALUE!</v>
      </c>
      <c r="AN52" s="248" t="e" cm="1">
        <f t="array" ref="AN52">bdRateExtend($G52:$G57,L52:L57,$R52:$R57,W52:W57)</f>
        <v>#VALUE!</v>
      </c>
      <c r="AO52" s="254" t="e" cm="1">
        <f t="array" ref="AO52">bdRateExtend($G52:$G55,M52:M55,$R52:$R55,X52:X55)</f>
        <v>#VALUE!</v>
      </c>
      <c r="AP52" s="248" t="e" cm="1">
        <f t="array" ref="AP52">bdRateExtend($G52:$G57,M52:M57,$R52:$R57,X52:X57)</f>
        <v>#VALUE!</v>
      </c>
    </row>
    <row r="53" spans="1:42" ht="17.100000000000001" customHeight="1" outlineLevel="4" x14ac:dyDescent="0.25">
      <c r="A53" s="222"/>
      <c r="B53" s="219"/>
      <c r="C53" s="229"/>
      <c r="D53" s="232"/>
      <c r="E53" s="235"/>
      <c r="F53" s="16">
        <v>31</v>
      </c>
      <c r="G53" s="34"/>
      <c r="H53" s="39"/>
      <c r="I53" s="39"/>
      <c r="J53" s="39"/>
      <c r="K53" s="39"/>
      <c r="L53" s="39"/>
      <c r="M53" s="39"/>
      <c r="N53" s="39"/>
      <c r="O53" s="39"/>
      <c r="P53" s="35"/>
      <c r="Q53" s="18"/>
      <c r="R53" s="34"/>
      <c r="S53" s="39"/>
      <c r="T53" s="39"/>
      <c r="U53" s="39"/>
      <c r="V53" s="39"/>
      <c r="W53" s="39"/>
      <c r="X53" s="39"/>
      <c r="Y53" s="39"/>
      <c r="Z53" s="39"/>
      <c r="AA53" s="35"/>
      <c r="AB53" s="50" t="e">
        <f t="shared" si="2"/>
        <v>#DIV/0!</v>
      </c>
      <c r="AC53" s="51" t="e">
        <f t="shared" si="3"/>
        <v>#DIV/0!</v>
      </c>
      <c r="AD53" s="19"/>
      <c r="AE53" s="19"/>
      <c r="AF53" s="285"/>
      <c r="AG53" s="240"/>
      <c r="AH53" s="242"/>
      <c r="AI53" s="242"/>
      <c r="AJ53" s="245"/>
      <c r="AK53" s="240"/>
      <c r="AL53" s="249"/>
      <c r="AM53" s="240"/>
      <c r="AN53" s="249"/>
      <c r="AO53" s="252"/>
      <c r="AP53" s="249"/>
    </row>
    <row r="54" spans="1:42" ht="17.100000000000001" customHeight="1" outlineLevel="4" x14ac:dyDescent="0.25">
      <c r="A54" s="222"/>
      <c r="B54" s="219"/>
      <c r="C54" s="229"/>
      <c r="D54" s="232"/>
      <c r="E54" s="235"/>
      <c r="F54" s="16">
        <v>39</v>
      </c>
      <c r="G54" s="34"/>
      <c r="H54" s="39"/>
      <c r="I54" s="39"/>
      <c r="J54" s="39"/>
      <c r="K54" s="39"/>
      <c r="L54" s="39"/>
      <c r="M54" s="39"/>
      <c r="N54" s="39"/>
      <c r="O54" s="39"/>
      <c r="P54" s="35"/>
      <c r="Q54" s="18"/>
      <c r="R54" s="34"/>
      <c r="S54" s="39"/>
      <c r="T54" s="39"/>
      <c r="U54" s="39"/>
      <c r="V54" s="39"/>
      <c r="W54" s="39"/>
      <c r="X54" s="39"/>
      <c r="Y54" s="39"/>
      <c r="Z54" s="39"/>
      <c r="AA54" s="35"/>
      <c r="AB54" s="50" t="e">
        <f t="shared" si="2"/>
        <v>#DIV/0!</v>
      </c>
      <c r="AC54" s="51" t="e">
        <f t="shared" si="3"/>
        <v>#DIV/0!</v>
      </c>
      <c r="AD54" s="19"/>
      <c r="AE54" s="19"/>
      <c r="AF54" s="285" t="s">
        <v>127</v>
      </c>
      <c r="AG54" s="240" t="e" cm="1">
        <f t="array" ref="AG54">bdRateExtend($G53:$G56,H53:H56,$R53:$R56,S53:S56)</f>
        <v>#VALUE!</v>
      </c>
      <c r="AH54" s="242"/>
      <c r="AI54" s="242"/>
      <c r="AJ54" s="245"/>
      <c r="AK54" s="240" t="e" cm="1">
        <f t="array" ref="AK54">bdRateExtend($G53:$G56,K53:K56,$R53:$R56,V53:V56)</f>
        <v>#VALUE!</v>
      </c>
      <c r="AL54" s="249"/>
      <c r="AM54" s="240" t="e" cm="1">
        <f t="array" ref="AM54">bdRateExtend($G53:$G56,L53:L56,$R53:$R56,W53:W56)</f>
        <v>#VALUE!</v>
      </c>
      <c r="AN54" s="249"/>
      <c r="AO54" s="252" t="e" cm="1">
        <f t="array" ref="AO54">bdRateExtend($G53:$G56,M53:M56,$R53:$R56,X53:X56)</f>
        <v>#VALUE!</v>
      </c>
      <c r="AP54" s="249"/>
    </row>
    <row r="55" spans="1:42" ht="17.100000000000001" customHeight="1" outlineLevel="4" x14ac:dyDescent="0.25">
      <c r="A55" s="222"/>
      <c r="B55" s="219"/>
      <c r="C55" s="229"/>
      <c r="D55" s="232"/>
      <c r="E55" s="235"/>
      <c r="F55" s="16">
        <v>47</v>
      </c>
      <c r="G55" s="34"/>
      <c r="H55" s="39"/>
      <c r="I55" s="39"/>
      <c r="J55" s="39"/>
      <c r="K55" s="39"/>
      <c r="L55" s="39"/>
      <c r="M55" s="39"/>
      <c r="N55" s="39"/>
      <c r="O55" s="39"/>
      <c r="P55" s="35"/>
      <c r="Q55" s="18"/>
      <c r="R55" s="34"/>
      <c r="S55" s="39"/>
      <c r="T55" s="39"/>
      <c r="U55" s="39"/>
      <c r="V55" s="39"/>
      <c r="W55" s="39"/>
      <c r="X55" s="39"/>
      <c r="Y55" s="39"/>
      <c r="Z55" s="39"/>
      <c r="AA55" s="35"/>
      <c r="AB55" s="50" t="e">
        <f t="shared" si="2"/>
        <v>#DIV/0!</v>
      </c>
      <c r="AC55" s="51" t="e">
        <f t="shared" si="3"/>
        <v>#DIV/0!</v>
      </c>
      <c r="AD55" s="19"/>
      <c r="AE55" s="19"/>
      <c r="AF55" s="285"/>
      <c r="AG55" s="240"/>
      <c r="AH55" s="242"/>
      <c r="AI55" s="242"/>
      <c r="AJ55" s="245"/>
      <c r="AK55" s="240"/>
      <c r="AL55" s="249"/>
      <c r="AM55" s="240"/>
      <c r="AN55" s="249"/>
      <c r="AO55" s="252"/>
      <c r="AP55" s="249"/>
    </row>
    <row r="56" spans="1:42" ht="17.100000000000001" customHeight="1" outlineLevel="4" x14ac:dyDescent="0.25">
      <c r="A56" s="222"/>
      <c r="B56" s="219"/>
      <c r="C56" s="229"/>
      <c r="D56" s="232"/>
      <c r="E56" s="235"/>
      <c r="F56" s="16">
        <v>55</v>
      </c>
      <c r="G56" s="34"/>
      <c r="H56" s="39"/>
      <c r="I56" s="39"/>
      <c r="J56" s="39"/>
      <c r="K56" s="39"/>
      <c r="L56" s="39"/>
      <c r="M56" s="39"/>
      <c r="N56" s="39"/>
      <c r="O56" s="39"/>
      <c r="P56" s="35"/>
      <c r="Q56" s="18"/>
      <c r="R56" s="34"/>
      <c r="S56" s="39"/>
      <c r="T56" s="39"/>
      <c r="U56" s="39"/>
      <c r="V56" s="39"/>
      <c r="W56" s="39"/>
      <c r="X56" s="39"/>
      <c r="Y56" s="39"/>
      <c r="Z56" s="39"/>
      <c r="AA56" s="35"/>
      <c r="AB56" s="50" t="e">
        <f t="shared" si="2"/>
        <v>#DIV/0!</v>
      </c>
      <c r="AC56" s="51" t="e">
        <f t="shared" si="3"/>
        <v>#DIV/0!</v>
      </c>
      <c r="AD56" s="19"/>
      <c r="AE56" s="19"/>
      <c r="AF56" s="285" t="s">
        <v>128</v>
      </c>
      <c r="AG56" s="240" t="e" cm="1">
        <f t="array" ref="AG56">bdRateExtend($G54:$G57,H54:H57,$R54:$R57,S54:S57)</f>
        <v>#VALUE!</v>
      </c>
      <c r="AH56" s="242"/>
      <c r="AI56" s="242"/>
      <c r="AJ56" s="245"/>
      <c r="AK56" s="240" t="e" cm="1">
        <f t="array" ref="AK56">bdRateExtend($G54:$G57,K54:K57,$R54:$R57,V54:V57)</f>
        <v>#VALUE!</v>
      </c>
      <c r="AL56" s="249"/>
      <c r="AM56" s="240" t="e" cm="1">
        <f t="array" ref="AM56">bdRateExtend($G54:$G57,L54:L57,$R54:$R57,W54:W57)</f>
        <v>#VALUE!</v>
      </c>
      <c r="AN56" s="249"/>
      <c r="AO56" s="252" t="e" cm="1">
        <f t="array" ref="AO56">bdRateExtend($G54:$G57,M54:M57,$R54:$R57,X54:X57)</f>
        <v>#VALUE!</v>
      </c>
      <c r="AP56" s="249"/>
    </row>
    <row r="57" spans="1:42" ht="17.100000000000001" customHeight="1" outlineLevel="4" thickBot="1" x14ac:dyDescent="0.3">
      <c r="A57" s="222"/>
      <c r="B57" s="220"/>
      <c r="C57" s="230"/>
      <c r="D57" s="233"/>
      <c r="E57" s="236"/>
      <c r="F57" s="9">
        <v>63</v>
      </c>
      <c r="G57" s="36"/>
      <c r="H57" s="37"/>
      <c r="I57" s="37"/>
      <c r="J57" s="37"/>
      <c r="K57" s="37"/>
      <c r="L57" s="37"/>
      <c r="M57" s="37"/>
      <c r="N57" s="37"/>
      <c r="O57" s="37"/>
      <c r="P57" s="38"/>
      <c r="Q57" s="18"/>
      <c r="R57" s="36"/>
      <c r="S57" s="37"/>
      <c r="T57" s="37"/>
      <c r="U57" s="37"/>
      <c r="V57" s="37"/>
      <c r="W57" s="37"/>
      <c r="X57" s="37"/>
      <c r="Y57" s="37"/>
      <c r="Z57" s="37"/>
      <c r="AA57" s="38"/>
      <c r="AB57" s="52" t="e">
        <f t="shared" si="2"/>
        <v>#DIV/0!</v>
      </c>
      <c r="AC57" s="53" t="e">
        <f t="shared" si="3"/>
        <v>#DIV/0!</v>
      </c>
      <c r="AD57" s="19"/>
      <c r="AE57" s="19"/>
      <c r="AF57" s="286"/>
      <c r="AG57" s="247"/>
      <c r="AH57" s="243"/>
      <c r="AI57" s="243"/>
      <c r="AJ57" s="246"/>
      <c r="AK57" s="247"/>
      <c r="AL57" s="250"/>
      <c r="AM57" s="247"/>
      <c r="AN57" s="250"/>
      <c r="AO57" s="253"/>
      <c r="AP57" s="250"/>
    </row>
    <row r="58" spans="1:42" ht="17.100000000000001" customHeight="1" outlineLevel="4" x14ac:dyDescent="0.25">
      <c r="A58" s="222"/>
      <c r="B58" s="218" t="s">
        <v>2</v>
      </c>
      <c r="C58" s="228" t="s">
        <v>38</v>
      </c>
      <c r="D58" s="231">
        <v>59.94</v>
      </c>
      <c r="E58" s="234">
        <v>10</v>
      </c>
      <c r="F58" s="7">
        <v>23</v>
      </c>
      <c r="G58" s="31"/>
      <c r="H58" s="32"/>
      <c r="I58" s="32"/>
      <c r="J58" s="32"/>
      <c r="K58" s="32"/>
      <c r="L58" s="32"/>
      <c r="M58" s="32"/>
      <c r="N58" s="32"/>
      <c r="O58" s="32"/>
      <c r="P58" s="33"/>
      <c r="Q58" s="18"/>
      <c r="R58" s="31"/>
      <c r="S58" s="32"/>
      <c r="T58" s="32"/>
      <c r="U58" s="32"/>
      <c r="V58" s="32"/>
      <c r="W58" s="32"/>
      <c r="X58" s="32"/>
      <c r="Y58" s="32"/>
      <c r="Z58" s="32"/>
      <c r="AA58" s="33"/>
      <c r="AB58" s="48" t="e">
        <f t="shared" si="2"/>
        <v>#DIV/0!</v>
      </c>
      <c r="AC58" s="49" t="e">
        <f t="shared" si="3"/>
        <v>#DIV/0!</v>
      </c>
      <c r="AD58" s="19"/>
      <c r="AE58" s="19"/>
      <c r="AF58" s="284" t="s">
        <v>126</v>
      </c>
      <c r="AG58" s="239" t="e" cm="1">
        <f t="array" ref="AG58">bdRateExtend($G58:$G61,H58:H61,$R58:$R61,S58:S61)</f>
        <v>#VALUE!</v>
      </c>
      <c r="AH58" s="241" t="e" cm="1">
        <f t="array" ref="AH58">bdRateExtend($G58:$G63,H58:H63,$R58:$R63,S58:S63)</f>
        <v>#VALUE!</v>
      </c>
      <c r="AI58" s="241" t="e" cm="1">
        <f t="array" ref="AI58">bdRateExtend($G58:$G63,I58:I63,$R58:$R63,T58:T63)</f>
        <v>#VALUE!</v>
      </c>
      <c r="AJ58" s="244" t="e" cm="1">
        <f t="array" ref="AJ58">bdRateExtend($G58:$G63,J58:J63,$R58:$R63,U58:U63)</f>
        <v>#VALUE!</v>
      </c>
      <c r="AK58" s="239" t="e" cm="1">
        <f t="array" ref="AK58">bdRateExtend($G58:$G61,K58:K61,$R58:$R61,V58:V61)</f>
        <v>#VALUE!</v>
      </c>
      <c r="AL58" s="248" t="e" cm="1">
        <f t="array" ref="AL58">bdRateExtend($G58:$G63,K58:K63,$R58:$R63,V58:V63)</f>
        <v>#VALUE!</v>
      </c>
      <c r="AM58" s="239" t="e" cm="1">
        <f t="array" ref="AM58">bdRateExtend($G58:$G61,L58:L61,$R58:$R61,W58:W61)</f>
        <v>#VALUE!</v>
      </c>
      <c r="AN58" s="248" t="e" cm="1">
        <f t="array" ref="AN58">bdRateExtend($G58:$G63,L58:L63,$R58:$R63,W58:W63)</f>
        <v>#VALUE!</v>
      </c>
      <c r="AO58" s="254" t="e" cm="1">
        <f t="array" ref="AO58">bdRateExtend($G58:$G61,M58:M61,$R58:$R61,X58:X61)</f>
        <v>#VALUE!</v>
      </c>
      <c r="AP58" s="248" t="e" cm="1">
        <f t="array" ref="AP58">bdRateExtend($G58:$G63,M58:M63,$R58:$R63,X58:X63)</f>
        <v>#VALUE!</v>
      </c>
    </row>
    <row r="59" spans="1:42" ht="17.100000000000001" customHeight="1" outlineLevel="4" x14ac:dyDescent="0.25">
      <c r="A59" s="222"/>
      <c r="B59" s="219"/>
      <c r="C59" s="229"/>
      <c r="D59" s="232"/>
      <c r="E59" s="235"/>
      <c r="F59" s="16">
        <v>31</v>
      </c>
      <c r="G59" s="34"/>
      <c r="H59" s="39"/>
      <c r="I59" s="39"/>
      <c r="J59" s="39"/>
      <c r="K59" s="39"/>
      <c r="L59" s="39"/>
      <c r="M59" s="39"/>
      <c r="N59" s="39"/>
      <c r="O59" s="39"/>
      <c r="P59" s="35"/>
      <c r="Q59" s="18"/>
      <c r="R59" s="34"/>
      <c r="S59" s="39"/>
      <c r="T59" s="39"/>
      <c r="U59" s="39"/>
      <c r="V59" s="39"/>
      <c r="W59" s="39"/>
      <c r="X59" s="39"/>
      <c r="Y59" s="39"/>
      <c r="Z59" s="39"/>
      <c r="AA59" s="35"/>
      <c r="AB59" s="50" t="e">
        <f t="shared" si="2"/>
        <v>#DIV/0!</v>
      </c>
      <c r="AC59" s="51" t="e">
        <f t="shared" si="3"/>
        <v>#DIV/0!</v>
      </c>
      <c r="AD59" s="19"/>
      <c r="AE59" s="19"/>
      <c r="AF59" s="285"/>
      <c r="AG59" s="240"/>
      <c r="AH59" s="242"/>
      <c r="AI59" s="242"/>
      <c r="AJ59" s="245"/>
      <c r="AK59" s="240"/>
      <c r="AL59" s="249"/>
      <c r="AM59" s="240"/>
      <c r="AN59" s="249"/>
      <c r="AO59" s="252"/>
      <c r="AP59" s="249"/>
    </row>
    <row r="60" spans="1:42" ht="17.100000000000001" customHeight="1" outlineLevel="4" x14ac:dyDescent="0.25">
      <c r="A60" s="222"/>
      <c r="B60" s="219"/>
      <c r="C60" s="229"/>
      <c r="D60" s="232"/>
      <c r="E60" s="235"/>
      <c r="F60" s="16">
        <v>39</v>
      </c>
      <c r="G60" s="34"/>
      <c r="H60" s="39"/>
      <c r="I60" s="39"/>
      <c r="J60" s="39"/>
      <c r="K60" s="39"/>
      <c r="L60" s="39"/>
      <c r="M60" s="39"/>
      <c r="N60" s="39"/>
      <c r="O60" s="39"/>
      <c r="P60" s="35"/>
      <c r="Q60" s="18"/>
      <c r="R60" s="34"/>
      <c r="S60" s="39"/>
      <c r="T60" s="39"/>
      <c r="U60" s="39"/>
      <c r="V60" s="39"/>
      <c r="W60" s="39"/>
      <c r="X60" s="39"/>
      <c r="Y60" s="39"/>
      <c r="Z60" s="39"/>
      <c r="AA60" s="35"/>
      <c r="AB60" s="50" t="e">
        <f t="shared" si="2"/>
        <v>#DIV/0!</v>
      </c>
      <c r="AC60" s="51" t="e">
        <f t="shared" si="3"/>
        <v>#DIV/0!</v>
      </c>
      <c r="AD60" s="19"/>
      <c r="AE60" s="19"/>
      <c r="AF60" s="285" t="s">
        <v>127</v>
      </c>
      <c r="AG60" s="240" t="e" cm="1">
        <f t="array" ref="AG60">bdRateExtend($G59:$G62,H59:H62,$R59:$R62,S59:S62)</f>
        <v>#VALUE!</v>
      </c>
      <c r="AH60" s="242"/>
      <c r="AI60" s="242"/>
      <c r="AJ60" s="245"/>
      <c r="AK60" s="240" t="e" cm="1">
        <f t="array" ref="AK60">bdRateExtend($G59:$G62,K59:K62,$R59:$R62,V59:V62)</f>
        <v>#VALUE!</v>
      </c>
      <c r="AL60" s="249"/>
      <c r="AM60" s="240" t="e" cm="1">
        <f t="array" ref="AM60">bdRateExtend($G59:$G62,L59:L62,$R59:$R62,W59:W62)</f>
        <v>#VALUE!</v>
      </c>
      <c r="AN60" s="249"/>
      <c r="AO60" s="252" t="e" cm="1">
        <f t="array" ref="AO60">bdRateExtend($G59:$G62,M59:M62,$R59:$R62,X59:X62)</f>
        <v>#VALUE!</v>
      </c>
      <c r="AP60" s="249"/>
    </row>
    <row r="61" spans="1:42" ht="17.100000000000001" customHeight="1" outlineLevel="4" x14ac:dyDescent="0.25">
      <c r="A61" s="222"/>
      <c r="B61" s="219"/>
      <c r="C61" s="229"/>
      <c r="D61" s="232"/>
      <c r="E61" s="235"/>
      <c r="F61" s="16">
        <v>47</v>
      </c>
      <c r="G61" s="34"/>
      <c r="H61" s="39"/>
      <c r="I61" s="39"/>
      <c r="J61" s="39"/>
      <c r="K61" s="39"/>
      <c r="L61" s="39"/>
      <c r="M61" s="39"/>
      <c r="N61" s="39"/>
      <c r="O61" s="39"/>
      <c r="P61" s="35"/>
      <c r="Q61" s="18"/>
      <c r="R61" s="34"/>
      <c r="S61" s="39"/>
      <c r="T61" s="39"/>
      <c r="U61" s="39"/>
      <c r="V61" s="39"/>
      <c r="W61" s="39"/>
      <c r="X61" s="39"/>
      <c r="Y61" s="39"/>
      <c r="Z61" s="39"/>
      <c r="AA61" s="35"/>
      <c r="AB61" s="50" t="e">
        <f t="shared" si="2"/>
        <v>#DIV/0!</v>
      </c>
      <c r="AC61" s="51" t="e">
        <f t="shared" si="3"/>
        <v>#DIV/0!</v>
      </c>
      <c r="AD61" s="19"/>
      <c r="AE61" s="19"/>
      <c r="AF61" s="285"/>
      <c r="AG61" s="240"/>
      <c r="AH61" s="242"/>
      <c r="AI61" s="242"/>
      <c r="AJ61" s="245"/>
      <c r="AK61" s="240"/>
      <c r="AL61" s="249"/>
      <c r="AM61" s="240"/>
      <c r="AN61" s="249"/>
      <c r="AO61" s="252"/>
      <c r="AP61" s="249"/>
    </row>
    <row r="62" spans="1:42" ht="17.100000000000001" customHeight="1" outlineLevel="4" x14ac:dyDescent="0.25">
      <c r="A62" s="222"/>
      <c r="B62" s="219"/>
      <c r="C62" s="229"/>
      <c r="D62" s="232"/>
      <c r="E62" s="235"/>
      <c r="F62" s="16">
        <v>55</v>
      </c>
      <c r="G62" s="34"/>
      <c r="H62" s="39"/>
      <c r="I62" s="39"/>
      <c r="J62" s="39"/>
      <c r="K62" s="39"/>
      <c r="L62" s="39"/>
      <c r="M62" s="39"/>
      <c r="N62" s="39"/>
      <c r="O62" s="39"/>
      <c r="P62" s="35"/>
      <c r="Q62" s="18"/>
      <c r="R62" s="34"/>
      <c r="S62" s="39"/>
      <c r="T62" s="39"/>
      <c r="U62" s="39"/>
      <c r="V62" s="39"/>
      <c r="W62" s="39"/>
      <c r="X62" s="39"/>
      <c r="Y62" s="39"/>
      <c r="Z62" s="39"/>
      <c r="AA62" s="35"/>
      <c r="AB62" s="50" t="e">
        <f t="shared" si="2"/>
        <v>#DIV/0!</v>
      </c>
      <c r="AC62" s="51" t="e">
        <f t="shared" si="3"/>
        <v>#DIV/0!</v>
      </c>
      <c r="AD62" s="19"/>
      <c r="AE62" s="19"/>
      <c r="AF62" s="285" t="s">
        <v>128</v>
      </c>
      <c r="AG62" s="240" t="e" cm="1">
        <f t="array" ref="AG62">bdRateExtend($G60:$G63,H60:H63,$R60:$R63,S60:S63)</f>
        <v>#VALUE!</v>
      </c>
      <c r="AH62" s="242"/>
      <c r="AI62" s="242"/>
      <c r="AJ62" s="245"/>
      <c r="AK62" s="240" t="e" cm="1">
        <f t="array" ref="AK62">bdRateExtend($G60:$G63,K60:K63,$R60:$R63,V60:V63)</f>
        <v>#VALUE!</v>
      </c>
      <c r="AL62" s="249"/>
      <c r="AM62" s="240" t="e" cm="1">
        <f t="array" ref="AM62">bdRateExtend($G60:$G63,L60:L63,$R60:$R63,W60:W63)</f>
        <v>#VALUE!</v>
      </c>
      <c r="AN62" s="249"/>
      <c r="AO62" s="252" t="e" cm="1">
        <f t="array" ref="AO62">bdRateExtend($G60:$G63,M60:M63,$R60:$R63,X60:X63)</f>
        <v>#VALUE!</v>
      </c>
      <c r="AP62" s="249"/>
    </row>
    <row r="63" spans="1:42" ht="17.100000000000001" customHeight="1" outlineLevel="4" thickBot="1" x14ac:dyDescent="0.3">
      <c r="A63" s="222"/>
      <c r="B63" s="220"/>
      <c r="C63" s="230"/>
      <c r="D63" s="233"/>
      <c r="E63" s="236"/>
      <c r="F63" s="9">
        <v>63</v>
      </c>
      <c r="G63" s="36"/>
      <c r="H63" s="37"/>
      <c r="I63" s="37"/>
      <c r="J63" s="37"/>
      <c r="K63" s="37"/>
      <c r="L63" s="37"/>
      <c r="M63" s="37"/>
      <c r="N63" s="37"/>
      <c r="O63" s="37"/>
      <c r="P63" s="38"/>
      <c r="Q63" s="18"/>
      <c r="R63" s="36"/>
      <c r="S63" s="37"/>
      <c r="T63" s="37"/>
      <c r="U63" s="37"/>
      <c r="V63" s="37"/>
      <c r="W63" s="37"/>
      <c r="X63" s="37"/>
      <c r="Y63" s="37"/>
      <c r="Z63" s="37"/>
      <c r="AA63" s="38"/>
      <c r="AB63" s="52" t="e">
        <f t="shared" si="2"/>
        <v>#DIV/0!</v>
      </c>
      <c r="AC63" s="53" t="e">
        <f t="shared" si="3"/>
        <v>#DIV/0!</v>
      </c>
      <c r="AD63" s="19"/>
      <c r="AE63" s="19"/>
      <c r="AF63" s="286"/>
      <c r="AG63" s="247"/>
      <c r="AH63" s="243"/>
      <c r="AI63" s="243"/>
      <c r="AJ63" s="246"/>
      <c r="AK63" s="247"/>
      <c r="AL63" s="250"/>
      <c r="AM63" s="247"/>
      <c r="AN63" s="250"/>
      <c r="AO63" s="253"/>
      <c r="AP63" s="250"/>
    </row>
    <row r="64" spans="1:42" ht="17.100000000000001" customHeight="1" outlineLevel="4" x14ac:dyDescent="0.25">
      <c r="A64" s="222"/>
      <c r="B64" s="218" t="s">
        <v>2</v>
      </c>
      <c r="C64" s="228" t="s">
        <v>39</v>
      </c>
      <c r="D64" s="231">
        <v>50</v>
      </c>
      <c r="E64" s="234" t="s">
        <v>22</v>
      </c>
      <c r="F64" s="7">
        <v>23</v>
      </c>
      <c r="G64" s="31"/>
      <c r="H64" s="32"/>
      <c r="I64" s="32"/>
      <c r="J64" s="32"/>
      <c r="K64" s="32"/>
      <c r="L64" s="32"/>
      <c r="M64" s="32"/>
      <c r="N64" s="32"/>
      <c r="O64" s="32"/>
      <c r="P64" s="33"/>
      <c r="Q64" s="18"/>
      <c r="R64" s="31"/>
      <c r="S64" s="32"/>
      <c r="T64" s="32"/>
      <c r="U64" s="32"/>
      <c r="V64" s="32"/>
      <c r="W64" s="32"/>
      <c r="X64" s="32"/>
      <c r="Y64" s="32"/>
      <c r="Z64" s="32"/>
      <c r="AA64" s="33"/>
      <c r="AB64" s="48" t="e">
        <f t="shared" si="2"/>
        <v>#DIV/0!</v>
      </c>
      <c r="AC64" s="49" t="e">
        <f t="shared" si="3"/>
        <v>#DIV/0!</v>
      </c>
      <c r="AD64" s="19"/>
      <c r="AE64" s="19"/>
      <c r="AF64" s="284" t="s">
        <v>126</v>
      </c>
      <c r="AG64" s="239" t="e" cm="1">
        <f t="array" ref="AG64">bdRateExtend($G64:$G67,H64:H67,$R64:$R67,S64:S67)</f>
        <v>#VALUE!</v>
      </c>
      <c r="AH64" s="241" t="e" cm="1">
        <f t="array" ref="AH64">bdRateExtend($G64:$G69,H64:H69,$R64:$R69,S64:S69)</f>
        <v>#VALUE!</v>
      </c>
      <c r="AI64" s="241" t="e" cm="1">
        <f t="array" ref="AI64">bdRateExtend($G64:$G69,I64:I69,$R64:$R69,T64:T69)</f>
        <v>#VALUE!</v>
      </c>
      <c r="AJ64" s="244" t="e" cm="1">
        <f t="array" ref="AJ64">bdRateExtend($G64:$G69,J64:J69,$R64:$R69,U64:U69)</f>
        <v>#VALUE!</v>
      </c>
      <c r="AK64" s="239" t="e" cm="1">
        <f t="array" ref="AK64">bdRateExtend($G64:$G67,K64:K67,$R64:$R67,V64:V67)</f>
        <v>#VALUE!</v>
      </c>
      <c r="AL64" s="248" t="e" cm="1">
        <f t="array" ref="AL64">bdRateExtend($G64:$G69,K64:K69,$R64:$R69,V64:V69)</f>
        <v>#VALUE!</v>
      </c>
      <c r="AM64" s="239" t="e" cm="1">
        <f t="array" ref="AM64">bdRateExtend($G64:$G67,L64:L67,$R64:$R67,W64:W67)</f>
        <v>#VALUE!</v>
      </c>
      <c r="AN64" s="248" t="e" cm="1">
        <f t="array" ref="AN64">bdRateExtend($G64:$G69,L64:L69,$R64:$R69,W64:W69)</f>
        <v>#VALUE!</v>
      </c>
      <c r="AO64" s="254" t="e" cm="1">
        <f t="array" ref="AO64">bdRateExtend($G64:$G67,M64:M67,$R64:$R67,X64:X67)</f>
        <v>#VALUE!</v>
      </c>
      <c r="AP64" s="248" t="e" cm="1">
        <f t="array" ref="AP64">bdRateExtend($G64:$G69,M64:M69,$R64:$R69,X64:X69)</f>
        <v>#VALUE!</v>
      </c>
    </row>
    <row r="65" spans="1:42" ht="17.100000000000001" customHeight="1" outlineLevel="4" x14ac:dyDescent="0.25">
      <c r="A65" s="222"/>
      <c r="B65" s="219"/>
      <c r="C65" s="229"/>
      <c r="D65" s="232"/>
      <c r="E65" s="235"/>
      <c r="F65" s="16">
        <v>31</v>
      </c>
      <c r="G65" s="34"/>
      <c r="H65" s="39"/>
      <c r="I65" s="39"/>
      <c r="J65" s="39"/>
      <c r="K65" s="39"/>
      <c r="L65" s="39"/>
      <c r="M65" s="39"/>
      <c r="N65" s="39"/>
      <c r="O65" s="39"/>
      <c r="P65" s="35"/>
      <c r="Q65" s="18"/>
      <c r="R65" s="34"/>
      <c r="S65" s="39"/>
      <c r="T65" s="39"/>
      <c r="U65" s="39"/>
      <c r="V65" s="39"/>
      <c r="W65" s="39"/>
      <c r="X65" s="39"/>
      <c r="Y65" s="39"/>
      <c r="Z65" s="39"/>
      <c r="AA65" s="35"/>
      <c r="AB65" s="50" t="e">
        <f t="shared" si="2"/>
        <v>#DIV/0!</v>
      </c>
      <c r="AC65" s="51" t="e">
        <f t="shared" si="3"/>
        <v>#DIV/0!</v>
      </c>
      <c r="AD65" s="19"/>
      <c r="AE65" s="19"/>
      <c r="AF65" s="285"/>
      <c r="AG65" s="240"/>
      <c r="AH65" s="242"/>
      <c r="AI65" s="242"/>
      <c r="AJ65" s="245"/>
      <c r="AK65" s="240"/>
      <c r="AL65" s="249"/>
      <c r="AM65" s="240"/>
      <c r="AN65" s="249"/>
      <c r="AO65" s="252"/>
      <c r="AP65" s="249"/>
    </row>
    <row r="66" spans="1:42" ht="17.100000000000001" customHeight="1" outlineLevel="4" x14ac:dyDescent="0.25">
      <c r="A66" s="222"/>
      <c r="B66" s="219"/>
      <c r="C66" s="229"/>
      <c r="D66" s="232"/>
      <c r="E66" s="235"/>
      <c r="F66" s="16">
        <v>39</v>
      </c>
      <c r="G66" s="34"/>
      <c r="H66" s="39"/>
      <c r="I66" s="39"/>
      <c r="J66" s="39"/>
      <c r="K66" s="39"/>
      <c r="L66" s="39"/>
      <c r="M66" s="39"/>
      <c r="N66" s="39"/>
      <c r="O66" s="39"/>
      <c r="P66" s="35"/>
      <c r="Q66" s="18"/>
      <c r="R66" s="34"/>
      <c r="S66" s="39"/>
      <c r="T66" s="39"/>
      <c r="U66" s="39"/>
      <c r="V66" s="39"/>
      <c r="W66" s="39"/>
      <c r="X66" s="39"/>
      <c r="Y66" s="39"/>
      <c r="Z66" s="39"/>
      <c r="AA66" s="35"/>
      <c r="AB66" s="50" t="e">
        <f t="shared" si="2"/>
        <v>#DIV/0!</v>
      </c>
      <c r="AC66" s="51" t="e">
        <f t="shared" si="3"/>
        <v>#DIV/0!</v>
      </c>
      <c r="AD66" s="19"/>
      <c r="AE66" s="19"/>
      <c r="AF66" s="285" t="s">
        <v>127</v>
      </c>
      <c r="AG66" s="240" t="e" cm="1">
        <f t="array" ref="AG66">bdRateExtend($G65:$G68,H65:H68,$R65:$R68,S65:S68)</f>
        <v>#VALUE!</v>
      </c>
      <c r="AH66" s="242"/>
      <c r="AI66" s="242"/>
      <c r="AJ66" s="245"/>
      <c r="AK66" s="240" t="e" cm="1">
        <f t="array" ref="AK66">bdRateExtend($G65:$G68,K65:K68,$R65:$R68,V65:V68)</f>
        <v>#VALUE!</v>
      </c>
      <c r="AL66" s="249"/>
      <c r="AM66" s="240" t="e" cm="1">
        <f t="array" ref="AM66">bdRateExtend($G65:$G68,L65:L68,$R65:$R68,W65:W68)</f>
        <v>#VALUE!</v>
      </c>
      <c r="AN66" s="249"/>
      <c r="AO66" s="252" t="e" cm="1">
        <f t="array" ref="AO66">bdRateExtend($G65:$G68,M65:M68,$R65:$R68,X65:X68)</f>
        <v>#VALUE!</v>
      </c>
      <c r="AP66" s="249"/>
    </row>
    <row r="67" spans="1:42" ht="17.100000000000001" customHeight="1" outlineLevel="4" x14ac:dyDescent="0.25">
      <c r="A67" s="222"/>
      <c r="B67" s="219"/>
      <c r="C67" s="229"/>
      <c r="D67" s="232"/>
      <c r="E67" s="235"/>
      <c r="F67" s="16">
        <v>47</v>
      </c>
      <c r="G67" s="34"/>
      <c r="H67" s="39"/>
      <c r="I67" s="39"/>
      <c r="J67" s="39"/>
      <c r="K67" s="39"/>
      <c r="L67" s="39"/>
      <c r="M67" s="39"/>
      <c r="N67" s="39"/>
      <c r="O67" s="39"/>
      <c r="P67" s="35"/>
      <c r="Q67" s="18"/>
      <c r="R67" s="34"/>
      <c r="S67" s="39"/>
      <c r="T67" s="39"/>
      <c r="U67" s="39"/>
      <c r="V67" s="39"/>
      <c r="W67" s="39"/>
      <c r="X67" s="39"/>
      <c r="Y67" s="39"/>
      <c r="Z67" s="39"/>
      <c r="AA67" s="35"/>
      <c r="AB67" s="50" t="e">
        <f t="shared" si="2"/>
        <v>#DIV/0!</v>
      </c>
      <c r="AC67" s="51" t="e">
        <f t="shared" si="3"/>
        <v>#DIV/0!</v>
      </c>
      <c r="AD67" s="19"/>
      <c r="AE67" s="19"/>
      <c r="AF67" s="285"/>
      <c r="AG67" s="240"/>
      <c r="AH67" s="242"/>
      <c r="AI67" s="242"/>
      <c r="AJ67" s="245"/>
      <c r="AK67" s="240"/>
      <c r="AL67" s="249"/>
      <c r="AM67" s="240"/>
      <c r="AN67" s="249"/>
      <c r="AO67" s="252"/>
      <c r="AP67" s="249"/>
    </row>
    <row r="68" spans="1:42" ht="17.100000000000001" customHeight="1" outlineLevel="4" x14ac:dyDescent="0.25">
      <c r="A68" s="222"/>
      <c r="B68" s="219"/>
      <c r="C68" s="229"/>
      <c r="D68" s="232"/>
      <c r="E68" s="235"/>
      <c r="F68" s="16">
        <v>55</v>
      </c>
      <c r="G68" s="34"/>
      <c r="H68" s="39"/>
      <c r="I68" s="39"/>
      <c r="J68" s="39"/>
      <c r="K68" s="39"/>
      <c r="L68" s="39"/>
      <c r="M68" s="39"/>
      <c r="N68" s="39"/>
      <c r="O68" s="39"/>
      <c r="P68" s="35"/>
      <c r="Q68" s="18"/>
      <c r="R68" s="34"/>
      <c r="S68" s="39"/>
      <c r="T68" s="39"/>
      <c r="U68" s="39"/>
      <c r="V68" s="39"/>
      <c r="W68" s="39"/>
      <c r="X68" s="39"/>
      <c r="Y68" s="39"/>
      <c r="Z68" s="39"/>
      <c r="AA68" s="35"/>
      <c r="AB68" s="50" t="e">
        <f t="shared" si="2"/>
        <v>#DIV/0!</v>
      </c>
      <c r="AC68" s="51" t="e">
        <f t="shared" si="3"/>
        <v>#DIV/0!</v>
      </c>
      <c r="AD68" s="19"/>
      <c r="AE68" s="19"/>
      <c r="AF68" s="285" t="s">
        <v>128</v>
      </c>
      <c r="AG68" s="240" t="e" cm="1">
        <f t="array" ref="AG68">bdRateExtend($G66:$G69,H66:H69,$R66:$R69,S66:S69)</f>
        <v>#VALUE!</v>
      </c>
      <c r="AH68" s="242"/>
      <c r="AI68" s="242"/>
      <c r="AJ68" s="245"/>
      <c r="AK68" s="240" t="e" cm="1">
        <f t="array" ref="AK68">bdRateExtend($G66:$G69,K66:K69,$R66:$R69,V66:V69)</f>
        <v>#VALUE!</v>
      </c>
      <c r="AL68" s="249"/>
      <c r="AM68" s="240" t="e" cm="1">
        <f t="array" ref="AM68">bdRateExtend($G66:$G69,L66:L69,$R66:$R69,W66:W69)</f>
        <v>#VALUE!</v>
      </c>
      <c r="AN68" s="249"/>
      <c r="AO68" s="252" t="e" cm="1">
        <f t="array" ref="AO68">bdRateExtend($G66:$G69,M66:M69,$R66:$R69,X66:X69)</f>
        <v>#VALUE!</v>
      </c>
      <c r="AP68" s="249"/>
    </row>
    <row r="69" spans="1:42" ht="17.100000000000001" customHeight="1" outlineLevel="4" thickBot="1" x14ac:dyDescent="0.3">
      <c r="A69" s="222"/>
      <c r="B69" s="220"/>
      <c r="C69" s="230"/>
      <c r="D69" s="233"/>
      <c r="E69" s="236"/>
      <c r="F69" s="9">
        <v>63</v>
      </c>
      <c r="G69" s="36"/>
      <c r="H69" s="37"/>
      <c r="I69" s="37"/>
      <c r="J69" s="37"/>
      <c r="K69" s="37"/>
      <c r="L69" s="37"/>
      <c r="M69" s="37"/>
      <c r="N69" s="37"/>
      <c r="O69" s="37"/>
      <c r="P69" s="38"/>
      <c r="Q69" s="18"/>
      <c r="R69" s="36"/>
      <c r="S69" s="37"/>
      <c r="T69" s="37"/>
      <c r="U69" s="37"/>
      <c r="V69" s="37"/>
      <c r="W69" s="37"/>
      <c r="X69" s="37"/>
      <c r="Y69" s="37"/>
      <c r="Z69" s="37"/>
      <c r="AA69" s="38"/>
      <c r="AB69" s="52" t="e">
        <f t="shared" si="2"/>
        <v>#DIV/0!</v>
      </c>
      <c r="AC69" s="53" t="e">
        <f t="shared" si="3"/>
        <v>#DIV/0!</v>
      </c>
      <c r="AD69" s="19"/>
      <c r="AE69" s="19"/>
      <c r="AF69" s="286"/>
      <c r="AG69" s="247"/>
      <c r="AH69" s="243"/>
      <c r="AI69" s="243"/>
      <c r="AJ69" s="246"/>
      <c r="AK69" s="247"/>
      <c r="AL69" s="250"/>
      <c r="AM69" s="247"/>
      <c r="AN69" s="250"/>
      <c r="AO69" s="253"/>
      <c r="AP69" s="250"/>
    </row>
    <row r="70" spans="1:42" ht="17.100000000000001" customHeight="1" outlineLevel="4" x14ac:dyDescent="0.25">
      <c r="A70" s="222"/>
      <c r="B70" s="218" t="s">
        <v>2</v>
      </c>
      <c r="C70" s="228" t="s">
        <v>40</v>
      </c>
      <c r="D70" s="231">
        <v>29.97</v>
      </c>
      <c r="E70" s="234">
        <v>10</v>
      </c>
      <c r="F70" s="7">
        <v>23</v>
      </c>
      <c r="G70" s="31"/>
      <c r="H70" s="32"/>
      <c r="I70" s="32"/>
      <c r="J70" s="32"/>
      <c r="K70" s="32"/>
      <c r="L70" s="32"/>
      <c r="M70" s="32"/>
      <c r="N70" s="32"/>
      <c r="O70" s="32"/>
      <c r="P70" s="33"/>
      <c r="Q70" s="18"/>
      <c r="R70" s="31"/>
      <c r="S70" s="32"/>
      <c r="T70" s="32"/>
      <c r="U70" s="32"/>
      <c r="V70" s="32"/>
      <c r="W70" s="32"/>
      <c r="X70" s="32"/>
      <c r="Y70" s="32"/>
      <c r="Z70" s="32"/>
      <c r="AA70" s="33"/>
      <c r="AB70" s="48" t="e">
        <f t="shared" si="2"/>
        <v>#DIV/0!</v>
      </c>
      <c r="AC70" s="49" t="e">
        <f t="shared" si="3"/>
        <v>#DIV/0!</v>
      </c>
      <c r="AD70" s="19"/>
      <c r="AE70" s="19"/>
      <c r="AF70" s="284" t="s">
        <v>126</v>
      </c>
      <c r="AG70" s="239" t="e" cm="1">
        <f t="array" ref="AG70">bdRateExtend($G70:$G73,H70:H73,$R70:$R73,S70:S73)</f>
        <v>#VALUE!</v>
      </c>
      <c r="AH70" s="241" t="e" cm="1">
        <f t="array" ref="AH70">bdRateExtend($G70:$G75,H70:H75,$R70:$R75,S70:S75)</f>
        <v>#VALUE!</v>
      </c>
      <c r="AI70" s="241" t="e" cm="1">
        <f t="array" ref="AI70">bdRateExtend($G70:$G75,I70:I75,$R70:$R75,T70:T75)</f>
        <v>#VALUE!</v>
      </c>
      <c r="AJ70" s="244" t="e" cm="1">
        <f t="array" ref="AJ70">bdRateExtend($G70:$G75,J70:J75,$R70:$R75,U70:U75)</f>
        <v>#VALUE!</v>
      </c>
      <c r="AK70" s="239" t="e" cm="1">
        <f t="array" ref="AK70">bdRateExtend($G70:$G73,K70:K73,$R70:$R73,V70:V73)</f>
        <v>#VALUE!</v>
      </c>
      <c r="AL70" s="248" t="e" cm="1">
        <f t="array" ref="AL70">bdRateExtend($G70:$G75,K70:K75,$R70:$R75,V70:V75)</f>
        <v>#VALUE!</v>
      </c>
      <c r="AM70" s="239" t="e" cm="1">
        <f t="array" ref="AM70">bdRateExtend($G70:$G73,L70:L73,$R70:$R73,W70:W73)</f>
        <v>#VALUE!</v>
      </c>
      <c r="AN70" s="248" t="e" cm="1">
        <f t="array" ref="AN70">bdRateExtend($G70:$G75,L70:L75,$R70:$R75,W70:W75)</f>
        <v>#VALUE!</v>
      </c>
      <c r="AO70" s="254" t="e" cm="1">
        <f t="array" ref="AO70">bdRateExtend($G70:$G73,M70:M73,$R70:$R73,X70:X73)</f>
        <v>#VALUE!</v>
      </c>
      <c r="AP70" s="248" t="e" cm="1">
        <f t="array" ref="AP70">bdRateExtend($G70:$G75,M70:M75,$R70:$R75,X70:X75)</f>
        <v>#VALUE!</v>
      </c>
    </row>
    <row r="71" spans="1:42" ht="17.100000000000001" customHeight="1" outlineLevel="4" x14ac:dyDescent="0.25">
      <c r="A71" s="222"/>
      <c r="B71" s="219"/>
      <c r="C71" s="229"/>
      <c r="D71" s="232"/>
      <c r="E71" s="235"/>
      <c r="F71" s="16">
        <v>31</v>
      </c>
      <c r="G71" s="34"/>
      <c r="H71" s="39"/>
      <c r="I71" s="39"/>
      <c r="J71" s="39"/>
      <c r="K71" s="39"/>
      <c r="L71" s="39"/>
      <c r="M71" s="39"/>
      <c r="N71" s="39"/>
      <c r="O71" s="39"/>
      <c r="P71" s="35"/>
      <c r="Q71" s="18"/>
      <c r="R71" s="34"/>
      <c r="S71" s="39"/>
      <c r="T71" s="39"/>
      <c r="U71" s="39"/>
      <c r="V71" s="39"/>
      <c r="W71" s="39"/>
      <c r="X71" s="39"/>
      <c r="Y71" s="39"/>
      <c r="Z71" s="39"/>
      <c r="AA71" s="35"/>
      <c r="AB71" s="50" t="e">
        <f t="shared" si="2"/>
        <v>#DIV/0!</v>
      </c>
      <c r="AC71" s="51" t="e">
        <f t="shared" si="3"/>
        <v>#DIV/0!</v>
      </c>
      <c r="AD71" s="19"/>
      <c r="AE71" s="19"/>
      <c r="AF71" s="285"/>
      <c r="AG71" s="240"/>
      <c r="AH71" s="242"/>
      <c r="AI71" s="242"/>
      <c r="AJ71" s="245"/>
      <c r="AK71" s="240"/>
      <c r="AL71" s="249"/>
      <c r="AM71" s="240"/>
      <c r="AN71" s="249"/>
      <c r="AO71" s="252"/>
      <c r="AP71" s="249"/>
    </row>
    <row r="72" spans="1:42" ht="17.100000000000001" customHeight="1" outlineLevel="4" x14ac:dyDescent="0.25">
      <c r="A72" s="222"/>
      <c r="B72" s="219"/>
      <c r="C72" s="229"/>
      <c r="D72" s="232"/>
      <c r="E72" s="235"/>
      <c r="F72" s="16">
        <v>39</v>
      </c>
      <c r="G72" s="34"/>
      <c r="H72" s="39"/>
      <c r="I72" s="39"/>
      <c r="J72" s="39"/>
      <c r="K72" s="39"/>
      <c r="L72" s="39"/>
      <c r="M72" s="39"/>
      <c r="N72" s="39"/>
      <c r="O72" s="39"/>
      <c r="P72" s="35"/>
      <c r="Q72" s="18"/>
      <c r="R72" s="34"/>
      <c r="S72" s="39"/>
      <c r="T72" s="39"/>
      <c r="U72" s="39"/>
      <c r="V72" s="39"/>
      <c r="W72" s="39"/>
      <c r="X72" s="39"/>
      <c r="Y72" s="39"/>
      <c r="Z72" s="39"/>
      <c r="AA72" s="35"/>
      <c r="AB72" s="50" t="e">
        <f t="shared" si="2"/>
        <v>#DIV/0!</v>
      </c>
      <c r="AC72" s="51" t="e">
        <f t="shared" si="3"/>
        <v>#DIV/0!</v>
      </c>
      <c r="AD72" s="19"/>
      <c r="AE72" s="19"/>
      <c r="AF72" s="285" t="s">
        <v>127</v>
      </c>
      <c r="AG72" s="240" t="e" cm="1">
        <f t="array" ref="AG72">bdRateExtend($G71:$G74,H71:H74,$R71:$R74,S71:S74)</f>
        <v>#VALUE!</v>
      </c>
      <c r="AH72" s="242"/>
      <c r="AI72" s="242"/>
      <c r="AJ72" s="245"/>
      <c r="AK72" s="240" t="e" cm="1">
        <f t="array" ref="AK72">bdRateExtend($G71:$G74,K71:K74,$R71:$R74,V71:V74)</f>
        <v>#VALUE!</v>
      </c>
      <c r="AL72" s="249"/>
      <c r="AM72" s="240" t="e" cm="1">
        <f t="array" ref="AM72">bdRateExtend($G71:$G74,L71:L74,$R71:$R74,W71:W74)</f>
        <v>#VALUE!</v>
      </c>
      <c r="AN72" s="249"/>
      <c r="AO72" s="252" t="e" cm="1">
        <f t="array" ref="AO72">bdRateExtend($G71:$G74,M71:M74,$R71:$R74,X71:X74)</f>
        <v>#VALUE!</v>
      </c>
      <c r="AP72" s="249"/>
    </row>
    <row r="73" spans="1:42" ht="17.100000000000001" customHeight="1" outlineLevel="4" x14ac:dyDescent="0.25">
      <c r="A73" s="222"/>
      <c r="B73" s="219"/>
      <c r="C73" s="229"/>
      <c r="D73" s="232"/>
      <c r="E73" s="235"/>
      <c r="F73" s="16">
        <v>47</v>
      </c>
      <c r="G73" s="34"/>
      <c r="H73" s="39"/>
      <c r="I73" s="39"/>
      <c r="J73" s="39"/>
      <c r="K73" s="39"/>
      <c r="L73" s="39"/>
      <c r="M73" s="39"/>
      <c r="N73" s="39"/>
      <c r="O73" s="39"/>
      <c r="P73" s="35"/>
      <c r="Q73" s="18"/>
      <c r="R73" s="34"/>
      <c r="S73" s="39"/>
      <c r="T73" s="39"/>
      <c r="U73" s="39"/>
      <c r="V73" s="39"/>
      <c r="W73" s="39"/>
      <c r="X73" s="39"/>
      <c r="Y73" s="39"/>
      <c r="Z73" s="39"/>
      <c r="AA73" s="35"/>
      <c r="AB73" s="50" t="e">
        <f t="shared" si="2"/>
        <v>#DIV/0!</v>
      </c>
      <c r="AC73" s="51" t="e">
        <f t="shared" si="3"/>
        <v>#DIV/0!</v>
      </c>
      <c r="AD73" s="19"/>
      <c r="AE73" s="19"/>
      <c r="AF73" s="285"/>
      <c r="AG73" s="240"/>
      <c r="AH73" s="242"/>
      <c r="AI73" s="242"/>
      <c r="AJ73" s="245"/>
      <c r="AK73" s="240"/>
      <c r="AL73" s="249"/>
      <c r="AM73" s="240"/>
      <c r="AN73" s="249"/>
      <c r="AO73" s="252"/>
      <c r="AP73" s="249"/>
    </row>
    <row r="74" spans="1:42" ht="17.100000000000001" customHeight="1" outlineLevel="4" x14ac:dyDescent="0.25">
      <c r="A74" s="222"/>
      <c r="B74" s="219"/>
      <c r="C74" s="229"/>
      <c r="D74" s="232"/>
      <c r="E74" s="235"/>
      <c r="F74" s="16">
        <v>55</v>
      </c>
      <c r="G74" s="34"/>
      <c r="H74" s="39"/>
      <c r="I74" s="39"/>
      <c r="J74" s="39"/>
      <c r="K74" s="39"/>
      <c r="L74" s="39"/>
      <c r="M74" s="39"/>
      <c r="N74" s="39"/>
      <c r="O74" s="39"/>
      <c r="P74" s="35"/>
      <c r="Q74" s="18"/>
      <c r="R74" s="34"/>
      <c r="S74" s="39"/>
      <c r="T74" s="39"/>
      <c r="U74" s="39"/>
      <c r="V74" s="39"/>
      <c r="W74" s="39"/>
      <c r="X74" s="39"/>
      <c r="Y74" s="39"/>
      <c r="Z74" s="39"/>
      <c r="AA74" s="35"/>
      <c r="AB74" s="50" t="e">
        <f t="shared" ref="AB74:AB105" si="4">Y74/N74</f>
        <v>#DIV/0!</v>
      </c>
      <c r="AC74" s="51" t="e">
        <f t="shared" ref="AC74:AC105" si="5">Z74/O74</f>
        <v>#DIV/0!</v>
      </c>
      <c r="AD74" s="19"/>
      <c r="AE74" s="19"/>
      <c r="AF74" s="285" t="s">
        <v>128</v>
      </c>
      <c r="AG74" s="240" t="e" cm="1">
        <f t="array" ref="AG74">bdRateExtend($G72:$G75,H72:H75,$R72:$R75,S72:S75)</f>
        <v>#VALUE!</v>
      </c>
      <c r="AH74" s="242"/>
      <c r="AI74" s="242"/>
      <c r="AJ74" s="245"/>
      <c r="AK74" s="240" t="e" cm="1">
        <f t="array" ref="AK74">bdRateExtend($G72:$G75,K72:K75,$R72:$R75,V72:V75)</f>
        <v>#VALUE!</v>
      </c>
      <c r="AL74" s="249"/>
      <c r="AM74" s="240" t="e" cm="1">
        <f t="array" ref="AM74">bdRateExtend($G72:$G75,L72:L75,$R72:$R75,W72:W75)</f>
        <v>#VALUE!</v>
      </c>
      <c r="AN74" s="249"/>
      <c r="AO74" s="252" t="e" cm="1">
        <f t="array" ref="AO74">bdRateExtend($G72:$G75,M72:M75,$R72:$R75,X72:X75)</f>
        <v>#VALUE!</v>
      </c>
      <c r="AP74" s="249"/>
    </row>
    <row r="75" spans="1:42" ht="17.100000000000001" customHeight="1" outlineLevel="4" thickBot="1" x14ac:dyDescent="0.3">
      <c r="A75" s="222"/>
      <c r="B75" s="220"/>
      <c r="C75" s="230"/>
      <c r="D75" s="233"/>
      <c r="E75" s="236"/>
      <c r="F75" s="9">
        <v>63</v>
      </c>
      <c r="G75" s="36"/>
      <c r="H75" s="37"/>
      <c r="I75" s="37"/>
      <c r="J75" s="37"/>
      <c r="K75" s="37"/>
      <c r="L75" s="37"/>
      <c r="M75" s="37"/>
      <c r="N75" s="37"/>
      <c r="O75" s="37"/>
      <c r="P75" s="38"/>
      <c r="Q75" s="18"/>
      <c r="R75" s="36"/>
      <c r="S75" s="37"/>
      <c r="T75" s="37"/>
      <c r="U75" s="37"/>
      <c r="V75" s="37"/>
      <c r="W75" s="37"/>
      <c r="X75" s="37"/>
      <c r="Y75" s="37"/>
      <c r="Z75" s="37"/>
      <c r="AA75" s="38"/>
      <c r="AB75" s="52" t="e">
        <f t="shared" si="4"/>
        <v>#DIV/0!</v>
      </c>
      <c r="AC75" s="53" t="e">
        <f t="shared" si="5"/>
        <v>#DIV/0!</v>
      </c>
      <c r="AD75" s="19"/>
      <c r="AE75" s="19"/>
      <c r="AF75" s="286"/>
      <c r="AG75" s="247"/>
      <c r="AH75" s="243"/>
      <c r="AI75" s="243"/>
      <c r="AJ75" s="246"/>
      <c r="AK75" s="247"/>
      <c r="AL75" s="250"/>
      <c r="AM75" s="247"/>
      <c r="AN75" s="250"/>
      <c r="AO75" s="253"/>
      <c r="AP75" s="250"/>
    </row>
    <row r="76" spans="1:42" ht="17.100000000000001" customHeight="1" outlineLevel="4" x14ac:dyDescent="0.25">
      <c r="A76" s="222"/>
      <c r="B76" s="218" t="s">
        <v>2</v>
      </c>
      <c r="C76" s="228" t="s">
        <v>41</v>
      </c>
      <c r="D76" s="231">
        <v>59.94</v>
      </c>
      <c r="E76" s="234">
        <v>10</v>
      </c>
      <c r="F76" s="7">
        <v>23</v>
      </c>
      <c r="G76" s="31"/>
      <c r="H76" s="32"/>
      <c r="I76" s="32"/>
      <c r="J76" s="32"/>
      <c r="K76" s="32"/>
      <c r="L76" s="32"/>
      <c r="M76" s="32"/>
      <c r="N76" s="32"/>
      <c r="O76" s="32"/>
      <c r="P76" s="33"/>
      <c r="Q76" s="18"/>
      <c r="R76" s="31"/>
      <c r="S76" s="32"/>
      <c r="T76" s="32"/>
      <c r="U76" s="32"/>
      <c r="V76" s="32"/>
      <c r="W76" s="32"/>
      <c r="X76" s="32"/>
      <c r="Y76" s="32"/>
      <c r="Z76" s="32"/>
      <c r="AA76" s="33"/>
      <c r="AB76" s="48" t="e">
        <f t="shared" si="4"/>
        <v>#DIV/0!</v>
      </c>
      <c r="AC76" s="49" t="e">
        <f t="shared" si="5"/>
        <v>#DIV/0!</v>
      </c>
      <c r="AD76" s="19"/>
      <c r="AE76" s="19"/>
      <c r="AF76" s="284" t="s">
        <v>126</v>
      </c>
      <c r="AG76" s="239" t="e" cm="1">
        <f t="array" ref="AG76">bdRateExtend($G76:$G79,H76:H79,$R76:$R79,S76:S79)</f>
        <v>#VALUE!</v>
      </c>
      <c r="AH76" s="241" t="e" cm="1">
        <f t="array" ref="AH76">bdRateExtend($G76:$G81,H76:H81,$R76:$R81,S76:S81)</f>
        <v>#VALUE!</v>
      </c>
      <c r="AI76" s="241" t="e" cm="1">
        <f t="array" ref="AI76">bdRateExtend($G76:$G81,I76:I81,$R76:$R81,T76:T81)</f>
        <v>#VALUE!</v>
      </c>
      <c r="AJ76" s="244" t="e" cm="1">
        <f t="array" ref="AJ76">bdRateExtend($G76:$G81,J76:J81,$R76:$R81,U76:U81)</f>
        <v>#VALUE!</v>
      </c>
      <c r="AK76" s="239" t="e" cm="1">
        <f t="array" ref="AK76">bdRateExtend($G76:$G79,K76:K79,$R76:$R79,V76:V79)</f>
        <v>#VALUE!</v>
      </c>
      <c r="AL76" s="248" t="e" cm="1">
        <f t="array" ref="AL76">bdRateExtend($G76:$G81,K76:K81,$R76:$R81,V76:V81)</f>
        <v>#VALUE!</v>
      </c>
      <c r="AM76" s="239" t="e" cm="1">
        <f t="array" ref="AM76">bdRateExtend($G76:$G79,L76:L79,$R76:$R79,W76:W79)</f>
        <v>#VALUE!</v>
      </c>
      <c r="AN76" s="248" t="e" cm="1">
        <f t="array" ref="AN76">bdRateExtend($G76:$G81,L76:L81,$R76:$R81,W76:W81)</f>
        <v>#VALUE!</v>
      </c>
      <c r="AO76" s="254" t="e" cm="1">
        <f t="array" ref="AO76">bdRateExtend($G76:$G79,M76:M79,$R76:$R79,X76:X79)</f>
        <v>#VALUE!</v>
      </c>
      <c r="AP76" s="248" t="e" cm="1">
        <f t="array" ref="AP76">bdRateExtend($G76:$G81,M76:M81,$R76:$R81,X76:X81)</f>
        <v>#VALUE!</v>
      </c>
    </row>
    <row r="77" spans="1:42" ht="17.100000000000001" customHeight="1" outlineLevel="4" x14ac:dyDescent="0.25">
      <c r="A77" s="222"/>
      <c r="B77" s="219"/>
      <c r="C77" s="229"/>
      <c r="D77" s="232"/>
      <c r="E77" s="235"/>
      <c r="F77" s="16">
        <v>31</v>
      </c>
      <c r="G77" s="34"/>
      <c r="H77" s="39"/>
      <c r="I77" s="39"/>
      <c r="J77" s="39"/>
      <c r="K77" s="39"/>
      <c r="L77" s="39"/>
      <c r="M77" s="39"/>
      <c r="N77" s="39"/>
      <c r="O77" s="39"/>
      <c r="P77" s="35"/>
      <c r="Q77" s="18"/>
      <c r="R77" s="34"/>
      <c r="S77" s="39"/>
      <c r="T77" s="39"/>
      <c r="U77" s="39"/>
      <c r="V77" s="39"/>
      <c r="W77" s="39"/>
      <c r="X77" s="39"/>
      <c r="Y77" s="39"/>
      <c r="Z77" s="39"/>
      <c r="AA77" s="35"/>
      <c r="AB77" s="50" t="e">
        <f t="shared" si="4"/>
        <v>#DIV/0!</v>
      </c>
      <c r="AC77" s="51" t="e">
        <f t="shared" si="5"/>
        <v>#DIV/0!</v>
      </c>
      <c r="AD77" s="19"/>
      <c r="AE77" s="19"/>
      <c r="AF77" s="285"/>
      <c r="AG77" s="240"/>
      <c r="AH77" s="242"/>
      <c r="AI77" s="242"/>
      <c r="AJ77" s="245"/>
      <c r="AK77" s="240"/>
      <c r="AL77" s="249"/>
      <c r="AM77" s="240"/>
      <c r="AN77" s="249"/>
      <c r="AO77" s="252"/>
      <c r="AP77" s="249"/>
    </row>
    <row r="78" spans="1:42" ht="17.100000000000001" customHeight="1" outlineLevel="4" x14ac:dyDescent="0.25">
      <c r="A78" s="222"/>
      <c r="B78" s="219"/>
      <c r="C78" s="229"/>
      <c r="D78" s="232"/>
      <c r="E78" s="235"/>
      <c r="F78" s="16">
        <v>39</v>
      </c>
      <c r="G78" s="34"/>
      <c r="H78" s="39"/>
      <c r="I78" s="39"/>
      <c r="J78" s="39"/>
      <c r="K78" s="39"/>
      <c r="L78" s="39"/>
      <c r="M78" s="39"/>
      <c r="N78" s="39"/>
      <c r="O78" s="39"/>
      <c r="P78" s="35"/>
      <c r="Q78" s="18"/>
      <c r="R78" s="34"/>
      <c r="S78" s="39"/>
      <c r="T78" s="39"/>
      <c r="U78" s="39"/>
      <c r="V78" s="39"/>
      <c r="W78" s="39"/>
      <c r="X78" s="39"/>
      <c r="Y78" s="39"/>
      <c r="Z78" s="39"/>
      <c r="AA78" s="35"/>
      <c r="AB78" s="50" t="e">
        <f t="shared" si="4"/>
        <v>#DIV/0!</v>
      </c>
      <c r="AC78" s="51" t="e">
        <f t="shared" si="5"/>
        <v>#DIV/0!</v>
      </c>
      <c r="AD78" s="19"/>
      <c r="AE78" s="19"/>
      <c r="AF78" s="285" t="s">
        <v>127</v>
      </c>
      <c r="AG78" s="240" t="e" cm="1">
        <f t="array" ref="AG78">bdRateExtend($G77:$G80,H77:H80,$R77:$R80,S77:S80)</f>
        <v>#VALUE!</v>
      </c>
      <c r="AH78" s="242"/>
      <c r="AI78" s="242"/>
      <c r="AJ78" s="245"/>
      <c r="AK78" s="240" t="e" cm="1">
        <f t="array" ref="AK78">bdRateExtend($G77:$G80,K77:K80,$R77:$R80,V77:V80)</f>
        <v>#VALUE!</v>
      </c>
      <c r="AL78" s="249"/>
      <c r="AM78" s="240" t="e" cm="1">
        <f t="array" ref="AM78">bdRateExtend($G77:$G80,L77:L80,$R77:$R80,W77:W80)</f>
        <v>#VALUE!</v>
      </c>
      <c r="AN78" s="249"/>
      <c r="AO78" s="252" t="e" cm="1">
        <f t="array" ref="AO78">bdRateExtend($G77:$G80,M77:M80,$R77:$R80,X77:X80)</f>
        <v>#VALUE!</v>
      </c>
      <c r="AP78" s="249"/>
    </row>
    <row r="79" spans="1:42" ht="17.100000000000001" customHeight="1" outlineLevel="4" x14ac:dyDescent="0.25">
      <c r="A79" s="222"/>
      <c r="B79" s="219"/>
      <c r="C79" s="229"/>
      <c r="D79" s="232"/>
      <c r="E79" s="235"/>
      <c r="F79" s="16">
        <v>47</v>
      </c>
      <c r="G79" s="34"/>
      <c r="H79" s="39"/>
      <c r="I79" s="39"/>
      <c r="J79" s="39"/>
      <c r="K79" s="39"/>
      <c r="L79" s="39"/>
      <c r="M79" s="39"/>
      <c r="N79" s="39"/>
      <c r="O79" s="39"/>
      <c r="P79" s="35"/>
      <c r="Q79" s="18"/>
      <c r="R79" s="34"/>
      <c r="S79" s="39"/>
      <c r="T79" s="39"/>
      <c r="U79" s="39"/>
      <c r="V79" s="39"/>
      <c r="W79" s="39"/>
      <c r="X79" s="39"/>
      <c r="Y79" s="39"/>
      <c r="Z79" s="39"/>
      <c r="AA79" s="35"/>
      <c r="AB79" s="50" t="e">
        <f t="shared" si="4"/>
        <v>#DIV/0!</v>
      </c>
      <c r="AC79" s="51" t="e">
        <f t="shared" si="5"/>
        <v>#DIV/0!</v>
      </c>
      <c r="AD79" s="19"/>
      <c r="AE79" s="19"/>
      <c r="AF79" s="285"/>
      <c r="AG79" s="240"/>
      <c r="AH79" s="242"/>
      <c r="AI79" s="242"/>
      <c r="AJ79" s="245"/>
      <c r="AK79" s="240"/>
      <c r="AL79" s="249"/>
      <c r="AM79" s="240"/>
      <c r="AN79" s="249"/>
      <c r="AO79" s="252"/>
      <c r="AP79" s="249"/>
    </row>
    <row r="80" spans="1:42" ht="17.100000000000001" customHeight="1" outlineLevel="4" x14ac:dyDescent="0.25">
      <c r="A80" s="222"/>
      <c r="B80" s="219"/>
      <c r="C80" s="229"/>
      <c r="D80" s="232"/>
      <c r="E80" s="235"/>
      <c r="F80" s="16">
        <v>55</v>
      </c>
      <c r="G80" s="34"/>
      <c r="H80" s="39"/>
      <c r="I80" s="39"/>
      <c r="J80" s="39"/>
      <c r="K80" s="39"/>
      <c r="L80" s="39"/>
      <c r="M80" s="39"/>
      <c r="N80" s="39"/>
      <c r="O80" s="39"/>
      <c r="P80" s="35"/>
      <c r="Q80" s="18"/>
      <c r="R80" s="34"/>
      <c r="S80" s="39"/>
      <c r="T80" s="39"/>
      <c r="U80" s="39"/>
      <c r="V80" s="39"/>
      <c r="W80" s="39"/>
      <c r="X80" s="39"/>
      <c r="Y80" s="39"/>
      <c r="Z80" s="39"/>
      <c r="AA80" s="35"/>
      <c r="AB80" s="50" t="e">
        <f t="shared" si="4"/>
        <v>#DIV/0!</v>
      </c>
      <c r="AC80" s="51" t="e">
        <f t="shared" si="5"/>
        <v>#DIV/0!</v>
      </c>
      <c r="AD80" s="19"/>
      <c r="AE80" s="19"/>
      <c r="AF80" s="285" t="s">
        <v>128</v>
      </c>
      <c r="AG80" s="240" t="e" cm="1">
        <f t="array" ref="AG80">bdRateExtend($G78:$G81,H78:H81,$R78:$R81,S78:S81)</f>
        <v>#VALUE!</v>
      </c>
      <c r="AH80" s="242"/>
      <c r="AI80" s="242"/>
      <c r="AJ80" s="245"/>
      <c r="AK80" s="240" t="e" cm="1">
        <f t="array" ref="AK80">bdRateExtend($G78:$G81,K78:K81,$R78:$R81,V78:V81)</f>
        <v>#VALUE!</v>
      </c>
      <c r="AL80" s="249"/>
      <c r="AM80" s="240" t="e" cm="1">
        <f t="array" ref="AM80">bdRateExtend($G78:$G81,L78:L81,$R78:$R81,W78:W81)</f>
        <v>#VALUE!</v>
      </c>
      <c r="AN80" s="249"/>
      <c r="AO80" s="252" t="e" cm="1">
        <f t="array" ref="AO80">bdRateExtend($G78:$G81,M78:M81,$R78:$R81,X78:X81)</f>
        <v>#VALUE!</v>
      </c>
      <c r="AP80" s="249"/>
    </row>
    <row r="81" spans="1:42" ht="17.100000000000001" customHeight="1" outlineLevel="4" thickBot="1" x14ac:dyDescent="0.3">
      <c r="A81" s="222"/>
      <c r="B81" s="220"/>
      <c r="C81" s="230"/>
      <c r="D81" s="233"/>
      <c r="E81" s="236"/>
      <c r="F81" s="9">
        <v>63</v>
      </c>
      <c r="G81" s="36"/>
      <c r="H81" s="37"/>
      <c r="I81" s="37"/>
      <c r="J81" s="37"/>
      <c r="K81" s="37"/>
      <c r="L81" s="37"/>
      <c r="M81" s="37"/>
      <c r="N81" s="37"/>
      <c r="O81" s="37"/>
      <c r="P81" s="38"/>
      <c r="Q81" s="18"/>
      <c r="R81" s="36"/>
      <c r="S81" s="37"/>
      <c r="T81" s="37"/>
      <c r="U81" s="37"/>
      <c r="V81" s="37"/>
      <c r="W81" s="37"/>
      <c r="X81" s="37"/>
      <c r="Y81" s="37"/>
      <c r="Z81" s="37"/>
      <c r="AA81" s="38"/>
      <c r="AB81" s="52" t="e">
        <f t="shared" si="4"/>
        <v>#DIV/0!</v>
      </c>
      <c r="AC81" s="53" t="e">
        <f t="shared" si="5"/>
        <v>#DIV/0!</v>
      </c>
      <c r="AD81" s="19"/>
      <c r="AE81" s="19"/>
      <c r="AF81" s="286"/>
      <c r="AG81" s="247"/>
      <c r="AH81" s="243"/>
      <c r="AI81" s="243"/>
      <c r="AJ81" s="246"/>
      <c r="AK81" s="247"/>
      <c r="AL81" s="250"/>
      <c r="AM81" s="247"/>
      <c r="AN81" s="250"/>
      <c r="AO81" s="253"/>
      <c r="AP81" s="250"/>
    </row>
    <row r="82" spans="1:42" ht="17.100000000000001" customHeight="1" outlineLevel="4" x14ac:dyDescent="0.25">
      <c r="A82" s="222"/>
      <c r="B82" s="218" t="s">
        <v>2</v>
      </c>
      <c r="C82" s="228" t="s">
        <v>42</v>
      </c>
      <c r="D82" s="231">
        <v>59.94</v>
      </c>
      <c r="E82" s="234">
        <v>10</v>
      </c>
      <c r="F82" s="7">
        <v>23</v>
      </c>
      <c r="G82" s="31"/>
      <c r="H82" s="32"/>
      <c r="I82" s="32"/>
      <c r="J82" s="32"/>
      <c r="K82" s="32"/>
      <c r="L82" s="32"/>
      <c r="M82" s="32"/>
      <c r="N82" s="32"/>
      <c r="O82" s="32"/>
      <c r="P82" s="33"/>
      <c r="Q82" s="18"/>
      <c r="R82" s="31"/>
      <c r="S82" s="32"/>
      <c r="T82" s="32"/>
      <c r="U82" s="32"/>
      <c r="V82" s="32"/>
      <c r="W82" s="32"/>
      <c r="X82" s="32"/>
      <c r="Y82" s="32"/>
      <c r="Z82" s="32"/>
      <c r="AA82" s="33"/>
      <c r="AB82" s="48" t="e">
        <f t="shared" si="4"/>
        <v>#DIV/0!</v>
      </c>
      <c r="AC82" s="49" t="e">
        <f t="shared" si="5"/>
        <v>#DIV/0!</v>
      </c>
      <c r="AD82" s="19"/>
      <c r="AE82" s="19"/>
      <c r="AF82" s="284" t="s">
        <v>126</v>
      </c>
      <c r="AG82" s="239" t="e" cm="1">
        <f t="array" ref="AG82">bdRateExtend($G82:$G85,H82:H85,$R82:$R85,S82:S85)</f>
        <v>#VALUE!</v>
      </c>
      <c r="AH82" s="241" t="e" cm="1">
        <f t="array" ref="AH82">bdRateExtend($G82:$G87,H82:H87,$R82:$R87,S82:S87)</f>
        <v>#VALUE!</v>
      </c>
      <c r="AI82" s="241" t="e" cm="1">
        <f t="array" ref="AI82">bdRateExtend($G82:$G87,I82:I87,$R82:$R87,T82:T87)</f>
        <v>#VALUE!</v>
      </c>
      <c r="AJ82" s="244" t="e" cm="1">
        <f t="array" ref="AJ82">bdRateExtend($G82:$G87,J82:J87,$R82:$R87,U82:U87)</f>
        <v>#VALUE!</v>
      </c>
      <c r="AK82" s="239" t="e" cm="1">
        <f t="array" ref="AK82">bdRateExtend($G82:$G85,K82:K85,$R82:$R85,V82:V85)</f>
        <v>#VALUE!</v>
      </c>
      <c r="AL82" s="248" t="e" cm="1">
        <f t="array" ref="AL82">bdRateExtend($G82:$G87,K82:K87,$R82:$R87,V82:V87)</f>
        <v>#VALUE!</v>
      </c>
      <c r="AM82" s="239" t="e" cm="1">
        <f t="array" ref="AM82">bdRateExtend($G82:$G85,L82:L85,$R82:$R85,W82:W85)</f>
        <v>#VALUE!</v>
      </c>
      <c r="AN82" s="248" t="e" cm="1">
        <f t="array" ref="AN82">bdRateExtend($G82:$G87,L82:L87,$R82:$R87,W82:W87)</f>
        <v>#VALUE!</v>
      </c>
      <c r="AO82" s="254" t="e" cm="1">
        <f t="array" ref="AO82">bdRateExtend($G82:$G85,M82:M85,$R82:$R85,X82:X85)</f>
        <v>#VALUE!</v>
      </c>
      <c r="AP82" s="248" t="e" cm="1">
        <f t="array" ref="AP82">bdRateExtend($G82:$G87,M82:M87,$R82:$R87,X82:X87)</f>
        <v>#VALUE!</v>
      </c>
    </row>
    <row r="83" spans="1:42" ht="17.100000000000001" customHeight="1" outlineLevel="4" x14ac:dyDescent="0.25">
      <c r="A83" s="222"/>
      <c r="B83" s="219"/>
      <c r="C83" s="229"/>
      <c r="D83" s="232"/>
      <c r="E83" s="235"/>
      <c r="F83" s="16">
        <v>31</v>
      </c>
      <c r="G83" s="34"/>
      <c r="H83" s="39"/>
      <c r="I83" s="39"/>
      <c r="J83" s="39"/>
      <c r="K83" s="39"/>
      <c r="L83" s="39"/>
      <c r="M83" s="39"/>
      <c r="N83" s="39"/>
      <c r="O83" s="39"/>
      <c r="P83" s="35"/>
      <c r="Q83" s="18"/>
      <c r="R83" s="34"/>
      <c r="S83" s="39"/>
      <c r="T83" s="39"/>
      <c r="U83" s="39"/>
      <c r="V83" s="39"/>
      <c r="W83" s="39"/>
      <c r="X83" s="39"/>
      <c r="Y83" s="39"/>
      <c r="Z83" s="39"/>
      <c r="AA83" s="35"/>
      <c r="AB83" s="50" t="e">
        <f t="shared" si="4"/>
        <v>#DIV/0!</v>
      </c>
      <c r="AC83" s="51" t="e">
        <f t="shared" si="5"/>
        <v>#DIV/0!</v>
      </c>
      <c r="AD83" s="19"/>
      <c r="AE83" s="19"/>
      <c r="AF83" s="285"/>
      <c r="AG83" s="240"/>
      <c r="AH83" s="242"/>
      <c r="AI83" s="242"/>
      <c r="AJ83" s="245"/>
      <c r="AK83" s="240"/>
      <c r="AL83" s="249"/>
      <c r="AM83" s="240"/>
      <c r="AN83" s="249"/>
      <c r="AO83" s="252"/>
      <c r="AP83" s="249"/>
    </row>
    <row r="84" spans="1:42" ht="17.100000000000001" customHeight="1" outlineLevel="4" x14ac:dyDescent="0.25">
      <c r="A84" s="222"/>
      <c r="B84" s="219"/>
      <c r="C84" s="229"/>
      <c r="D84" s="232"/>
      <c r="E84" s="235"/>
      <c r="F84" s="16">
        <v>39</v>
      </c>
      <c r="G84" s="34"/>
      <c r="H84" s="39"/>
      <c r="I84" s="39"/>
      <c r="J84" s="39"/>
      <c r="K84" s="39"/>
      <c r="L84" s="39"/>
      <c r="M84" s="39"/>
      <c r="N84" s="39"/>
      <c r="O84" s="39"/>
      <c r="P84" s="35"/>
      <c r="Q84" s="18"/>
      <c r="R84" s="34"/>
      <c r="S84" s="39"/>
      <c r="T84" s="39"/>
      <c r="U84" s="39"/>
      <c r="V84" s="39"/>
      <c r="W84" s="39"/>
      <c r="X84" s="39"/>
      <c r="Y84" s="39"/>
      <c r="Z84" s="39"/>
      <c r="AA84" s="35"/>
      <c r="AB84" s="50" t="e">
        <f t="shared" si="4"/>
        <v>#DIV/0!</v>
      </c>
      <c r="AC84" s="51" t="e">
        <f t="shared" si="5"/>
        <v>#DIV/0!</v>
      </c>
      <c r="AD84" s="19"/>
      <c r="AE84" s="19"/>
      <c r="AF84" s="285" t="s">
        <v>127</v>
      </c>
      <c r="AG84" s="240" t="e" cm="1">
        <f t="array" ref="AG84">bdRateExtend($G83:$G86,H83:H86,$R83:$R86,S83:S86)</f>
        <v>#VALUE!</v>
      </c>
      <c r="AH84" s="242"/>
      <c r="AI84" s="242"/>
      <c r="AJ84" s="245"/>
      <c r="AK84" s="240" t="e" cm="1">
        <f t="array" ref="AK84">bdRateExtend($G83:$G86,K83:K86,$R83:$R86,V83:V86)</f>
        <v>#VALUE!</v>
      </c>
      <c r="AL84" s="249"/>
      <c r="AM84" s="240" t="e" cm="1">
        <f t="array" ref="AM84">bdRateExtend($G83:$G86,L83:L86,$R83:$R86,W83:W86)</f>
        <v>#VALUE!</v>
      </c>
      <c r="AN84" s="249"/>
      <c r="AO84" s="252" t="e" cm="1">
        <f t="array" ref="AO84">bdRateExtend($G83:$G86,M83:M86,$R83:$R86,X83:X86)</f>
        <v>#VALUE!</v>
      </c>
      <c r="AP84" s="249"/>
    </row>
    <row r="85" spans="1:42" ht="17.100000000000001" customHeight="1" outlineLevel="4" x14ac:dyDescent="0.25">
      <c r="A85" s="222"/>
      <c r="B85" s="219"/>
      <c r="C85" s="229"/>
      <c r="D85" s="232"/>
      <c r="E85" s="235"/>
      <c r="F85" s="16">
        <v>47</v>
      </c>
      <c r="G85" s="34"/>
      <c r="H85" s="39"/>
      <c r="I85" s="39"/>
      <c r="J85" s="39"/>
      <c r="K85" s="39"/>
      <c r="L85" s="39"/>
      <c r="M85" s="39"/>
      <c r="N85" s="39"/>
      <c r="O85" s="39"/>
      <c r="P85" s="35"/>
      <c r="Q85" s="18"/>
      <c r="R85" s="34"/>
      <c r="S85" s="39"/>
      <c r="T85" s="39"/>
      <c r="U85" s="39"/>
      <c r="V85" s="39"/>
      <c r="W85" s="39"/>
      <c r="X85" s="39"/>
      <c r="Y85" s="39"/>
      <c r="Z85" s="39"/>
      <c r="AA85" s="35"/>
      <c r="AB85" s="50" t="e">
        <f t="shared" si="4"/>
        <v>#DIV/0!</v>
      </c>
      <c r="AC85" s="51" t="e">
        <f t="shared" si="5"/>
        <v>#DIV/0!</v>
      </c>
      <c r="AD85" s="19"/>
      <c r="AE85" s="19"/>
      <c r="AF85" s="285"/>
      <c r="AG85" s="240"/>
      <c r="AH85" s="242"/>
      <c r="AI85" s="242"/>
      <c r="AJ85" s="245"/>
      <c r="AK85" s="240"/>
      <c r="AL85" s="249"/>
      <c r="AM85" s="240"/>
      <c r="AN85" s="249"/>
      <c r="AO85" s="252"/>
      <c r="AP85" s="249"/>
    </row>
    <row r="86" spans="1:42" ht="17.100000000000001" customHeight="1" outlineLevel="4" x14ac:dyDescent="0.25">
      <c r="A86" s="222"/>
      <c r="B86" s="219"/>
      <c r="C86" s="229"/>
      <c r="D86" s="232"/>
      <c r="E86" s="235"/>
      <c r="F86" s="16">
        <v>55</v>
      </c>
      <c r="G86" s="34"/>
      <c r="H86" s="39"/>
      <c r="I86" s="39"/>
      <c r="J86" s="39"/>
      <c r="K86" s="39"/>
      <c r="L86" s="39"/>
      <c r="M86" s="39"/>
      <c r="N86" s="39"/>
      <c r="O86" s="39"/>
      <c r="P86" s="35"/>
      <c r="Q86" s="18"/>
      <c r="R86" s="34"/>
      <c r="S86" s="39"/>
      <c r="T86" s="39"/>
      <c r="U86" s="39"/>
      <c r="V86" s="39"/>
      <c r="W86" s="39"/>
      <c r="X86" s="39"/>
      <c r="Y86" s="39"/>
      <c r="Z86" s="39"/>
      <c r="AA86" s="35"/>
      <c r="AB86" s="50" t="e">
        <f t="shared" si="4"/>
        <v>#DIV/0!</v>
      </c>
      <c r="AC86" s="51" t="e">
        <f t="shared" si="5"/>
        <v>#DIV/0!</v>
      </c>
      <c r="AD86" s="19"/>
      <c r="AE86" s="19"/>
      <c r="AF86" s="285" t="s">
        <v>128</v>
      </c>
      <c r="AG86" s="240" t="e" cm="1">
        <f t="array" ref="AG86">bdRateExtend($G84:$G87,H84:H87,$R84:$R87,S84:S87)</f>
        <v>#VALUE!</v>
      </c>
      <c r="AH86" s="242"/>
      <c r="AI86" s="242"/>
      <c r="AJ86" s="245"/>
      <c r="AK86" s="240" t="e" cm="1">
        <f t="array" ref="AK86">bdRateExtend($G84:$G87,K84:K87,$R84:$R87,V84:V87)</f>
        <v>#VALUE!</v>
      </c>
      <c r="AL86" s="249"/>
      <c r="AM86" s="240" t="e" cm="1">
        <f t="array" ref="AM86">bdRateExtend($G84:$G87,L84:L87,$R84:$R87,W84:W87)</f>
        <v>#VALUE!</v>
      </c>
      <c r="AN86" s="249"/>
      <c r="AO86" s="252" t="e" cm="1">
        <f t="array" ref="AO86">bdRateExtend($G84:$G87,M84:M87,$R84:$R87,X84:X87)</f>
        <v>#VALUE!</v>
      </c>
      <c r="AP86" s="249"/>
    </row>
    <row r="87" spans="1:42" ht="17.100000000000001" customHeight="1" outlineLevel="4" thickBot="1" x14ac:dyDescent="0.3">
      <c r="A87" s="222"/>
      <c r="B87" s="220"/>
      <c r="C87" s="230"/>
      <c r="D87" s="233"/>
      <c r="E87" s="236"/>
      <c r="F87" s="9">
        <v>63</v>
      </c>
      <c r="G87" s="36"/>
      <c r="H87" s="37"/>
      <c r="I87" s="37"/>
      <c r="J87" s="37"/>
      <c r="K87" s="37"/>
      <c r="L87" s="37"/>
      <c r="M87" s="37"/>
      <c r="N87" s="37"/>
      <c r="O87" s="37"/>
      <c r="P87" s="38"/>
      <c r="Q87" s="18"/>
      <c r="R87" s="36"/>
      <c r="S87" s="37"/>
      <c r="T87" s="37"/>
      <c r="U87" s="37"/>
      <c r="V87" s="37"/>
      <c r="W87" s="37"/>
      <c r="X87" s="37"/>
      <c r="Y87" s="37"/>
      <c r="Z87" s="37"/>
      <c r="AA87" s="38"/>
      <c r="AB87" s="52" t="e">
        <f t="shared" si="4"/>
        <v>#DIV/0!</v>
      </c>
      <c r="AC87" s="53" t="e">
        <f t="shared" si="5"/>
        <v>#DIV/0!</v>
      </c>
      <c r="AD87" s="19"/>
      <c r="AE87" s="19"/>
      <c r="AF87" s="286"/>
      <c r="AG87" s="247"/>
      <c r="AH87" s="243"/>
      <c r="AI87" s="243"/>
      <c r="AJ87" s="246"/>
      <c r="AK87" s="247"/>
      <c r="AL87" s="250"/>
      <c r="AM87" s="247"/>
      <c r="AN87" s="250"/>
      <c r="AO87" s="253"/>
      <c r="AP87" s="250"/>
    </row>
    <row r="88" spans="1:42" ht="17.100000000000001" customHeight="1" outlineLevel="4" x14ac:dyDescent="0.25">
      <c r="A88" s="222"/>
      <c r="B88" s="218" t="s">
        <v>2</v>
      </c>
      <c r="C88" s="228" t="s">
        <v>43</v>
      </c>
      <c r="D88" s="231">
        <v>50</v>
      </c>
      <c r="E88" s="234" t="s">
        <v>23</v>
      </c>
      <c r="F88" s="7">
        <v>23</v>
      </c>
      <c r="G88" s="31"/>
      <c r="H88" s="32"/>
      <c r="I88" s="32"/>
      <c r="J88" s="32"/>
      <c r="K88" s="32"/>
      <c r="L88" s="32"/>
      <c r="M88" s="32"/>
      <c r="N88" s="32"/>
      <c r="O88" s="32"/>
      <c r="P88" s="33"/>
      <c r="Q88" s="18"/>
      <c r="R88" s="31"/>
      <c r="S88" s="32"/>
      <c r="T88" s="32"/>
      <c r="U88" s="32"/>
      <c r="V88" s="32"/>
      <c r="W88" s="32"/>
      <c r="X88" s="32"/>
      <c r="Y88" s="32"/>
      <c r="Z88" s="32"/>
      <c r="AA88" s="33"/>
      <c r="AB88" s="48" t="e">
        <f t="shared" si="4"/>
        <v>#DIV/0!</v>
      </c>
      <c r="AC88" s="49" t="e">
        <f t="shared" si="5"/>
        <v>#DIV/0!</v>
      </c>
      <c r="AD88" s="19"/>
      <c r="AE88" s="19"/>
      <c r="AF88" s="284" t="s">
        <v>126</v>
      </c>
      <c r="AG88" s="239" t="e" cm="1">
        <f t="array" ref="AG88">bdRateExtend($G88:$G91,H88:H91,$R88:$R91,S88:S91)</f>
        <v>#VALUE!</v>
      </c>
      <c r="AH88" s="241" t="e" cm="1">
        <f t="array" ref="AH88">bdRateExtend($G88:$G93,H88:H93,$R88:$R93,S88:S93)</f>
        <v>#VALUE!</v>
      </c>
      <c r="AI88" s="241" t="e" cm="1">
        <f t="array" ref="AI88">bdRateExtend($G88:$G93,I88:I93,$R88:$R93,T88:T93)</f>
        <v>#VALUE!</v>
      </c>
      <c r="AJ88" s="244" t="e" cm="1">
        <f t="array" ref="AJ88">bdRateExtend($G88:$G93,J88:J93,$R88:$R93,U88:U93)</f>
        <v>#VALUE!</v>
      </c>
      <c r="AK88" s="239" t="e" cm="1">
        <f t="array" ref="AK88">bdRateExtend($G88:$G91,K88:K91,$R88:$R91,V88:V91)</f>
        <v>#VALUE!</v>
      </c>
      <c r="AL88" s="248" t="e" cm="1">
        <f t="array" ref="AL88">bdRateExtend($G88:$G93,K88:K93,$R88:$R93,V88:V93)</f>
        <v>#VALUE!</v>
      </c>
      <c r="AM88" s="239" t="e" cm="1">
        <f t="array" ref="AM88">bdRateExtend($G88:$G91,L88:L91,$R88:$R91,W88:W91)</f>
        <v>#VALUE!</v>
      </c>
      <c r="AN88" s="248" t="e" cm="1">
        <f t="array" ref="AN88">bdRateExtend($G88:$G93,L88:L93,$R88:$R93,W88:W93)</f>
        <v>#VALUE!</v>
      </c>
      <c r="AO88" s="254" t="e" cm="1">
        <f t="array" ref="AO88">bdRateExtend($G88:$G91,M88:M91,$R88:$R91,X88:X91)</f>
        <v>#VALUE!</v>
      </c>
      <c r="AP88" s="248" t="e" cm="1">
        <f t="array" ref="AP88">bdRateExtend($G88:$G93,M88:M93,$R88:$R93,X88:X93)</f>
        <v>#VALUE!</v>
      </c>
    </row>
    <row r="89" spans="1:42" ht="17.100000000000001" customHeight="1" outlineLevel="4" x14ac:dyDescent="0.25">
      <c r="A89" s="222"/>
      <c r="B89" s="219"/>
      <c r="C89" s="229"/>
      <c r="D89" s="232"/>
      <c r="E89" s="235"/>
      <c r="F89" s="16">
        <v>31</v>
      </c>
      <c r="G89" s="34"/>
      <c r="H89" s="39"/>
      <c r="I89" s="39"/>
      <c r="J89" s="39"/>
      <c r="K89" s="39"/>
      <c r="L89" s="39"/>
      <c r="M89" s="39"/>
      <c r="N89" s="39"/>
      <c r="O89" s="39"/>
      <c r="P89" s="35"/>
      <c r="Q89" s="18"/>
      <c r="R89" s="34"/>
      <c r="S89" s="39"/>
      <c r="T89" s="39"/>
      <c r="U89" s="39"/>
      <c r="V89" s="39"/>
      <c r="W89" s="39"/>
      <c r="X89" s="39"/>
      <c r="Y89" s="39"/>
      <c r="Z89" s="39"/>
      <c r="AA89" s="35"/>
      <c r="AB89" s="50" t="e">
        <f t="shared" si="4"/>
        <v>#DIV/0!</v>
      </c>
      <c r="AC89" s="51" t="e">
        <f t="shared" si="5"/>
        <v>#DIV/0!</v>
      </c>
      <c r="AD89" s="19"/>
      <c r="AE89" s="19"/>
      <c r="AF89" s="285"/>
      <c r="AG89" s="240"/>
      <c r="AH89" s="242"/>
      <c r="AI89" s="242"/>
      <c r="AJ89" s="245"/>
      <c r="AK89" s="240"/>
      <c r="AL89" s="249"/>
      <c r="AM89" s="240"/>
      <c r="AN89" s="249"/>
      <c r="AO89" s="252"/>
      <c r="AP89" s="249"/>
    </row>
    <row r="90" spans="1:42" ht="17.100000000000001" customHeight="1" outlineLevel="4" x14ac:dyDescent="0.25">
      <c r="A90" s="222"/>
      <c r="B90" s="219"/>
      <c r="C90" s="229"/>
      <c r="D90" s="232"/>
      <c r="E90" s="235"/>
      <c r="F90" s="16">
        <v>39</v>
      </c>
      <c r="G90" s="34"/>
      <c r="H90" s="39"/>
      <c r="I90" s="39"/>
      <c r="J90" s="39"/>
      <c r="K90" s="39"/>
      <c r="L90" s="39"/>
      <c r="M90" s="39"/>
      <c r="N90" s="39"/>
      <c r="O90" s="39"/>
      <c r="P90" s="35"/>
      <c r="Q90" s="18"/>
      <c r="R90" s="34"/>
      <c r="S90" s="39"/>
      <c r="T90" s="39"/>
      <c r="U90" s="39"/>
      <c r="V90" s="39"/>
      <c r="W90" s="39"/>
      <c r="X90" s="39"/>
      <c r="Y90" s="39"/>
      <c r="Z90" s="39"/>
      <c r="AA90" s="35"/>
      <c r="AB90" s="50" t="e">
        <f t="shared" si="4"/>
        <v>#DIV/0!</v>
      </c>
      <c r="AC90" s="51" t="e">
        <f t="shared" si="5"/>
        <v>#DIV/0!</v>
      </c>
      <c r="AD90" s="19"/>
      <c r="AE90" s="19"/>
      <c r="AF90" s="285" t="s">
        <v>127</v>
      </c>
      <c r="AG90" s="240" t="e" cm="1">
        <f t="array" ref="AG90">bdRateExtend($G89:$G92,H89:H92,$R89:$R92,S89:S92)</f>
        <v>#VALUE!</v>
      </c>
      <c r="AH90" s="242"/>
      <c r="AI90" s="242"/>
      <c r="AJ90" s="245"/>
      <c r="AK90" s="240" t="e" cm="1">
        <f t="array" ref="AK90">bdRateExtend($G89:$G92,K89:K92,$R89:$R92,V89:V92)</f>
        <v>#VALUE!</v>
      </c>
      <c r="AL90" s="249"/>
      <c r="AM90" s="240" t="e" cm="1">
        <f t="array" ref="AM90">bdRateExtend($G89:$G92,L89:L92,$R89:$R92,W89:W92)</f>
        <v>#VALUE!</v>
      </c>
      <c r="AN90" s="249"/>
      <c r="AO90" s="252" t="e" cm="1">
        <f t="array" ref="AO90">bdRateExtend($G89:$G92,M89:M92,$R89:$R92,X89:X92)</f>
        <v>#VALUE!</v>
      </c>
      <c r="AP90" s="249"/>
    </row>
    <row r="91" spans="1:42" ht="17.100000000000001" customHeight="1" outlineLevel="4" x14ac:dyDescent="0.25">
      <c r="A91" s="222"/>
      <c r="B91" s="219"/>
      <c r="C91" s="229"/>
      <c r="D91" s="232"/>
      <c r="E91" s="235"/>
      <c r="F91" s="16">
        <v>47</v>
      </c>
      <c r="G91" s="34"/>
      <c r="H91" s="39"/>
      <c r="I91" s="39"/>
      <c r="J91" s="39"/>
      <c r="K91" s="39"/>
      <c r="L91" s="39"/>
      <c r="M91" s="39"/>
      <c r="N91" s="39"/>
      <c r="O91" s="39"/>
      <c r="P91" s="35"/>
      <c r="Q91" s="18"/>
      <c r="R91" s="34"/>
      <c r="S91" s="39"/>
      <c r="T91" s="39"/>
      <c r="U91" s="39"/>
      <c r="V91" s="39"/>
      <c r="W91" s="39"/>
      <c r="X91" s="39"/>
      <c r="Y91" s="39"/>
      <c r="Z91" s="39"/>
      <c r="AA91" s="35"/>
      <c r="AB91" s="50" t="e">
        <f t="shared" si="4"/>
        <v>#DIV/0!</v>
      </c>
      <c r="AC91" s="51" t="e">
        <f t="shared" si="5"/>
        <v>#DIV/0!</v>
      </c>
      <c r="AD91" s="19"/>
      <c r="AE91" s="19"/>
      <c r="AF91" s="285"/>
      <c r="AG91" s="240"/>
      <c r="AH91" s="242"/>
      <c r="AI91" s="242"/>
      <c r="AJ91" s="245"/>
      <c r="AK91" s="240"/>
      <c r="AL91" s="249"/>
      <c r="AM91" s="240"/>
      <c r="AN91" s="249"/>
      <c r="AO91" s="252"/>
      <c r="AP91" s="249"/>
    </row>
    <row r="92" spans="1:42" ht="17.100000000000001" customHeight="1" outlineLevel="4" x14ac:dyDescent="0.25">
      <c r="A92" s="222"/>
      <c r="B92" s="219"/>
      <c r="C92" s="229"/>
      <c r="D92" s="232"/>
      <c r="E92" s="235"/>
      <c r="F92" s="16">
        <v>55</v>
      </c>
      <c r="G92" s="34"/>
      <c r="H92" s="39"/>
      <c r="I92" s="39"/>
      <c r="J92" s="39"/>
      <c r="K92" s="39"/>
      <c r="L92" s="39"/>
      <c r="M92" s="39"/>
      <c r="N92" s="39"/>
      <c r="O92" s="39"/>
      <c r="P92" s="35"/>
      <c r="Q92" s="18"/>
      <c r="R92" s="34"/>
      <c r="S92" s="39"/>
      <c r="T92" s="39"/>
      <c r="U92" s="39"/>
      <c r="V92" s="39"/>
      <c r="W92" s="39"/>
      <c r="X92" s="39"/>
      <c r="Y92" s="39"/>
      <c r="Z92" s="39"/>
      <c r="AA92" s="35"/>
      <c r="AB92" s="50" t="e">
        <f t="shared" si="4"/>
        <v>#DIV/0!</v>
      </c>
      <c r="AC92" s="51" t="e">
        <f t="shared" si="5"/>
        <v>#DIV/0!</v>
      </c>
      <c r="AD92" s="19"/>
      <c r="AE92" s="19"/>
      <c r="AF92" s="285" t="s">
        <v>128</v>
      </c>
      <c r="AG92" s="240" t="e" cm="1">
        <f t="array" ref="AG92">bdRateExtend($G90:$G93,H90:H93,$R90:$R93,S90:S93)</f>
        <v>#VALUE!</v>
      </c>
      <c r="AH92" s="242"/>
      <c r="AI92" s="242"/>
      <c r="AJ92" s="245"/>
      <c r="AK92" s="240" t="e" cm="1">
        <f t="array" ref="AK92">bdRateExtend($G90:$G93,K90:K93,$R90:$R93,V90:V93)</f>
        <v>#VALUE!</v>
      </c>
      <c r="AL92" s="249"/>
      <c r="AM92" s="240" t="e" cm="1">
        <f t="array" ref="AM92">bdRateExtend($G90:$G93,L90:L93,$R90:$R93,W90:W93)</f>
        <v>#VALUE!</v>
      </c>
      <c r="AN92" s="249"/>
      <c r="AO92" s="252" t="e" cm="1">
        <f t="array" ref="AO92">bdRateExtend($G90:$G93,M90:M93,$R90:$R93,X90:X93)</f>
        <v>#VALUE!</v>
      </c>
      <c r="AP92" s="249"/>
    </row>
    <row r="93" spans="1:42" ht="17.100000000000001" customHeight="1" outlineLevel="4" thickBot="1" x14ac:dyDescent="0.3">
      <c r="A93" s="222"/>
      <c r="B93" s="220"/>
      <c r="C93" s="230"/>
      <c r="D93" s="233"/>
      <c r="E93" s="236"/>
      <c r="F93" s="9">
        <v>63</v>
      </c>
      <c r="G93" s="36"/>
      <c r="H93" s="37"/>
      <c r="I93" s="37"/>
      <c r="J93" s="37"/>
      <c r="K93" s="37"/>
      <c r="L93" s="37"/>
      <c r="M93" s="37"/>
      <c r="N93" s="37"/>
      <c r="O93" s="37"/>
      <c r="P93" s="38"/>
      <c r="Q93" s="18"/>
      <c r="R93" s="36"/>
      <c r="S93" s="37"/>
      <c r="T93" s="37"/>
      <c r="U93" s="37"/>
      <c r="V93" s="37"/>
      <c r="W93" s="37"/>
      <c r="X93" s="37"/>
      <c r="Y93" s="37"/>
      <c r="Z93" s="37"/>
      <c r="AA93" s="38"/>
      <c r="AB93" s="52" t="e">
        <f t="shared" si="4"/>
        <v>#DIV/0!</v>
      </c>
      <c r="AC93" s="53" t="e">
        <f t="shared" si="5"/>
        <v>#DIV/0!</v>
      </c>
      <c r="AD93" s="19"/>
      <c r="AE93" s="19"/>
      <c r="AF93" s="286"/>
      <c r="AG93" s="247"/>
      <c r="AH93" s="243"/>
      <c r="AI93" s="243"/>
      <c r="AJ93" s="246"/>
      <c r="AK93" s="247"/>
      <c r="AL93" s="250"/>
      <c r="AM93" s="247"/>
      <c r="AN93" s="250"/>
      <c r="AO93" s="253"/>
      <c r="AP93" s="250"/>
    </row>
    <row r="94" spans="1:42" ht="17.100000000000001" customHeight="1" outlineLevel="4" x14ac:dyDescent="0.25">
      <c r="A94" s="222"/>
      <c r="B94" s="218" t="s">
        <v>2</v>
      </c>
      <c r="C94" s="228" t="s">
        <v>44</v>
      </c>
      <c r="D94" s="231">
        <v>25</v>
      </c>
      <c r="E94" s="234" t="s">
        <v>23</v>
      </c>
      <c r="F94" s="7">
        <v>23</v>
      </c>
      <c r="G94" s="31"/>
      <c r="H94" s="32"/>
      <c r="I94" s="32"/>
      <c r="J94" s="32"/>
      <c r="K94" s="32"/>
      <c r="L94" s="32"/>
      <c r="M94" s="32"/>
      <c r="N94" s="32"/>
      <c r="O94" s="32"/>
      <c r="P94" s="33"/>
      <c r="Q94" s="18"/>
      <c r="R94" s="31"/>
      <c r="S94" s="32"/>
      <c r="T94" s="32"/>
      <c r="U94" s="32"/>
      <c r="V94" s="32"/>
      <c r="W94" s="32"/>
      <c r="X94" s="32"/>
      <c r="Y94" s="32"/>
      <c r="Z94" s="32"/>
      <c r="AA94" s="33"/>
      <c r="AB94" s="48" t="e">
        <f t="shared" si="4"/>
        <v>#DIV/0!</v>
      </c>
      <c r="AC94" s="49" t="e">
        <f t="shared" si="5"/>
        <v>#DIV/0!</v>
      </c>
      <c r="AD94" s="19"/>
      <c r="AE94" s="19"/>
      <c r="AF94" s="284" t="s">
        <v>126</v>
      </c>
      <c r="AG94" s="239" t="e" cm="1">
        <f t="array" ref="AG94">bdRateExtend($G94:$G97,H94:H97,$R94:$R97,S94:S97)</f>
        <v>#VALUE!</v>
      </c>
      <c r="AH94" s="241" t="e" cm="1">
        <f t="array" ref="AH94">bdRateExtend($G94:$G99,H94:H99,$R94:$R99,S94:S99)</f>
        <v>#VALUE!</v>
      </c>
      <c r="AI94" s="241" t="e" cm="1">
        <f t="array" ref="AI94">bdRateExtend($G94:$G99,I94:I99,$R94:$R99,T94:T99)</f>
        <v>#VALUE!</v>
      </c>
      <c r="AJ94" s="244" t="e" cm="1">
        <f t="array" ref="AJ94">bdRateExtend($G94:$G99,J94:J99,$R94:$R99,U94:U99)</f>
        <v>#VALUE!</v>
      </c>
      <c r="AK94" s="239" t="e" cm="1">
        <f t="array" ref="AK94">bdRateExtend($G94:$G97,K94:K97,$R94:$R97,V94:V97)</f>
        <v>#VALUE!</v>
      </c>
      <c r="AL94" s="248" t="e" cm="1">
        <f t="array" ref="AL94">bdRateExtend($G94:$G99,K94:K99,$R94:$R99,V94:V99)</f>
        <v>#VALUE!</v>
      </c>
      <c r="AM94" s="239" t="e" cm="1">
        <f t="array" ref="AM94">bdRateExtend($G94:$G97,L94:L97,$R94:$R97,W94:W97)</f>
        <v>#VALUE!</v>
      </c>
      <c r="AN94" s="248" t="e" cm="1">
        <f t="array" ref="AN94">bdRateExtend($G94:$G99,L94:L99,$R94:$R99,W94:W99)</f>
        <v>#VALUE!</v>
      </c>
      <c r="AO94" s="254" t="e" cm="1">
        <f t="array" ref="AO94">bdRateExtend($G94:$G97,M94:M97,$R94:$R97,X94:X97)</f>
        <v>#VALUE!</v>
      </c>
      <c r="AP94" s="248" t="e" cm="1">
        <f t="array" ref="AP94">bdRateExtend($G94:$G99,M94:M99,$R94:$R99,X94:X99)</f>
        <v>#VALUE!</v>
      </c>
    </row>
    <row r="95" spans="1:42" ht="17.100000000000001" customHeight="1" outlineLevel="4" x14ac:dyDescent="0.25">
      <c r="A95" s="222"/>
      <c r="B95" s="219"/>
      <c r="C95" s="229"/>
      <c r="D95" s="232"/>
      <c r="E95" s="235"/>
      <c r="F95" s="16">
        <v>31</v>
      </c>
      <c r="G95" s="34"/>
      <c r="H95" s="39"/>
      <c r="I95" s="39"/>
      <c r="J95" s="39"/>
      <c r="K95" s="39"/>
      <c r="L95" s="39"/>
      <c r="M95" s="39"/>
      <c r="N95" s="39"/>
      <c r="O95" s="39"/>
      <c r="P95" s="35"/>
      <c r="Q95" s="18"/>
      <c r="R95" s="34"/>
      <c r="S95" s="39"/>
      <c r="T95" s="39"/>
      <c r="U95" s="39"/>
      <c r="V95" s="39"/>
      <c r="W95" s="39"/>
      <c r="X95" s="39"/>
      <c r="Y95" s="39"/>
      <c r="Z95" s="39"/>
      <c r="AA95" s="35"/>
      <c r="AB95" s="50" t="e">
        <f t="shared" si="4"/>
        <v>#DIV/0!</v>
      </c>
      <c r="AC95" s="51" t="e">
        <f t="shared" si="5"/>
        <v>#DIV/0!</v>
      </c>
      <c r="AD95" s="19"/>
      <c r="AE95" s="19"/>
      <c r="AF95" s="285"/>
      <c r="AG95" s="240"/>
      <c r="AH95" s="242"/>
      <c r="AI95" s="242"/>
      <c r="AJ95" s="245"/>
      <c r="AK95" s="240"/>
      <c r="AL95" s="249"/>
      <c r="AM95" s="240"/>
      <c r="AN95" s="249"/>
      <c r="AO95" s="252"/>
      <c r="AP95" s="249"/>
    </row>
    <row r="96" spans="1:42" ht="17.100000000000001" customHeight="1" outlineLevel="4" x14ac:dyDescent="0.25">
      <c r="A96" s="222"/>
      <c r="B96" s="219"/>
      <c r="C96" s="229"/>
      <c r="D96" s="232"/>
      <c r="E96" s="235"/>
      <c r="F96" s="16">
        <v>39</v>
      </c>
      <c r="G96" s="34"/>
      <c r="H96" s="39"/>
      <c r="I96" s="39"/>
      <c r="J96" s="39"/>
      <c r="K96" s="39"/>
      <c r="L96" s="39"/>
      <c r="M96" s="39"/>
      <c r="N96" s="39"/>
      <c r="O96" s="39"/>
      <c r="P96" s="35"/>
      <c r="Q96" s="18"/>
      <c r="R96" s="34"/>
      <c r="S96" s="39"/>
      <c r="T96" s="39"/>
      <c r="U96" s="39"/>
      <c r="V96" s="39"/>
      <c r="W96" s="39"/>
      <c r="X96" s="39"/>
      <c r="Y96" s="39"/>
      <c r="Z96" s="39"/>
      <c r="AA96" s="35"/>
      <c r="AB96" s="50" t="e">
        <f t="shared" si="4"/>
        <v>#DIV/0!</v>
      </c>
      <c r="AC96" s="51" t="e">
        <f t="shared" si="5"/>
        <v>#DIV/0!</v>
      </c>
      <c r="AD96" s="19"/>
      <c r="AE96" s="19"/>
      <c r="AF96" s="285" t="s">
        <v>127</v>
      </c>
      <c r="AG96" s="240" t="e" cm="1">
        <f t="array" ref="AG96">bdRateExtend($G95:$G98,H95:H98,$R95:$R98,S95:S98)</f>
        <v>#VALUE!</v>
      </c>
      <c r="AH96" s="242"/>
      <c r="AI96" s="242"/>
      <c r="AJ96" s="245"/>
      <c r="AK96" s="240" t="e" cm="1">
        <f t="array" ref="AK96">bdRateExtend($G95:$G98,K95:K98,$R95:$R98,V95:V98)</f>
        <v>#VALUE!</v>
      </c>
      <c r="AL96" s="249"/>
      <c r="AM96" s="240" t="e" cm="1">
        <f t="array" ref="AM96">bdRateExtend($G95:$G98,L95:L98,$R95:$R98,W95:W98)</f>
        <v>#VALUE!</v>
      </c>
      <c r="AN96" s="249"/>
      <c r="AO96" s="252" t="e" cm="1">
        <f t="array" ref="AO96">bdRateExtend($G95:$G98,M95:M98,$R95:$R98,X95:X98)</f>
        <v>#VALUE!</v>
      </c>
      <c r="AP96" s="249"/>
    </row>
    <row r="97" spans="1:42" ht="17.100000000000001" customHeight="1" outlineLevel="4" x14ac:dyDescent="0.25">
      <c r="A97" s="222"/>
      <c r="B97" s="219"/>
      <c r="C97" s="229"/>
      <c r="D97" s="232"/>
      <c r="E97" s="235"/>
      <c r="F97" s="16">
        <v>47</v>
      </c>
      <c r="G97" s="34"/>
      <c r="H97" s="39"/>
      <c r="I97" s="39"/>
      <c r="J97" s="39"/>
      <c r="K97" s="39"/>
      <c r="L97" s="39"/>
      <c r="M97" s="39"/>
      <c r="N97" s="39"/>
      <c r="O97" s="39"/>
      <c r="P97" s="35"/>
      <c r="Q97" s="18"/>
      <c r="R97" s="34"/>
      <c r="S97" s="39"/>
      <c r="T97" s="39"/>
      <c r="U97" s="39"/>
      <c r="V97" s="39"/>
      <c r="W97" s="39"/>
      <c r="X97" s="39"/>
      <c r="Y97" s="39"/>
      <c r="Z97" s="39"/>
      <c r="AA97" s="35"/>
      <c r="AB97" s="50" t="e">
        <f t="shared" si="4"/>
        <v>#DIV/0!</v>
      </c>
      <c r="AC97" s="51" t="e">
        <f t="shared" si="5"/>
        <v>#DIV/0!</v>
      </c>
      <c r="AD97" s="19"/>
      <c r="AE97" s="19"/>
      <c r="AF97" s="285"/>
      <c r="AG97" s="240"/>
      <c r="AH97" s="242"/>
      <c r="AI97" s="242"/>
      <c r="AJ97" s="245"/>
      <c r="AK97" s="240"/>
      <c r="AL97" s="249"/>
      <c r="AM97" s="240"/>
      <c r="AN97" s="249"/>
      <c r="AO97" s="252"/>
      <c r="AP97" s="249"/>
    </row>
    <row r="98" spans="1:42" ht="17.100000000000001" customHeight="1" outlineLevel="4" x14ac:dyDescent="0.25">
      <c r="A98" s="222"/>
      <c r="B98" s="219"/>
      <c r="C98" s="229"/>
      <c r="D98" s="232"/>
      <c r="E98" s="235"/>
      <c r="F98" s="16">
        <v>55</v>
      </c>
      <c r="G98" s="34"/>
      <c r="H98" s="39"/>
      <c r="I98" s="39"/>
      <c r="J98" s="39"/>
      <c r="K98" s="39"/>
      <c r="L98" s="39"/>
      <c r="M98" s="39"/>
      <c r="N98" s="39"/>
      <c r="O98" s="39"/>
      <c r="P98" s="35"/>
      <c r="Q98" s="18"/>
      <c r="R98" s="34"/>
      <c r="S98" s="39"/>
      <c r="T98" s="39"/>
      <c r="U98" s="39"/>
      <c r="V98" s="39"/>
      <c r="W98" s="39"/>
      <c r="X98" s="39"/>
      <c r="Y98" s="39"/>
      <c r="Z98" s="39"/>
      <c r="AA98" s="35"/>
      <c r="AB98" s="50" t="e">
        <f t="shared" si="4"/>
        <v>#DIV/0!</v>
      </c>
      <c r="AC98" s="51" t="e">
        <f t="shared" si="5"/>
        <v>#DIV/0!</v>
      </c>
      <c r="AD98" s="19"/>
      <c r="AE98" s="19"/>
      <c r="AF98" s="285" t="s">
        <v>128</v>
      </c>
      <c r="AG98" s="240" t="e" cm="1">
        <f t="array" ref="AG98">bdRateExtend($G96:$G99,H96:H99,$R96:$R99,S96:S99)</f>
        <v>#VALUE!</v>
      </c>
      <c r="AH98" s="242"/>
      <c r="AI98" s="242"/>
      <c r="AJ98" s="245"/>
      <c r="AK98" s="240" t="e" cm="1">
        <f t="array" ref="AK98">bdRateExtend($G96:$G99,K96:K99,$R96:$R99,V96:V99)</f>
        <v>#VALUE!</v>
      </c>
      <c r="AL98" s="249"/>
      <c r="AM98" s="240" t="e" cm="1">
        <f t="array" ref="AM98">bdRateExtend($G96:$G99,L96:L99,$R96:$R99,W96:W99)</f>
        <v>#VALUE!</v>
      </c>
      <c r="AN98" s="249"/>
      <c r="AO98" s="252" t="e" cm="1">
        <f t="array" ref="AO98">bdRateExtend($G96:$G99,M96:M99,$R96:$R99,X96:X99)</f>
        <v>#VALUE!</v>
      </c>
      <c r="AP98" s="249"/>
    </row>
    <row r="99" spans="1:42" ht="17.100000000000001" customHeight="1" outlineLevel="4" thickBot="1" x14ac:dyDescent="0.3">
      <c r="A99" s="222"/>
      <c r="B99" s="220"/>
      <c r="C99" s="230"/>
      <c r="D99" s="233"/>
      <c r="E99" s="236"/>
      <c r="F99" s="9">
        <v>63</v>
      </c>
      <c r="G99" s="36"/>
      <c r="H99" s="37"/>
      <c r="I99" s="37"/>
      <c r="J99" s="37"/>
      <c r="K99" s="37"/>
      <c r="L99" s="37"/>
      <c r="M99" s="37"/>
      <c r="N99" s="37"/>
      <c r="O99" s="37"/>
      <c r="P99" s="38"/>
      <c r="Q99" s="18"/>
      <c r="R99" s="36"/>
      <c r="S99" s="37"/>
      <c r="T99" s="37"/>
      <c r="U99" s="37"/>
      <c r="V99" s="37"/>
      <c r="W99" s="37"/>
      <c r="X99" s="37"/>
      <c r="Y99" s="37"/>
      <c r="Z99" s="37"/>
      <c r="AA99" s="38"/>
      <c r="AB99" s="52" t="e">
        <f t="shared" si="4"/>
        <v>#DIV/0!</v>
      </c>
      <c r="AC99" s="53" t="e">
        <f t="shared" si="5"/>
        <v>#DIV/0!</v>
      </c>
      <c r="AD99" s="19"/>
      <c r="AE99" s="19"/>
      <c r="AF99" s="286"/>
      <c r="AG99" s="247"/>
      <c r="AH99" s="243"/>
      <c r="AI99" s="243"/>
      <c r="AJ99" s="246"/>
      <c r="AK99" s="247"/>
      <c r="AL99" s="250"/>
      <c r="AM99" s="247"/>
      <c r="AN99" s="250"/>
      <c r="AO99" s="253"/>
      <c r="AP99" s="250"/>
    </row>
    <row r="100" spans="1:42" ht="17.100000000000001" customHeight="1" outlineLevel="4" x14ac:dyDescent="0.25">
      <c r="A100" s="222"/>
      <c r="B100" s="218" t="s">
        <v>2</v>
      </c>
      <c r="C100" s="228" t="s">
        <v>45</v>
      </c>
      <c r="D100" s="231">
        <v>59.94</v>
      </c>
      <c r="E100" s="234">
        <v>10</v>
      </c>
      <c r="F100" s="7">
        <v>23</v>
      </c>
      <c r="G100" s="31"/>
      <c r="H100" s="32"/>
      <c r="I100" s="32"/>
      <c r="J100" s="32"/>
      <c r="K100" s="32"/>
      <c r="L100" s="32"/>
      <c r="M100" s="32"/>
      <c r="N100" s="32"/>
      <c r="O100" s="32"/>
      <c r="P100" s="33"/>
      <c r="Q100" s="18"/>
      <c r="R100" s="31"/>
      <c r="S100" s="32"/>
      <c r="T100" s="32"/>
      <c r="U100" s="32"/>
      <c r="V100" s="32"/>
      <c r="W100" s="32"/>
      <c r="X100" s="32"/>
      <c r="Y100" s="32"/>
      <c r="Z100" s="32"/>
      <c r="AA100" s="33"/>
      <c r="AB100" s="48" t="e">
        <f t="shared" si="4"/>
        <v>#DIV/0!</v>
      </c>
      <c r="AC100" s="49" t="e">
        <f t="shared" si="5"/>
        <v>#DIV/0!</v>
      </c>
      <c r="AD100" s="19"/>
      <c r="AE100" s="19"/>
      <c r="AF100" s="284" t="s">
        <v>126</v>
      </c>
      <c r="AG100" s="239" t="e" cm="1">
        <f t="array" ref="AG100">bdRateExtend($G100:$G103,H100:H103,$R100:$R103,S100:S103)</f>
        <v>#VALUE!</v>
      </c>
      <c r="AH100" s="241" t="e" cm="1">
        <f t="array" ref="AH100">bdRateExtend($G100:$G105,H100:H105,$R100:$R105,S100:S105)</f>
        <v>#VALUE!</v>
      </c>
      <c r="AI100" s="241" t="e" cm="1">
        <f t="array" ref="AI100">bdRateExtend($G100:$G105,I100:I105,$R100:$R105,T100:T105)</f>
        <v>#VALUE!</v>
      </c>
      <c r="AJ100" s="244" t="e" cm="1">
        <f t="array" ref="AJ100">bdRateExtend($G100:$G105,J100:J105,$R100:$R105,U100:U105)</f>
        <v>#VALUE!</v>
      </c>
      <c r="AK100" s="239" t="e" cm="1">
        <f t="array" ref="AK100">bdRateExtend($G100:$G103,K100:K103,$R100:$R103,V100:V103)</f>
        <v>#VALUE!</v>
      </c>
      <c r="AL100" s="248" t="e" cm="1">
        <f t="array" ref="AL100">bdRateExtend($G100:$G105,K100:K105,$R100:$R105,V100:V105)</f>
        <v>#VALUE!</v>
      </c>
      <c r="AM100" s="239" t="e" cm="1">
        <f t="array" ref="AM100">bdRateExtend($G100:$G103,L100:L103,$R100:$R103,W100:W103)</f>
        <v>#VALUE!</v>
      </c>
      <c r="AN100" s="248" t="e" cm="1">
        <f t="array" ref="AN100">bdRateExtend($G100:$G105,L100:L105,$R100:$R105,W100:W105)</f>
        <v>#VALUE!</v>
      </c>
      <c r="AO100" s="254" t="e" cm="1">
        <f t="array" ref="AO100">bdRateExtend($G100:$G103,M100:M103,$R100:$R103,X100:X103)</f>
        <v>#VALUE!</v>
      </c>
      <c r="AP100" s="248" t="e" cm="1">
        <f t="array" ref="AP100">bdRateExtend($G100:$G105,M100:M105,$R100:$R105,X100:X105)</f>
        <v>#VALUE!</v>
      </c>
    </row>
    <row r="101" spans="1:42" ht="17.100000000000001" customHeight="1" outlineLevel="4" x14ac:dyDescent="0.25">
      <c r="A101" s="222"/>
      <c r="B101" s="219"/>
      <c r="C101" s="229"/>
      <c r="D101" s="232"/>
      <c r="E101" s="235"/>
      <c r="F101" s="16">
        <v>31</v>
      </c>
      <c r="G101" s="34"/>
      <c r="H101" s="39"/>
      <c r="I101" s="39"/>
      <c r="J101" s="39"/>
      <c r="K101" s="39"/>
      <c r="L101" s="39"/>
      <c r="M101" s="39"/>
      <c r="N101" s="39"/>
      <c r="O101" s="39"/>
      <c r="P101" s="35"/>
      <c r="Q101" s="18"/>
      <c r="R101" s="34"/>
      <c r="S101" s="39"/>
      <c r="T101" s="39"/>
      <c r="U101" s="39"/>
      <c r="V101" s="39"/>
      <c r="W101" s="39"/>
      <c r="X101" s="39"/>
      <c r="Y101" s="39"/>
      <c r="Z101" s="39"/>
      <c r="AA101" s="35"/>
      <c r="AB101" s="50" t="e">
        <f t="shared" si="4"/>
        <v>#DIV/0!</v>
      </c>
      <c r="AC101" s="51" t="e">
        <f t="shared" si="5"/>
        <v>#DIV/0!</v>
      </c>
      <c r="AD101" s="19"/>
      <c r="AE101" s="19"/>
      <c r="AF101" s="285"/>
      <c r="AG101" s="240"/>
      <c r="AH101" s="242"/>
      <c r="AI101" s="242"/>
      <c r="AJ101" s="245"/>
      <c r="AK101" s="240"/>
      <c r="AL101" s="249"/>
      <c r="AM101" s="240"/>
      <c r="AN101" s="249"/>
      <c r="AO101" s="252"/>
      <c r="AP101" s="249"/>
    </row>
    <row r="102" spans="1:42" ht="17.100000000000001" customHeight="1" outlineLevel="4" x14ac:dyDescent="0.25">
      <c r="A102" s="222"/>
      <c r="B102" s="219"/>
      <c r="C102" s="229"/>
      <c r="D102" s="232"/>
      <c r="E102" s="235"/>
      <c r="F102" s="16">
        <v>39</v>
      </c>
      <c r="G102" s="34"/>
      <c r="H102" s="39"/>
      <c r="I102" s="39"/>
      <c r="J102" s="39"/>
      <c r="K102" s="39"/>
      <c r="L102" s="39"/>
      <c r="M102" s="39"/>
      <c r="N102" s="39"/>
      <c r="O102" s="39"/>
      <c r="P102" s="35"/>
      <c r="Q102" s="18"/>
      <c r="R102" s="34"/>
      <c r="S102" s="39"/>
      <c r="T102" s="39"/>
      <c r="U102" s="39"/>
      <c r="V102" s="39"/>
      <c r="W102" s="39"/>
      <c r="X102" s="39"/>
      <c r="Y102" s="39"/>
      <c r="Z102" s="39"/>
      <c r="AA102" s="35"/>
      <c r="AB102" s="50" t="e">
        <f t="shared" si="4"/>
        <v>#DIV/0!</v>
      </c>
      <c r="AC102" s="51" t="e">
        <f t="shared" si="5"/>
        <v>#DIV/0!</v>
      </c>
      <c r="AD102" s="19"/>
      <c r="AE102" s="19"/>
      <c r="AF102" s="285" t="s">
        <v>127</v>
      </c>
      <c r="AG102" s="240" t="e" cm="1">
        <f t="array" ref="AG102">bdRateExtend($G101:$G104,H101:H104,$R101:$R104,S101:S104)</f>
        <v>#VALUE!</v>
      </c>
      <c r="AH102" s="242"/>
      <c r="AI102" s="242"/>
      <c r="AJ102" s="245"/>
      <c r="AK102" s="240" t="e" cm="1">
        <f t="array" ref="AK102">bdRateExtend($G101:$G104,K101:K104,$R101:$R104,V101:V104)</f>
        <v>#VALUE!</v>
      </c>
      <c r="AL102" s="249"/>
      <c r="AM102" s="240" t="e" cm="1">
        <f t="array" ref="AM102">bdRateExtend($G101:$G104,L101:L104,$R101:$R104,W101:W104)</f>
        <v>#VALUE!</v>
      </c>
      <c r="AN102" s="249"/>
      <c r="AO102" s="252" t="e" cm="1">
        <f t="array" ref="AO102">bdRateExtend($G101:$G104,M101:M104,$R101:$R104,X101:X104)</f>
        <v>#VALUE!</v>
      </c>
      <c r="AP102" s="249"/>
    </row>
    <row r="103" spans="1:42" ht="17.100000000000001" customHeight="1" outlineLevel="4" x14ac:dyDescent="0.25">
      <c r="A103" s="222"/>
      <c r="B103" s="219"/>
      <c r="C103" s="229"/>
      <c r="D103" s="232"/>
      <c r="E103" s="235"/>
      <c r="F103" s="16">
        <v>47</v>
      </c>
      <c r="G103" s="34"/>
      <c r="H103" s="39"/>
      <c r="I103" s="39"/>
      <c r="J103" s="39"/>
      <c r="K103" s="39"/>
      <c r="L103" s="39"/>
      <c r="M103" s="39"/>
      <c r="N103" s="39"/>
      <c r="O103" s="39"/>
      <c r="P103" s="35"/>
      <c r="Q103" s="18"/>
      <c r="R103" s="34"/>
      <c r="S103" s="39"/>
      <c r="T103" s="39"/>
      <c r="U103" s="39"/>
      <c r="V103" s="39"/>
      <c r="W103" s="39"/>
      <c r="X103" s="39"/>
      <c r="Y103" s="39"/>
      <c r="Z103" s="39"/>
      <c r="AA103" s="35"/>
      <c r="AB103" s="50" t="e">
        <f t="shared" si="4"/>
        <v>#DIV/0!</v>
      </c>
      <c r="AC103" s="51" t="e">
        <f t="shared" si="5"/>
        <v>#DIV/0!</v>
      </c>
      <c r="AD103" s="19"/>
      <c r="AE103" s="19"/>
      <c r="AF103" s="285"/>
      <c r="AG103" s="240"/>
      <c r="AH103" s="242"/>
      <c r="AI103" s="242"/>
      <c r="AJ103" s="245"/>
      <c r="AK103" s="240"/>
      <c r="AL103" s="249"/>
      <c r="AM103" s="240"/>
      <c r="AN103" s="249"/>
      <c r="AO103" s="252"/>
      <c r="AP103" s="249"/>
    </row>
    <row r="104" spans="1:42" ht="17.100000000000001" customHeight="1" outlineLevel="4" x14ac:dyDescent="0.25">
      <c r="A104" s="222"/>
      <c r="B104" s="219"/>
      <c r="C104" s="229"/>
      <c r="D104" s="232"/>
      <c r="E104" s="235"/>
      <c r="F104" s="16">
        <v>55</v>
      </c>
      <c r="G104" s="34"/>
      <c r="H104" s="39"/>
      <c r="I104" s="39"/>
      <c r="J104" s="39"/>
      <c r="K104" s="39"/>
      <c r="L104" s="39"/>
      <c r="M104" s="39"/>
      <c r="N104" s="39"/>
      <c r="O104" s="39"/>
      <c r="P104" s="35"/>
      <c r="Q104" s="18"/>
      <c r="R104" s="34"/>
      <c r="S104" s="39"/>
      <c r="T104" s="39"/>
      <c r="U104" s="39"/>
      <c r="V104" s="39"/>
      <c r="W104" s="39"/>
      <c r="X104" s="39"/>
      <c r="Y104" s="39"/>
      <c r="Z104" s="39"/>
      <c r="AA104" s="35"/>
      <c r="AB104" s="50" t="e">
        <f t="shared" si="4"/>
        <v>#DIV/0!</v>
      </c>
      <c r="AC104" s="51" t="e">
        <f t="shared" si="5"/>
        <v>#DIV/0!</v>
      </c>
      <c r="AD104" s="19"/>
      <c r="AE104" s="19"/>
      <c r="AF104" s="285" t="s">
        <v>128</v>
      </c>
      <c r="AG104" s="240" t="e" cm="1">
        <f t="array" ref="AG104">bdRateExtend($G102:$G105,H102:H105,$R102:$R105,S102:S105)</f>
        <v>#VALUE!</v>
      </c>
      <c r="AH104" s="242"/>
      <c r="AI104" s="242"/>
      <c r="AJ104" s="245"/>
      <c r="AK104" s="240" t="e" cm="1">
        <f t="array" ref="AK104">bdRateExtend($G102:$G105,K102:K105,$R102:$R105,V102:V105)</f>
        <v>#VALUE!</v>
      </c>
      <c r="AL104" s="249"/>
      <c r="AM104" s="240" t="e" cm="1">
        <f t="array" ref="AM104">bdRateExtend($G102:$G105,L102:L105,$R102:$R105,W102:W105)</f>
        <v>#VALUE!</v>
      </c>
      <c r="AN104" s="249"/>
      <c r="AO104" s="252" t="e" cm="1">
        <f t="array" ref="AO104">bdRateExtend($G102:$G105,M102:M105,$R102:$R105,X102:X105)</f>
        <v>#VALUE!</v>
      </c>
      <c r="AP104" s="249"/>
    </row>
    <row r="105" spans="1:42" ht="17.100000000000001" customHeight="1" outlineLevel="4" thickBot="1" x14ac:dyDescent="0.3">
      <c r="A105" s="222"/>
      <c r="B105" s="220"/>
      <c r="C105" s="230"/>
      <c r="D105" s="233"/>
      <c r="E105" s="236"/>
      <c r="F105" s="9">
        <v>63</v>
      </c>
      <c r="G105" s="36"/>
      <c r="H105" s="37"/>
      <c r="I105" s="37"/>
      <c r="J105" s="37"/>
      <c r="K105" s="37"/>
      <c r="L105" s="37"/>
      <c r="M105" s="37"/>
      <c r="N105" s="37"/>
      <c r="O105" s="37"/>
      <c r="P105" s="38"/>
      <c r="Q105" s="18"/>
      <c r="R105" s="36"/>
      <c r="S105" s="37"/>
      <c r="T105" s="37"/>
      <c r="U105" s="37"/>
      <c r="V105" s="37"/>
      <c r="W105" s="37"/>
      <c r="X105" s="37"/>
      <c r="Y105" s="37"/>
      <c r="Z105" s="37"/>
      <c r="AA105" s="38"/>
      <c r="AB105" s="52" t="e">
        <f t="shared" si="4"/>
        <v>#DIV/0!</v>
      </c>
      <c r="AC105" s="53" t="e">
        <f t="shared" si="5"/>
        <v>#DIV/0!</v>
      </c>
      <c r="AD105" s="19"/>
      <c r="AE105" s="19"/>
      <c r="AF105" s="286"/>
      <c r="AG105" s="247"/>
      <c r="AH105" s="243"/>
      <c r="AI105" s="243"/>
      <c r="AJ105" s="246"/>
      <c r="AK105" s="247"/>
      <c r="AL105" s="250"/>
      <c r="AM105" s="247"/>
      <c r="AN105" s="250"/>
      <c r="AO105" s="253"/>
      <c r="AP105" s="250"/>
    </row>
    <row r="106" spans="1:42" ht="17.100000000000001" customHeight="1" outlineLevel="4" x14ac:dyDescent="0.25">
      <c r="A106" s="222"/>
      <c r="B106" s="218" t="s">
        <v>2</v>
      </c>
      <c r="C106" s="228" t="s">
        <v>46</v>
      </c>
      <c r="D106" s="231">
        <v>25</v>
      </c>
      <c r="E106" s="234" t="s">
        <v>23</v>
      </c>
      <c r="F106" s="7">
        <v>23</v>
      </c>
      <c r="G106" s="31"/>
      <c r="H106" s="32"/>
      <c r="I106" s="32"/>
      <c r="J106" s="32"/>
      <c r="K106" s="32"/>
      <c r="L106" s="32"/>
      <c r="M106" s="32"/>
      <c r="N106" s="32"/>
      <c r="O106" s="32"/>
      <c r="P106" s="33"/>
      <c r="Q106" s="18"/>
      <c r="R106" s="31"/>
      <c r="S106" s="32"/>
      <c r="T106" s="32"/>
      <c r="U106" s="32"/>
      <c r="V106" s="32"/>
      <c r="W106" s="32"/>
      <c r="X106" s="32"/>
      <c r="Y106" s="32"/>
      <c r="Z106" s="32"/>
      <c r="AA106" s="33"/>
      <c r="AB106" s="48" t="e">
        <f t="shared" ref="AB106:AB137" si="6">Y106/N106</f>
        <v>#DIV/0!</v>
      </c>
      <c r="AC106" s="49" t="e">
        <f t="shared" ref="AC106:AC137" si="7">Z106/O106</f>
        <v>#DIV/0!</v>
      </c>
      <c r="AD106" s="19"/>
      <c r="AE106" s="19"/>
      <c r="AF106" s="284" t="s">
        <v>126</v>
      </c>
      <c r="AG106" s="239" t="e" cm="1">
        <f t="array" ref="AG106">bdRateExtend($G106:$G109,H106:H109,$R106:$R109,S106:S109)</f>
        <v>#VALUE!</v>
      </c>
      <c r="AH106" s="241" t="e" cm="1">
        <f t="array" ref="AH106">bdRateExtend($G106:$G111,H106:H111,$R106:$R111,S106:S111)</f>
        <v>#VALUE!</v>
      </c>
      <c r="AI106" s="241" t="e" cm="1">
        <f t="array" ref="AI106">bdRateExtend($G106:$G111,I106:I111,$R106:$R111,T106:T111)</f>
        <v>#VALUE!</v>
      </c>
      <c r="AJ106" s="244" t="e" cm="1">
        <f t="array" ref="AJ106">bdRateExtend($G106:$G111,J106:J111,$R106:$R111,U106:U111)</f>
        <v>#VALUE!</v>
      </c>
      <c r="AK106" s="239" t="e" cm="1">
        <f t="array" ref="AK106">bdRateExtend($G106:$G109,K106:K109,$R106:$R109,V106:V109)</f>
        <v>#VALUE!</v>
      </c>
      <c r="AL106" s="248" t="e" cm="1">
        <f t="array" ref="AL106">bdRateExtend($G106:$G111,K106:K111,$R106:$R111,V106:V111)</f>
        <v>#VALUE!</v>
      </c>
      <c r="AM106" s="239" t="e" cm="1">
        <f t="array" ref="AM106">bdRateExtend($G106:$G109,L106:L109,$R106:$R109,W106:W109)</f>
        <v>#VALUE!</v>
      </c>
      <c r="AN106" s="248" t="e" cm="1">
        <f t="array" ref="AN106">bdRateExtend($G106:$G111,L106:L111,$R106:$R111,W106:W111)</f>
        <v>#VALUE!</v>
      </c>
      <c r="AO106" s="254" t="e" cm="1">
        <f t="array" ref="AO106">bdRateExtend($G106:$G109,M106:M109,$R106:$R109,X106:X109)</f>
        <v>#VALUE!</v>
      </c>
      <c r="AP106" s="248" t="e" cm="1">
        <f t="array" ref="AP106">bdRateExtend($G106:$G111,M106:M111,$R106:$R111,X106:X111)</f>
        <v>#VALUE!</v>
      </c>
    </row>
    <row r="107" spans="1:42" ht="17.100000000000001" customHeight="1" outlineLevel="4" x14ac:dyDescent="0.25">
      <c r="A107" s="222"/>
      <c r="B107" s="219"/>
      <c r="C107" s="229"/>
      <c r="D107" s="232"/>
      <c r="E107" s="235"/>
      <c r="F107" s="16">
        <v>31</v>
      </c>
      <c r="G107" s="34"/>
      <c r="H107" s="39"/>
      <c r="I107" s="39"/>
      <c r="J107" s="39"/>
      <c r="K107" s="39"/>
      <c r="L107" s="39"/>
      <c r="M107" s="39"/>
      <c r="N107" s="39"/>
      <c r="O107" s="39"/>
      <c r="P107" s="35"/>
      <c r="Q107" s="18"/>
      <c r="R107" s="34"/>
      <c r="S107" s="39"/>
      <c r="T107" s="39"/>
      <c r="U107" s="39"/>
      <c r="V107" s="39"/>
      <c r="W107" s="39"/>
      <c r="X107" s="39"/>
      <c r="Y107" s="39"/>
      <c r="Z107" s="39"/>
      <c r="AA107" s="35"/>
      <c r="AB107" s="50" t="e">
        <f t="shared" si="6"/>
        <v>#DIV/0!</v>
      </c>
      <c r="AC107" s="51" t="e">
        <f t="shared" si="7"/>
        <v>#DIV/0!</v>
      </c>
      <c r="AD107" s="19"/>
      <c r="AE107" s="19"/>
      <c r="AF107" s="285"/>
      <c r="AG107" s="240"/>
      <c r="AH107" s="242"/>
      <c r="AI107" s="242"/>
      <c r="AJ107" s="245"/>
      <c r="AK107" s="240"/>
      <c r="AL107" s="249"/>
      <c r="AM107" s="240"/>
      <c r="AN107" s="249"/>
      <c r="AO107" s="252"/>
      <c r="AP107" s="249"/>
    </row>
    <row r="108" spans="1:42" ht="17.100000000000001" customHeight="1" outlineLevel="4" x14ac:dyDescent="0.25">
      <c r="A108" s="222"/>
      <c r="B108" s="219"/>
      <c r="C108" s="229"/>
      <c r="D108" s="232"/>
      <c r="E108" s="235"/>
      <c r="F108" s="16">
        <v>39</v>
      </c>
      <c r="G108" s="34"/>
      <c r="H108" s="39"/>
      <c r="I108" s="39"/>
      <c r="J108" s="39"/>
      <c r="K108" s="39"/>
      <c r="L108" s="39"/>
      <c r="M108" s="39"/>
      <c r="N108" s="39"/>
      <c r="O108" s="39"/>
      <c r="P108" s="35"/>
      <c r="Q108" s="18"/>
      <c r="R108" s="34"/>
      <c r="S108" s="39"/>
      <c r="T108" s="39"/>
      <c r="U108" s="39"/>
      <c r="V108" s="39"/>
      <c r="W108" s="39"/>
      <c r="X108" s="39"/>
      <c r="Y108" s="39"/>
      <c r="Z108" s="39"/>
      <c r="AA108" s="35"/>
      <c r="AB108" s="50" t="e">
        <f t="shared" si="6"/>
        <v>#DIV/0!</v>
      </c>
      <c r="AC108" s="51" t="e">
        <f t="shared" si="7"/>
        <v>#DIV/0!</v>
      </c>
      <c r="AD108" s="19"/>
      <c r="AE108" s="19"/>
      <c r="AF108" s="285" t="s">
        <v>127</v>
      </c>
      <c r="AG108" s="240" t="e" cm="1">
        <f t="array" ref="AG108">bdRateExtend($G107:$G110,H107:H110,$R107:$R110,S107:S110)</f>
        <v>#VALUE!</v>
      </c>
      <c r="AH108" s="242"/>
      <c r="AI108" s="242"/>
      <c r="AJ108" s="245"/>
      <c r="AK108" s="240" t="e" cm="1">
        <f t="array" ref="AK108">bdRateExtend($G107:$G110,K107:K110,$R107:$R110,V107:V110)</f>
        <v>#VALUE!</v>
      </c>
      <c r="AL108" s="249"/>
      <c r="AM108" s="240" t="e" cm="1">
        <f t="array" ref="AM108">bdRateExtend($G107:$G110,L107:L110,$R107:$R110,W107:W110)</f>
        <v>#VALUE!</v>
      </c>
      <c r="AN108" s="249"/>
      <c r="AO108" s="252" t="e" cm="1">
        <f t="array" ref="AO108">bdRateExtend($G107:$G110,M107:M110,$R107:$R110,X107:X110)</f>
        <v>#VALUE!</v>
      </c>
      <c r="AP108" s="249"/>
    </row>
    <row r="109" spans="1:42" ht="17.100000000000001" customHeight="1" outlineLevel="4" x14ac:dyDescent="0.25">
      <c r="A109" s="222"/>
      <c r="B109" s="219"/>
      <c r="C109" s="229"/>
      <c r="D109" s="232"/>
      <c r="E109" s="235"/>
      <c r="F109" s="16">
        <v>47</v>
      </c>
      <c r="G109" s="34"/>
      <c r="H109" s="39"/>
      <c r="I109" s="39"/>
      <c r="J109" s="39"/>
      <c r="K109" s="39"/>
      <c r="L109" s="39"/>
      <c r="M109" s="39"/>
      <c r="N109" s="39"/>
      <c r="O109" s="39"/>
      <c r="P109" s="35"/>
      <c r="Q109" s="18"/>
      <c r="R109" s="34"/>
      <c r="S109" s="39"/>
      <c r="T109" s="39"/>
      <c r="U109" s="39"/>
      <c r="V109" s="39"/>
      <c r="W109" s="39"/>
      <c r="X109" s="39"/>
      <c r="Y109" s="39"/>
      <c r="Z109" s="39"/>
      <c r="AA109" s="35"/>
      <c r="AB109" s="50" t="e">
        <f t="shared" si="6"/>
        <v>#DIV/0!</v>
      </c>
      <c r="AC109" s="51" t="e">
        <f t="shared" si="7"/>
        <v>#DIV/0!</v>
      </c>
      <c r="AD109" s="19"/>
      <c r="AE109" s="19"/>
      <c r="AF109" s="285"/>
      <c r="AG109" s="240"/>
      <c r="AH109" s="242"/>
      <c r="AI109" s="242"/>
      <c r="AJ109" s="245"/>
      <c r="AK109" s="240"/>
      <c r="AL109" s="249"/>
      <c r="AM109" s="240"/>
      <c r="AN109" s="249"/>
      <c r="AO109" s="252"/>
      <c r="AP109" s="249"/>
    </row>
    <row r="110" spans="1:42" ht="17.100000000000001" customHeight="1" outlineLevel="4" x14ac:dyDescent="0.25">
      <c r="A110" s="222"/>
      <c r="B110" s="219"/>
      <c r="C110" s="229"/>
      <c r="D110" s="232"/>
      <c r="E110" s="235"/>
      <c r="F110" s="16">
        <v>55</v>
      </c>
      <c r="G110" s="34"/>
      <c r="H110" s="39"/>
      <c r="I110" s="39"/>
      <c r="J110" s="39"/>
      <c r="K110" s="39"/>
      <c r="L110" s="39"/>
      <c r="M110" s="39"/>
      <c r="N110" s="39"/>
      <c r="O110" s="39"/>
      <c r="P110" s="35"/>
      <c r="Q110" s="18"/>
      <c r="R110" s="34"/>
      <c r="S110" s="39"/>
      <c r="T110" s="39"/>
      <c r="U110" s="39"/>
      <c r="V110" s="39"/>
      <c r="W110" s="39"/>
      <c r="X110" s="39"/>
      <c r="Y110" s="39"/>
      <c r="Z110" s="39"/>
      <c r="AA110" s="35"/>
      <c r="AB110" s="50" t="e">
        <f t="shared" si="6"/>
        <v>#DIV/0!</v>
      </c>
      <c r="AC110" s="51" t="e">
        <f t="shared" si="7"/>
        <v>#DIV/0!</v>
      </c>
      <c r="AD110" s="19"/>
      <c r="AE110" s="19"/>
      <c r="AF110" s="285" t="s">
        <v>128</v>
      </c>
      <c r="AG110" s="240" t="e" cm="1">
        <f t="array" ref="AG110">bdRateExtend($G108:$G111,H108:H111,$R108:$R111,S108:S111)</f>
        <v>#VALUE!</v>
      </c>
      <c r="AH110" s="242"/>
      <c r="AI110" s="242"/>
      <c r="AJ110" s="245"/>
      <c r="AK110" s="240" t="e" cm="1">
        <f t="array" ref="AK110">bdRateExtend($G108:$G111,K108:K111,$R108:$R111,V108:V111)</f>
        <v>#VALUE!</v>
      </c>
      <c r="AL110" s="249"/>
      <c r="AM110" s="240" t="e" cm="1">
        <f t="array" ref="AM110">bdRateExtend($G108:$G111,L108:L111,$R108:$R111,W108:W111)</f>
        <v>#VALUE!</v>
      </c>
      <c r="AN110" s="249"/>
      <c r="AO110" s="252" t="e" cm="1">
        <f t="array" ref="AO110">bdRateExtend($G108:$G111,M108:M111,$R108:$R111,X108:X111)</f>
        <v>#VALUE!</v>
      </c>
      <c r="AP110" s="249"/>
    </row>
    <row r="111" spans="1:42" ht="17.100000000000001" customHeight="1" outlineLevel="4" thickBot="1" x14ac:dyDescent="0.3">
      <c r="A111" s="222"/>
      <c r="B111" s="220"/>
      <c r="C111" s="230"/>
      <c r="D111" s="233"/>
      <c r="E111" s="236"/>
      <c r="F111" s="9">
        <v>63</v>
      </c>
      <c r="G111" s="36"/>
      <c r="H111" s="37"/>
      <c r="I111" s="37"/>
      <c r="J111" s="37"/>
      <c r="K111" s="37"/>
      <c r="L111" s="37"/>
      <c r="M111" s="37"/>
      <c r="N111" s="37"/>
      <c r="O111" s="37"/>
      <c r="P111" s="38"/>
      <c r="Q111" s="18"/>
      <c r="R111" s="36"/>
      <c r="S111" s="37"/>
      <c r="T111" s="37"/>
      <c r="U111" s="37"/>
      <c r="V111" s="37"/>
      <c r="W111" s="37"/>
      <c r="X111" s="37"/>
      <c r="Y111" s="37"/>
      <c r="Z111" s="37"/>
      <c r="AA111" s="38"/>
      <c r="AB111" s="52" t="e">
        <f t="shared" si="6"/>
        <v>#DIV/0!</v>
      </c>
      <c r="AC111" s="53" t="e">
        <f t="shared" si="7"/>
        <v>#DIV/0!</v>
      </c>
      <c r="AD111" s="19"/>
      <c r="AE111" s="19"/>
      <c r="AF111" s="286"/>
      <c r="AG111" s="247"/>
      <c r="AH111" s="243"/>
      <c r="AI111" s="243"/>
      <c r="AJ111" s="246"/>
      <c r="AK111" s="247"/>
      <c r="AL111" s="250"/>
      <c r="AM111" s="247"/>
      <c r="AN111" s="250"/>
      <c r="AO111" s="253"/>
      <c r="AP111" s="250"/>
    </row>
    <row r="112" spans="1:42" ht="17.100000000000001" customHeight="1" outlineLevel="4" x14ac:dyDescent="0.25">
      <c r="A112" s="222"/>
      <c r="B112" s="218" t="s">
        <v>2</v>
      </c>
      <c r="C112" s="228" t="s">
        <v>47</v>
      </c>
      <c r="D112" s="231">
        <v>29.97</v>
      </c>
      <c r="E112" s="234" t="s">
        <v>23</v>
      </c>
      <c r="F112" s="7">
        <v>23</v>
      </c>
      <c r="G112" s="31"/>
      <c r="H112" s="32"/>
      <c r="I112" s="32"/>
      <c r="J112" s="32"/>
      <c r="K112" s="32"/>
      <c r="L112" s="32"/>
      <c r="M112" s="32"/>
      <c r="N112" s="32"/>
      <c r="O112" s="32"/>
      <c r="P112" s="33"/>
      <c r="Q112" s="18"/>
      <c r="R112" s="31"/>
      <c r="S112" s="32"/>
      <c r="T112" s="32"/>
      <c r="U112" s="32"/>
      <c r="V112" s="32"/>
      <c r="W112" s="32"/>
      <c r="X112" s="32"/>
      <c r="Y112" s="32"/>
      <c r="Z112" s="32"/>
      <c r="AA112" s="33"/>
      <c r="AB112" s="48" t="e">
        <f t="shared" si="6"/>
        <v>#DIV/0!</v>
      </c>
      <c r="AC112" s="49" t="e">
        <f t="shared" si="7"/>
        <v>#DIV/0!</v>
      </c>
      <c r="AD112" s="19"/>
      <c r="AE112" s="19"/>
      <c r="AF112" s="284" t="s">
        <v>126</v>
      </c>
      <c r="AG112" s="239" t="e" cm="1">
        <f t="array" ref="AG112">bdRateExtend($G112:$G115,H112:H115,$R112:$R115,S112:S115)</f>
        <v>#VALUE!</v>
      </c>
      <c r="AH112" s="241" t="e" cm="1">
        <f t="array" ref="AH112">bdRateExtend($G112:$G117,H112:H117,$R112:$R117,S112:S117)</f>
        <v>#VALUE!</v>
      </c>
      <c r="AI112" s="241" t="e" cm="1">
        <f t="array" ref="AI112">bdRateExtend($G112:$G117,I112:I117,$R112:$R117,T112:T117)</f>
        <v>#VALUE!</v>
      </c>
      <c r="AJ112" s="244" t="e" cm="1">
        <f t="array" ref="AJ112">bdRateExtend($G112:$G117,J112:J117,$R112:$R117,U112:U117)</f>
        <v>#VALUE!</v>
      </c>
      <c r="AK112" s="239" t="e" cm="1">
        <f t="array" ref="AK112">bdRateExtend($G112:$G115,K112:K115,$R112:$R115,V112:V115)</f>
        <v>#VALUE!</v>
      </c>
      <c r="AL112" s="248" t="e" cm="1">
        <f t="array" ref="AL112">bdRateExtend($G112:$G117,K112:K117,$R112:$R117,V112:V117)</f>
        <v>#VALUE!</v>
      </c>
      <c r="AM112" s="239" t="e" cm="1">
        <f t="array" ref="AM112">bdRateExtend($G112:$G115,L112:L115,$R112:$R115,W112:W115)</f>
        <v>#VALUE!</v>
      </c>
      <c r="AN112" s="248" t="e" cm="1">
        <f t="array" ref="AN112">bdRateExtend($G112:$G117,L112:L117,$R112:$R117,W112:W117)</f>
        <v>#VALUE!</v>
      </c>
      <c r="AO112" s="254" t="e" cm="1">
        <f t="array" ref="AO112">bdRateExtend($G112:$G115,M112:M115,$R112:$R115,X112:X115)</f>
        <v>#VALUE!</v>
      </c>
      <c r="AP112" s="248" t="e" cm="1">
        <f t="array" ref="AP112">bdRateExtend($G112:$G117,M112:M117,$R112:$R117,X112:X117)</f>
        <v>#VALUE!</v>
      </c>
    </row>
    <row r="113" spans="1:42" ht="17.100000000000001" customHeight="1" outlineLevel="4" x14ac:dyDescent="0.25">
      <c r="A113" s="222"/>
      <c r="B113" s="219"/>
      <c r="C113" s="229"/>
      <c r="D113" s="232"/>
      <c r="E113" s="235"/>
      <c r="F113" s="16">
        <v>31</v>
      </c>
      <c r="G113" s="34"/>
      <c r="H113" s="39"/>
      <c r="I113" s="39"/>
      <c r="J113" s="39"/>
      <c r="K113" s="39"/>
      <c r="L113" s="39"/>
      <c r="M113" s="39"/>
      <c r="N113" s="39"/>
      <c r="O113" s="39"/>
      <c r="P113" s="35"/>
      <c r="Q113" s="18"/>
      <c r="R113" s="34"/>
      <c r="S113" s="39"/>
      <c r="T113" s="39"/>
      <c r="U113" s="39"/>
      <c r="V113" s="39"/>
      <c r="W113" s="39"/>
      <c r="X113" s="39"/>
      <c r="Y113" s="39"/>
      <c r="Z113" s="39"/>
      <c r="AA113" s="35"/>
      <c r="AB113" s="50" t="e">
        <f t="shared" si="6"/>
        <v>#DIV/0!</v>
      </c>
      <c r="AC113" s="51" t="e">
        <f t="shared" si="7"/>
        <v>#DIV/0!</v>
      </c>
      <c r="AD113" s="19"/>
      <c r="AE113" s="19"/>
      <c r="AF113" s="285"/>
      <c r="AG113" s="240"/>
      <c r="AH113" s="242"/>
      <c r="AI113" s="242"/>
      <c r="AJ113" s="245"/>
      <c r="AK113" s="240"/>
      <c r="AL113" s="249"/>
      <c r="AM113" s="240"/>
      <c r="AN113" s="249"/>
      <c r="AO113" s="252"/>
      <c r="AP113" s="249"/>
    </row>
    <row r="114" spans="1:42" ht="17.100000000000001" customHeight="1" outlineLevel="4" x14ac:dyDescent="0.25">
      <c r="A114" s="222"/>
      <c r="B114" s="219"/>
      <c r="C114" s="229"/>
      <c r="D114" s="232"/>
      <c r="E114" s="235"/>
      <c r="F114" s="16">
        <v>39</v>
      </c>
      <c r="G114" s="34"/>
      <c r="H114" s="39"/>
      <c r="I114" s="39"/>
      <c r="J114" s="39"/>
      <c r="K114" s="39"/>
      <c r="L114" s="39"/>
      <c r="M114" s="39"/>
      <c r="N114" s="39"/>
      <c r="O114" s="39"/>
      <c r="P114" s="35"/>
      <c r="Q114" s="18"/>
      <c r="R114" s="34"/>
      <c r="S114" s="39"/>
      <c r="T114" s="39"/>
      <c r="U114" s="39"/>
      <c r="V114" s="39"/>
      <c r="W114" s="39"/>
      <c r="X114" s="39"/>
      <c r="Y114" s="39"/>
      <c r="Z114" s="39"/>
      <c r="AA114" s="35"/>
      <c r="AB114" s="50" t="e">
        <f t="shared" si="6"/>
        <v>#DIV/0!</v>
      </c>
      <c r="AC114" s="51" t="e">
        <f t="shared" si="7"/>
        <v>#DIV/0!</v>
      </c>
      <c r="AD114" s="19"/>
      <c r="AE114" s="19"/>
      <c r="AF114" s="285" t="s">
        <v>127</v>
      </c>
      <c r="AG114" s="240" t="e" cm="1">
        <f t="array" ref="AG114">bdRateExtend($G113:$G116,H113:H116,$R113:$R116,S113:S116)</f>
        <v>#VALUE!</v>
      </c>
      <c r="AH114" s="242"/>
      <c r="AI114" s="242"/>
      <c r="AJ114" s="245"/>
      <c r="AK114" s="240" t="e" cm="1">
        <f t="array" ref="AK114">bdRateExtend($G113:$G116,K113:K116,$R113:$R116,V113:V116)</f>
        <v>#VALUE!</v>
      </c>
      <c r="AL114" s="249"/>
      <c r="AM114" s="240" t="e" cm="1">
        <f t="array" ref="AM114">bdRateExtend($G113:$G116,L113:L116,$R113:$R116,W113:W116)</f>
        <v>#VALUE!</v>
      </c>
      <c r="AN114" s="249"/>
      <c r="AO114" s="252" t="e" cm="1">
        <f t="array" ref="AO114">bdRateExtend($G113:$G116,M113:M116,$R113:$R116,X113:X116)</f>
        <v>#VALUE!</v>
      </c>
      <c r="AP114" s="249"/>
    </row>
    <row r="115" spans="1:42" ht="17.100000000000001" customHeight="1" outlineLevel="4" x14ac:dyDescent="0.25">
      <c r="A115" s="222"/>
      <c r="B115" s="219"/>
      <c r="C115" s="229"/>
      <c r="D115" s="232"/>
      <c r="E115" s="235"/>
      <c r="F115" s="16">
        <v>47</v>
      </c>
      <c r="G115" s="34"/>
      <c r="H115" s="39"/>
      <c r="I115" s="39"/>
      <c r="J115" s="39"/>
      <c r="K115" s="39"/>
      <c r="L115" s="39"/>
      <c r="M115" s="39"/>
      <c r="N115" s="39"/>
      <c r="O115" s="39"/>
      <c r="P115" s="35"/>
      <c r="Q115" s="18"/>
      <c r="R115" s="34"/>
      <c r="S115" s="39"/>
      <c r="T115" s="39"/>
      <c r="U115" s="39"/>
      <c r="V115" s="39"/>
      <c r="W115" s="39"/>
      <c r="X115" s="39"/>
      <c r="Y115" s="39"/>
      <c r="Z115" s="39"/>
      <c r="AA115" s="35"/>
      <c r="AB115" s="50" t="e">
        <f t="shared" si="6"/>
        <v>#DIV/0!</v>
      </c>
      <c r="AC115" s="51" t="e">
        <f t="shared" si="7"/>
        <v>#DIV/0!</v>
      </c>
      <c r="AD115" s="19"/>
      <c r="AE115" s="19"/>
      <c r="AF115" s="285"/>
      <c r="AG115" s="240"/>
      <c r="AH115" s="242"/>
      <c r="AI115" s="242"/>
      <c r="AJ115" s="245"/>
      <c r="AK115" s="240"/>
      <c r="AL115" s="249"/>
      <c r="AM115" s="240"/>
      <c r="AN115" s="249"/>
      <c r="AO115" s="252"/>
      <c r="AP115" s="249"/>
    </row>
    <row r="116" spans="1:42" ht="17.100000000000001" customHeight="1" outlineLevel="4" x14ac:dyDescent="0.25">
      <c r="A116" s="222"/>
      <c r="B116" s="219"/>
      <c r="C116" s="229"/>
      <c r="D116" s="232"/>
      <c r="E116" s="235"/>
      <c r="F116" s="16">
        <v>55</v>
      </c>
      <c r="G116" s="34"/>
      <c r="H116" s="39"/>
      <c r="I116" s="39"/>
      <c r="J116" s="39"/>
      <c r="K116" s="39"/>
      <c r="L116" s="39"/>
      <c r="M116" s="39"/>
      <c r="N116" s="39"/>
      <c r="O116" s="39"/>
      <c r="P116" s="35"/>
      <c r="Q116" s="18"/>
      <c r="R116" s="34"/>
      <c r="S116" s="39"/>
      <c r="T116" s="39"/>
      <c r="U116" s="39"/>
      <c r="V116" s="39"/>
      <c r="W116" s="39"/>
      <c r="X116" s="39"/>
      <c r="Y116" s="39"/>
      <c r="Z116" s="39"/>
      <c r="AA116" s="35"/>
      <c r="AB116" s="50" t="e">
        <f t="shared" si="6"/>
        <v>#DIV/0!</v>
      </c>
      <c r="AC116" s="51" t="e">
        <f t="shared" si="7"/>
        <v>#DIV/0!</v>
      </c>
      <c r="AD116" s="19"/>
      <c r="AE116" s="19"/>
      <c r="AF116" s="285" t="s">
        <v>128</v>
      </c>
      <c r="AG116" s="240" t="e" cm="1">
        <f t="array" ref="AG116">bdRateExtend($G114:$G117,H114:H117,$R114:$R117,S114:S117)</f>
        <v>#VALUE!</v>
      </c>
      <c r="AH116" s="242"/>
      <c r="AI116" s="242"/>
      <c r="AJ116" s="245"/>
      <c r="AK116" s="240" t="e" cm="1">
        <f t="array" ref="AK116">bdRateExtend($G114:$G117,K114:K117,$R114:$R117,V114:V117)</f>
        <v>#VALUE!</v>
      </c>
      <c r="AL116" s="249"/>
      <c r="AM116" s="240" t="e" cm="1">
        <f t="array" ref="AM116">bdRateExtend($G114:$G117,L114:L117,$R114:$R117,W114:W117)</f>
        <v>#VALUE!</v>
      </c>
      <c r="AN116" s="249"/>
      <c r="AO116" s="252" t="e" cm="1">
        <f t="array" ref="AO116">bdRateExtend($G114:$G117,M114:M117,$R114:$R117,X114:X117)</f>
        <v>#VALUE!</v>
      </c>
      <c r="AP116" s="249"/>
    </row>
    <row r="117" spans="1:42" ht="17.100000000000001" customHeight="1" outlineLevel="4" thickBot="1" x14ac:dyDescent="0.3">
      <c r="A117" s="222"/>
      <c r="B117" s="220"/>
      <c r="C117" s="230"/>
      <c r="D117" s="233"/>
      <c r="E117" s="236"/>
      <c r="F117" s="9">
        <v>63</v>
      </c>
      <c r="G117" s="36"/>
      <c r="H117" s="37"/>
      <c r="I117" s="37"/>
      <c r="J117" s="37"/>
      <c r="K117" s="37"/>
      <c r="L117" s="37"/>
      <c r="M117" s="37"/>
      <c r="N117" s="37"/>
      <c r="O117" s="37"/>
      <c r="P117" s="38"/>
      <c r="Q117" s="18"/>
      <c r="R117" s="36"/>
      <c r="S117" s="37"/>
      <c r="T117" s="37"/>
      <c r="U117" s="37"/>
      <c r="V117" s="37"/>
      <c r="W117" s="37"/>
      <c r="X117" s="37"/>
      <c r="Y117" s="37"/>
      <c r="Z117" s="37"/>
      <c r="AA117" s="38"/>
      <c r="AB117" s="52" t="e">
        <f t="shared" si="6"/>
        <v>#DIV/0!</v>
      </c>
      <c r="AC117" s="53" t="e">
        <f t="shared" si="7"/>
        <v>#DIV/0!</v>
      </c>
      <c r="AD117" s="19"/>
      <c r="AE117" s="19"/>
      <c r="AF117" s="286"/>
      <c r="AG117" s="247"/>
      <c r="AH117" s="243"/>
      <c r="AI117" s="243"/>
      <c r="AJ117" s="246"/>
      <c r="AK117" s="247"/>
      <c r="AL117" s="250"/>
      <c r="AM117" s="247"/>
      <c r="AN117" s="250"/>
      <c r="AO117" s="253"/>
      <c r="AP117" s="250"/>
    </row>
    <row r="118" spans="1:42" ht="17.100000000000001" customHeight="1" outlineLevel="4" x14ac:dyDescent="0.25">
      <c r="A118" s="222"/>
      <c r="B118" s="218" t="s">
        <v>2</v>
      </c>
      <c r="C118" s="228" t="s">
        <v>48</v>
      </c>
      <c r="D118" s="231">
        <v>30</v>
      </c>
      <c r="E118" s="234" t="s">
        <v>23</v>
      </c>
      <c r="F118" s="7">
        <v>23</v>
      </c>
      <c r="G118" s="31"/>
      <c r="H118" s="32"/>
      <c r="I118" s="32"/>
      <c r="J118" s="32"/>
      <c r="K118" s="32"/>
      <c r="L118" s="32"/>
      <c r="M118" s="32"/>
      <c r="N118" s="32"/>
      <c r="O118" s="32"/>
      <c r="P118" s="33"/>
      <c r="Q118" s="18"/>
      <c r="R118" s="31"/>
      <c r="S118" s="32"/>
      <c r="T118" s="32"/>
      <c r="U118" s="32"/>
      <c r="V118" s="32"/>
      <c r="W118" s="32"/>
      <c r="X118" s="32"/>
      <c r="Y118" s="32"/>
      <c r="Z118" s="32"/>
      <c r="AA118" s="33"/>
      <c r="AB118" s="48" t="e">
        <f t="shared" si="6"/>
        <v>#DIV/0!</v>
      </c>
      <c r="AC118" s="49" t="e">
        <f t="shared" si="7"/>
        <v>#DIV/0!</v>
      </c>
      <c r="AD118" s="19"/>
      <c r="AE118" s="19"/>
      <c r="AF118" s="284" t="s">
        <v>126</v>
      </c>
      <c r="AG118" s="239" t="e" cm="1">
        <f t="array" ref="AG118">bdRateExtend($G118:$G121,H118:H121,$R118:$R121,S118:S121)</f>
        <v>#VALUE!</v>
      </c>
      <c r="AH118" s="241" t="e" cm="1">
        <f t="array" ref="AH118">bdRateExtend($G118:$G123,H118:H123,$R118:$R123,S118:S123)</f>
        <v>#VALUE!</v>
      </c>
      <c r="AI118" s="241" t="e" cm="1">
        <f t="array" ref="AI118">bdRateExtend($G118:$G123,I118:I123,$R118:$R123,T118:T123)</f>
        <v>#VALUE!</v>
      </c>
      <c r="AJ118" s="244" t="e" cm="1">
        <f t="array" ref="AJ118">bdRateExtend($G118:$G123,J118:J123,$R118:$R123,U118:U123)</f>
        <v>#VALUE!</v>
      </c>
      <c r="AK118" s="239" t="e" cm="1">
        <f t="array" ref="AK118">bdRateExtend($G118:$G121,K118:K121,$R118:$R121,V118:V121)</f>
        <v>#VALUE!</v>
      </c>
      <c r="AL118" s="248" t="e" cm="1">
        <f t="array" ref="AL118">bdRateExtend($G118:$G123,K118:K123,$R118:$R123,V118:V123)</f>
        <v>#VALUE!</v>
      </c>
      <c r="AM118" s="239" t="e" cm="1">
        <f t="array" ref="AM118">bdRateExtend($G118:$G121,L118:L121,$R118:$R121,W118:W121)</f>
        <v>#VALUE!</v>
      </c>
      <c r="AN118" s="248" t="e" cm="1">
        <f t="array" ref="AN118">bdRateExtend($G118:$G123,L118:L123,$R118:$R123,W118:W123)</f>
        <v>#VALUE!</v>
      </c>
      <c r="AO118" s="254" t="e" cm="1">
        <f t="array" ref="AO118">bdRateExtend($G118:$G121,M118:M121,$R118:$R121,X118:X121)</f>
        <v>#VALUE!</v>
      </c>
      <c r="AP118" s="248" t="e" cm="1">
        <f t="array" ref="AP118">bdRateExtend($G118:$G123,M118:M123,$R118:$R123,X118:X123)</f>
        <v>#VALUE!</v>
      </c>
    </row>
    <row r="119" spans="1:42" ht="17.100000000000001" customHeight="1" outlineLevel="4" x14ac:dyDescent="0.25">
      <c r="A119" s="222"/>
      <c r="B119" s="219"/>
      <c r="C119" s="229"/>
      <c r="D119" s="232"/>
      <c r="E119" s="235"/>
      <c r="F119" s="16">
        <v>31</v>
      </c>
      <c r="G119" s="34"/>
      <c r="H119" s="39"/>
      <c r="I119" s="39"/>
      <c r="J119" s="39"/>
      <c r="K119" s="39"/>
      <c r="L119" s="39"/>
      <c r="M119" s="39"/>
      <c r="N119" s="39"/>
      <c r="O119" s="39"/>
      <c r="P119" s="35"/>
      <c r="Q119" s="18"/>
      <c r="R119" s="34"/>
      <c r="S119" s="39"/>
      <c r="T119" s="39"/>
      <c r="U119" s="39"/>
      <c r="V119" s="39"/>
      <c r="W119" s="39"/>
      <c r="X119" s="39"/>
      <c r="Y119" s="39"/>
      <c r="Z119" s="39"/>
      <c r="AA119" s="35"/>
      <c r="AB119" s="50" t="e">
        <f t="shared" si="6"/>
        <v>#DIV/0!</v>
      </c>
      <c r="AC119" s="51" t="e">
        <f t="shared" si="7"/>
        <v>#DIV/0!</v>
      </c>
      <c r="AD119" s="19"/>
      <c r="AE119" s="19"/>
      <c r="AF119" s="285"/>
      <c r="AG119" s="240"/>
      <c r="AH119" s="242"/>
      <c r="AI119" s="242"/>
      <c r="AJ119" s="245"/>
      <c r="AK119" s="240"/>
      <c r="AL119" s="249"/>
      <c r="AM119" s="240"/>
      <c r="AN119" s="249"/>
      <c r="AO119" s="252"/>
      <c r="AP119" s="249"/>
    </row>
    <row r="120" spans="1:42" ht="17.100000000000001" customHeight="1" outlineLevel="4" x14ac:dyDescent="0.25">
      <c r="A120" s="222"/>
      <c r="B120" s="219"/>
      <c r="C120" s="229"/>
      <c r="D120" s="232"/>
      <c r="E120" s="235"/>
      <c r="F120" s="16">
        <v>39</v>
      </c>
      <c r="G120" s="34"/>
      <c r="H120" s="39"/>
      <c r="I120" s="39"/>
      <c r="J120" s="39"/>
      <c r="K120" s="39"/>
      <c r="L120" s="39"/>
      <c r="M120" s="39"/>
      <c r="N120" s="39"/>
      <c r="O120" s="39"/>
      <c r="P120" s="35"/>
      <c r="Q120" s="18"/>
      <c r="R120" s="34"/>
      <c r="S120" s="39"/>
      <c r="T120" s="39"/>
      <c r="U120" s="39"/>
      <c r="V120" s="39"/>
      <c r="W120" s="39"/>
      <c r="X120" s="39"/>
      <c r="Y120" s="39"/>
      <c r="Z120" s="39"/>
      <c r="AA120" s="35"/>
      <c r="AB120" s="50" t="e">
        <f t="shared" si="6"/>
        <v>#DIV/0!</v>
      </c>
      <c r="AC120" s="51" t="e">
        <f t="shared" si="7"/>
        <v>#DIV/0!</v>
      </c>
      <c r="AD120" s="19"/>
      <c r="AE120" s="19"/>
      <c r="AF120" s="285" t="s">
        <v>127</v>
      </c>
      <c r="AG120" s="240" t="e" cm="1">
        <f t="array" ref="AG120">bdRateExtend($G119:$G122,H119:H122,$R119:$R122,S119:S122)</f>
        <v>#VALUE!</v>
      </c>
      <c r="AH120" s="242"/>
      <c r="AI120" s="242"/>
      <c r="AJ120" s="245"/>
      <c r="AK120" s="240" t="e" cm="1">
        <f t="array" ref="AK120">bdRateExtend($G119:$G122,K119:K122,$R119:$R122,V119:V122)</f>
        <v>#VALUE!</v>
      </c>
      <c r="AL120" s="249"/>
      <c r="AM120" s="240" t="e" cm="1">
        <f t="array" ref="AM120">bdRateExtend($G119:$G122,L119:L122,$R119:$R122,W119:W122)</f>
        <v>#VALUE!</v>
      </c>
      <c r="AN120" s="249"/>
      <c r="AO120" s="252" t="e" cm="1">
        <f t="array" ref="AO120">bdRateExtend($G119:$G122,M119:M122,$R119:$R122,X119:X122)</f>
        <v>#VALUE!</v>
      </c>
      <c r="AP120" s="249"/>
    </row>
    <row r="121" spans="1:42" ht="17.100000000000001" customHeight="1" outlineLevel="4" x14ac:dyDescent="0.25">
      <c r="A121" s="222"/>
      <c r="B121" s="219"/>
      <c r="C121" s="229"/>
      <c r="D121" s="232"/>
      <c r="E121" s="235"/>
      <c r="F121" s="16">
        <v>47</v>
      </c>
      <c r="G121" s="34"/>
      <c r="H121" s="39"/>
      <c r="I121" s="39"/>
      <c r="J121" s="39"/>
      <c r="K121" s="39"/>
      <c r="L121" s="39"/>
      <c r="M121" s="39"/>
      <c r="N121" s="39"/>
      <c r="O121" s="39"/>
      <c r="P121" s="35"/>
      <c r="Q121" s="18"/>
      <c r="R121" s="34"/>
      <c r="S121" s="39"/>
      <c r="T121" s="39"/>
      <c r="U121" s="39"/>
      <c r="V121" s="39"/>
      <c r="W121" s="39"/>
      <c r="X121" s="39"/>
      <c r="Y121" s="39"/>
      <c r="Z121" s="39"/>
      <c r="AA121" s="35"/>
      <c r="AB121" s="50" t="e">
        <f t="shared" si="6"/>
        <v>#DIV/0!</v>
      </c>
      <c r="AC121" s="51" t="e">
        <f t="shared" si="7"/>
        <v>#DIV/0!</v>
      </c>
      <c r="AD121" s="19"/>
      <c r="AE121" s="19"/>
      <c r="AF121" s="285"/>
      <c r="AG121" s="240"/>
      <c r="AH121" s="242"/>
      <c r="AI121" s="242"/>
      <c r="AJ121" s="245"/>
      <c r="AK121" s="240"/>
      <c r="AL121" s="249"/>
      <c r="AM121" s="240"/>
      <c r="AN121" s="249"/>
      <c r="AO121" s="252"/>
      <c r="AP121" s="249"/>
    </row>
    <row r="122" spans="1:42" ht="17.100000000000001" customHeight="1" outlineLevel="4" x14ac:dyDescent="0.25">
      <c r="A122" s="222"/>
      <c r="B122" s="219"/>
      <c r="C122" s="229"/>
      <c r="D122" s="232"/>
      <c r="E122" s="235"/>
      <c r="F122" s="16">
        <v>55</v>
      </c>
      <c r="G122" s="34"/>
      <c r="H122" s="39"/>
      <c r="I122" s="39"/>
      <c r="J122" s="39"/>
      <c r="K122" s="39"/>
      <c r="L122" s="39"/>
      <c r="M122" s="39"/>
      <c r="N122" s="39"/>
      <c r="O122" s="39"/>
      <c r="P122" s="35"/>
      <c r="Q122" s="18"/>
      <c r="R122" s="34"/>
      <c r="S122" s="39"/>
      <c r="T122" s="39"/>
      <c r="U122" s="39"/>
      <c r="V122" s="39"/>
      <c r="W122" s="39"/>
      <c r="X122" s="39"/>
      <c r="Y122" s="39"/>
      <c r="Z122" s="39"/>
      <c r="AA122" s="35"/>
      <c r="AB122" s="50" t="e">
        <f t="shared" si="6"/>
        <v>#DIV/0!</v>
      </c>
      <c r="AC122" s="51" t="e">
        <f t="shared" si="7"/>
        <v>#DIV/0!</v>
      </c>
      <c r="AD122" s="19"/>
      <c r="AE122" s="19"/>
      <c r="AF122" s="285" t="s">
        <v>128</v>
      </c>
      <c r="AG122" s="240" t="e" cm="1">
        <f t="array" ref="AG122">bdRateExtend($G120:$G123,H120:H123,$R120:$R123,S120:S123)</f>
        <v>#VALUE!</v>
      </c>
      <c r="AH122" s="242"/>
      <c r="AI122" s="242"/>
      <c r="AJ122" s="245"/>
      <c r="AK122" s="240" t="e" cm="1">
        <f t="array" ref="AK122">bdRateExtend($G120:$G123,K120:K123,$R120:$R123,V120:V123)</f>
        <v>#VALUE!</v>
      </c>
      <c r="AL122" s="249"/>
      <c r="AM122" s="240" t="e" cm="1">
        <f t="array" ref="AM122">bdRateExtend($G120:$G123,L120:L123,$R120:$R123,W120:W123)</f>
        <v>#VALUE!</v>
      </c>
      <c r="AN122" s="249"/>
      <c r="AO122" s="252" t="e" cm="1">
        <f t="array" ref="AO122">bdRateExtend($G120:$G123,M120:M123,$R120:$R123,X120:X123)</f>
        <v>#VALUE!</v>
      </c>
      <c r="AP122" s="249"/>
    </row>
    <row r="123" spans="1:42" ht="17.100000000000001" customHeight="1" outlineLevel="4" thickBot="1" x14ac:dyDescent="0.3">
      <c r="A123" s="222"/>
      <c r="B123" s="220"/>
      <c r="C123" s="230"/>
      <c r="D123" s="233"/>
      <c r="E123" s="236"/>
      <c r="F123" s="9">
        <v>63</v>
      </c>
      <c r="G123" s="36"/>
      <c r="H123" s="37"/>
      <c r="I123" s="37"/>
      <c r="J123" s="37"/>
      <c r="K123" s="37"/>
      <c r="L123" s="37"/>
      <c r="M123" s="37"/>
      <c r="N123" s="37"/>
      <c r="O123" s="37"/>
      <c r="P123" s="38"/>
      <c r="Q123" s="18"/>
      <c r="R123" s="36"/>
      <c r="S123" s="37"/>
      <c r="T123" s="37"/>
      <c r="U123" s="37"/>
      <c r="V123" s="37"/>
      <c r="W123" s="37"/>
      <c r="X123" s="37"/>
      <c r="Y123" s="37"/>
      <c r="Z123" s="37"/>
      <c r="AA123" s="38"/>
      <c r="AB123" s="52" t="e">
        <f t="shared" si="6"/>
        <v>#DIV/0!</v>
      </c>
      <c r="AC123" s="53" t="e">
        <f t="shared" si="7"/>
        <v>#DIV/0!</v>
      </c>
      <c r="AD123" s="19"/>
      <c r="AE123" s="19"/>
      <c r="AF123" s="286"/>
      <c r="AG123" s="247"/>
      <c r="AH123" s="243"/>
      <c r="AI123" s="243"/>
      <c r="AJ123" s="246"/>
      <c r="AK123" s="247"/>
      <c r="AL123" s="250"/>
      <c r="AM123" s="247"/>
      <c r="AN123" s="250"/>
      <c r="AO123" s="253"/>
      <c r="AP123" s="250"/>
    </row>
    <row r="124" spans="1:42" ht="17.100000000000001" customHeight="1" outlineLevel="4" x14ac:dyDescent="0.25">
      <c r="A124" s="222"/>
      <c r="B124" s="218" t="s">
        <v>2</v>
      </c>
      <c r="C124" s="228" t="s">
        <v>49</v>
      </c>
      <c r="D124" s="231">
        <v>29.97</v>
      </c>
      <c r="E124" s="234">
        <v>10</v>
      </c>
      <c r="F124" s="7">
        <v>23</v>
      </c>
      <c r="G124" s="31"/>
      <c r="H124" s="32"/>
      <c r="I124" s="32"/>
      <c r="J124" s="32"/>
      <c r="K124" s="32"/>
      <c r="L124" s="32"/>
      <c r="M124" s="32"/>
      <c r="N124" s="32"/>
      <c r="O124" s="32"/>
      <c r="P124" s="33"/>
      <c r="Q124" s="18"/>
      <c r="R124" s="31"/>
      <c r="S124" s="32"/>
      <c r="T124" s="32"/>
      <c r="U124" s="32"/>
      <c r="V124" s="32"/>
      <c r="W124" s="32"/>
      <c r="X124" s="32"/>
      <c r="Y124" s="32"/>
      <c r="Z124" s="32"/>
      <c r="AA124" s="33"/>
      <c r="AB124" s="48" t="e">
        <f t="shared" si="6"/>
        <v>#DIV/0!</v>
      </c>
      <c r="AC124" s="49" t="e">
        <f t="shared" si="7"/>
        <v>#DIV/0!</v>
      </c>
      <c r="AD124" s="19"/>
      <c r="AE124" s="19"/>
      <c r="AF124" s="284" t="s">
        <v>126</v>
      </c>
      <c r="AG124" s="239" t="e" cm="1">
        <f t="array" ref="AG124">bdRateExtend($G124:$G127,H124:H127,$R124:$R127,S124:S127)</f>
        <v>#VALUE!</v>
      </c>
      <c r="AH124" s="241" t="e" cm="1">
        <f t="array" ref="AH124">bdRateExtend($G124:$G129,H124:H129,$R124:$R129,S124:S129)</f>
        <v>#VALUE!</v>
      </c>
      <c r="AI124" s="241" t="e" cm="1">
        <f t="array" ref="AI124">bdRateExtend($G124:$G129,I124:I129,$R124:$R129,T124:T129)</f>
        <v>#VALUE!</v>
      </c>
      <c r="AJ124" s="244" t="e" cm="1">
        <f t="array" ref="AJ124">bdRateExtend($G124:$G129,J124:J129,$R124:$R129,U124:U129)</f>
        <v>#VALUE!</v>
      </c>
      <c r="AK124" s="239" t="e" cm="1">
        <f t="array" ref="AK124">bdRateExtend($G124:$G127,K124:K127,$R124:$R127,V124:V127)</f>
        <v>#VALUE!</v>
      </c>
      <c r="AL124" s="248" t="e" cm="1">
        <f t="array" ref="AL124">bdRateExtend($G124:$G129,K124:K129,$R124:$R129,V124:V129)</f>
        <v>#VALUE!</v>
      </c>
      <c r="AM124" s="239" t="e" cm="1">
        <f t="array" ref="AM124">bdRateExtend($G124:$G127,L124:L127,$R124:$R127,W124:W127)</f>
        <v>#VALUE!</v>
      </c>
      <c r="AN124" s="248" t="e" cm="1">
        <f t="array" ref="AN124">bdRateExtend($G124:$G129,L124:L129,$R124:$R129,W124:W129)</f>
        <v>#VALUE!</v>
      </c>
      <c r="AO124" s="254" t="e" cm="1">
        <f t="array" ref="AO124">bdRateExtend($G124:$G127,M124:M127,$R124:$R127,X124:X127)</f>
        <v>#VALUE!</v>
      </c>
      <c r="AP124" s="248" t="e" cm="1">
        <f t="array" ref="AP124">bdRateExtend($G124:$G129,M124:M129,$R124:$R129,X124:X129)</f>
        <v>#VALUE!</v>
      </c>
    </row>
    <row r="125" spans="1:42" ht="17.100000000000001" customHeight="1" outlineLevel="4" x14ac:dyDescent="0.25">
      <c r="A125" s="222"/>
      <c r="B125" s="219"/>
      <c r="C125" s="229"/>
      <c r="D125" s="232"/>
      <c r="E125" s="235"/>
      <c r="F125" s="16">
        <v>31</v>
      </c>
      <c r="G125" s="34"/>
      <c r="H125" s="39"/>
      <c r="I125" s="39"/>
      <c r="J125" s="39"/>
      <c r="K125" s="39"/>
      <c r="L125" s="39"/>
      <c r="M125" s="39"/>
      <c r="N125" s="39"/>
      <c r="O125" s="39"/>
      <c r="P125" s="35"/>
      <c r="Q125" s="18"/>
      <c r="R125" s="34"/>
      <c r="S125" s="39"/>
      <c r="T125" s="39"/>
      <c r="U125" s="39"/>
      <c r="V125" s="39"/>
      <c r="W125" s="39"/>
      <c r="X125" s="39"/>
      <c r="Y125" s="39"/>
      <c r="Z125" s="39"/>
      <c r="AA125" s="35"/>
      <c r="AB125" s="50" t="e">
        <f t="shared" si="6"/>
        <v>#DIV/0!</v>
      </c>
      <c r="AC125" s="51" t="e">
        <f t="shared" si="7"/>
        <v>#DIV/0!</v>
      </c>
      <c r="AD125" s="19"/>
      <c r="AE125" s="19"/>
      <c r="AF125" s="285"/>
      <c r="AG125" s="240"/>
      <c r="AH125" s="242"/>
      <c r="AI125" s="242"/>
      <c r="AJ125" s="245"/>
      <c r="AK125" s="240"/>
      <c r="AL125" s="249"/>
      <c r="AM125" s="240"/>
      <c r="AN125" s="249"/>
      <c r="AO125" s="252"/>
      <c r="AP125" s="249"/>
    </row>
    <row r="126" spans="1:42" ht="17.100000000000001" customHeight="1" outlineLevel="4" x14ac:dyDescent="0.25">
      <c r="A126" s="222"/>
      <c r="B126" s="219"/>
      <c r="C126" s="229"/>
      <c r="D126" s="232"/>
      <c r="E126" s="235"/>
      <c r="F126" s="16">
        <v>39</v>
      </c>
      <c r="G126" s="34"/>
      <c r="H126" s="39"/>
      <c r="I126" s="39"/>
      <c r="J126" s="39"/>
      <c r="K126" s="39"/>
      <c r="L126" s="39"/>
      <c r="M126" s="39"/>
      <c r="N126" s="39"/>
      <c r="O126" s="39"/>
      <c r="P126" s="35"/>
      <c r="Q126" s="18"/>
      <c r="R126" s="34"/>
      <c r="S126" s="39"/>
      <c r="T126" s="39"/>
      <c r="U126" s="39"/>
      <c r="V126" s="39"/>
      <c r="W126" s="39"/>
      <c r="X126" s="39"/>
      <c r="Y126" s="39"/>
      <c r="Z126" s="39"/>
      <c r="AA126" s="35"/>
      <c r="AB126" s="50" t="e">
        <f t="shared" si="6"/>
        <v>#DIV/0!</v>
      </c>
      <c r="AC126" s="51" t="e">
        <f t="shared" si="7"/>
        <v>#DIV/0!</v>
      </c>
      <c r="AD126" s="19"/>
      <c r="AE126" s="19"/>
      <c r="AF126" s="285" t="s">
        <v>127</v>
      </c>
      <c r="AG126" s="240" t="e" cm="1">
        <f t="array" ref="AG126">bdRateExtend($G125:$G128,H125:H128,$R125:$R128,S125:S128)</f>
        <v>#VALUE!</v>
      </c>
      <c r="AH126" s="242"/>
      <c r="AI126" s="242"/>
      <c r="AJ126" s="245"/>
      <c r="AK126" s="240" t="e" cm="1">
        <f t="array" ref="AK126">bdRateExtend($G125:$G128,K125:K128,$R125:$R128,V125:V128)</f>
        <v>#VALUE!</v>
      </c>
      <c r="AL126" s="249"/>
      <c r="AM126" s="240" t="e" cm="1">
        <f t="array" ref="AM126">bdRateExtend($G125:$G128,L125:L128,$R125:$R128,W125:W128)</f>
        <v>#VALUE!</v>
      </c>
      <c r="AN126" s="249"/>
      <c r="AO126" s="252" t="e" cm="1">
        <f t="array" ref="AO126">bdRateExtend($G125:$G128,M125:M128,$R125:$R128,X125:X128)</f>
        <v>#VALUE!</v>
      </c>
      <c r="AP126" s="249"/>
    </row>
    <row r="127" spans="1:42" ht="17.100000000000001" customHeight="1" outlineLevel="4" x14ac:dyDescent="0.25">
      <c r="A127" s="222"/>
      <c r="B127" s="219"/>
      <c r="C127" s="229"/>
      <c r="D127" s="232"/>
      <c r="E127" s="235"/>
      <c r="F127" s="16">
        <v>47</v>
      </c>
      <c r="G127" s="34"/>
      <c r="H127" s="39"/>
      <c r="I127" s="39"/>
      <c r="J127" s="39"/>
      <c r="K127" s="39"/>
      <c r="L127" s="39"/>
      <c r="M127" s="39"/>
      <c r="N127" s="39"/>
      <c r="O127" s="39"/>
      <c r="P127" s="35"/>
      <c r="Q127" s="18"/>
      <c r="R127" s="34"/>
      <c r="S127" s="39"/>
      <c r="T127" s="39"/>
      <c r="U127" s="39"/>
      <c r="V127" s="39"/>
      <c r="W127" s="39"/>
      <c r="X127" s="39"/>
      <c r="Y127" s="39"/>
      <c r="Z127" s="39"/>
      <c r="AA127" s="35"/>
      <c r="AB127" s="50" t="e">
        <f t="shared" si="6"/>
        <v>#DIV/0!</v>
      </c>
      <c r="AC127" s="51" t="e">
        <f t="shared" si="7"/>
        <v>#DIV/0!</v>
      </c>
      <c r="AD127" s="19"/>
      <c r="AE127" s="19"/>
      <c r="AF127" s="285"/>
      <c r="AG127" s="240"/>
      <c r="AH127" s="242"/>
      <c r="AI127" s="242"/>
      <c r="AJ127" s="245"/>
      <c r="AK127" s="240"/>
      <c r="AL127" s="249"/>
      <c r="AM127" s="240"/>
      <c r="AN127" s="249"/>
      <c r="AO127" s="252"/>
      <c r="AP127" s="249"/>
    </row>
    <row r="128" spans="1:42" ht="17.100000000000001" customHeight="1" outlineLevel="4" x14ac:dyDescent="0.25">
      <c r="A128" s="222"/>
      <c r="B128" s="219"/>
      <c r="C128" s="229"/>
      <c r="D128" s="232"/>
      <c r="E128" s="235"/>
      <c r="F128" s="16">
        <v>55</v>
      </c>
      <c r="G128" s="34"/>
      <c r="H128" s="39"/>
      <c r="I128" s="39"/>
      <c r="J128" s="39"/>
      <c r="K128" s="39"/>
      <c r="L128" s="39"/>
      <c r="M128" s="39"/>
      <c r="N128" s="39"/>
      <c r="O128" s="39"/>
      <c r="P128" s="35"/>
      <c r="Q128" s="18"/>
      <c r="R128" s="34"/>
      <c r="S128" s="39"/>
      <c r="T128" s="39"/>
      <c r="U128" s="39"/>
      <c r="V128" s="39"/>
      <c r="W128" s="39"/>
      <c r="X128" s="39"/>
      <c r="Y128" s="39"/>
      <c r="Z128" s="39"/>
      <c r="AA128" s="35"/>
      <c r="AB128" s="50" t="e">
        <f t="shared" si="6"/>
        <v>#DIV/0!</v>
      </c>
      <c r="AC128" s="51" t="e">
        <f t="shared" si="7"/>
        <v>#DIV/0!</v>
      </c>
      <c r="AD128" s="19"/>
      <c r="AE128" s="19"/>
      <c r="AF128" s="285" t="s">
        <v>128</v>
      </c>
      <c r="AG128" s="240" t="e" cm="1">
        <f t="array" ref="AG128">bdRateExtend($G126:$G129,H126:H129,$R126:$R129,S126:S129)</f>
        <v>#VALUE!</v>
      </c>
      <c r="AH128" s="242"/>
      <c r="AI128" s="242"/>
      <c r="AJ128" s="245"/>
      <c r="AK128" s="240" t="e" cm="1">
        <f t="array" ref="AK128">bdRateExtend($G126:$G129,K126:K129,$R126:$R129,V126:V129)</f>
        <v>#VALUE!</v>
      </c>
      <c r="AL128" s="249"/>
      <c r="AM128" s="240" t="e" cm="1">
        <f t="array" ref="AM128">bdRateExtend($G126:$G129,L126:L129,$R126:$R129,W126:W129)</f>
        <v>#VALUE!</v>
      </c>
      <c r="AN128" s="249"/>
      <c r="AO128" s="252" t="e" cm="1">
        <f t="array" ref="AO128">bdRateExtend($G126:$G129,M126:M129,$R126:$R129,X126:X129)</f>
        <v>#VALUE!</v>
      </c>
      <c r="AP128" s="249"/>
    </row>
    <row r="129" spans="1:42" ht="17.100000000000001" customHeight="1" outlineLevel="4" thickBot="1" x14ac:dyDescent="0.3">
      <c r="A129" s="222"/>
      <c r="B129" s="220"/>
      <c r="C129" s="230"/>
      <c r="D129" s="233"/>
      <c r="E129" s="236"/>
      <c r="F129" s="9">
        <v>63</v>
      </c>
      <c r="G129" s="36"/>
      <c r="H129" s="37"/>
      <c r="I129" s="37"/>
      <c r="J129" s="37"/>
      <c r="K129" s="37"/>
      <c r="L129" s="37"/>
      <c r="M129" s="37"/>
      <c r="N129" s="37"/>
      <c r="O129" s="37"/>
      <c r="P129" s="38"/>
      <c r="Q129" s="18"/>
      <c r="R129" s="36"/>
      <c r="S129" s="37"/>
      <c r="T129" s="37"/>
      <c r="U129" s="37"/>
      <c r="V129" s="37"/>
      <c r="W129" s="37"/>
      <c r="X129" s="37"/>
      <c r="Y129" s="37"/>
      <c r="Z129" s="37"/>
      <c r="AA129" s="38"/>
      <c r="AB129" s="52" t="e">
        <f t="shared" si="6"/>
        <v>#DIV/0!</v>
      </c>
      <c r="AC129" s="53" t="e">
        <f t="shared" si="7"/>
        <v>#DIV/0!</v>
      </c>
      <c r="AD129" s="19"/>
      <c r="AE129" s="19"/>
      <c r="AF129" s="286"/>
      <c r="AG129" s="247"/>
      <c r="AH129" s="243"/>
      <c r="AI129" s="243"/>
      <c r="AJ129" s="246"/>
      <c r="AK129" s="247"/>
      <c r="AL129" s="250"/>
      <c r="AM129" s="247"/>
      <c r="AN129" s="250"/>
      <c r="AO129" s="253"/>
      <c r="AP129" s="250"/>
    </row>
    <row r="130" spans="1:42" ht="17.100000000000001" customHeight="1" outlineLevel="4" x14ac:dyDescent="0.25">
      <c r="A130" s="222"/>
      <c r="B130" s="218" t="s">
        <v>2</v>
      </c>
      <c r="C130" s="228" t="s">
        <v>50</v>
      </c>
      <c r="D130" s="231">
        <v>59.94</v>
      </c>
      <c r="E130" s="234">
        <v>10</v>
      </c>
      <c r="F130" s="7">
        <v>23</v>
      </c>
      <c r="G130" s="31"/>
      <c r="H130" s="32"/>
      <c r="I130" s="32"/>
      <c r="J130" s="32"/>
      <c r="K130" s="32"/>
      <c r="L130" s="32"/>
      <c r="M130" s="32"/>
      <c r="N130" s="32"/>
      <c r="O130" s="32"/>
      <c r="P130" s="33"/>
      <c r="Q130" s="18"/>
      <c r="R130" s="31"/>
      <c r="S130" s="32"/>
      <c r="T130" s="32"/>
      <c r="U130" s="32"/>
      <c r="V130" s="32"/>
      <c r="W130" s="32"/>
      <c r="X130" s="32"/>
      <c r="Y130" s="32"/>
      <c r="Z130" s="32"/>
      <c r="AA130" s="33"/>
      <c r="AB130" s="48" t="e">
        <f t="shared" si="6"/>
        <v>#DIV/0!</v>
      </c>
      <c r="AC130" s="49" t="e">
        <f t="shared" si="7"/>
        <v>#DIV/0!</v>
      </c>
      <c r="AD130" s="19"/>
      <c r="AE130" s="19"/>
      <c r="AF130" s="284" t="s">
        <v>126</v>
      </c>
      <c r="AG130" s="239" t="e" cm="1">
        <f t="array" ref="AG130">bdRateExtend($G130:$G133,H130:H133,$R130:$R133,S130:S133)</f>
        <v>#VALUE!</v>
      </c>
      <c r="AH130" s="241" t="e" cm="1">
        <f t="array" ref="AH130">bdRateExtend($G130:$G135,H130:H135,$R130:$R135,S130:S135)</f>
        <v>#VALUE!</v>
      </c>
      <c r="AI130" s="241" t="e" cm="1">
        <f t="array" ref="AI130">bdRateExtend($G130:$G135,I130:I135,$R130:$R135,T130:T135)</f>
        <v>#VALUE!</v>
      </c>
      <c r="AJ130" s="244" t="e" cm="1">
        <f t="array" ref="AJ130">bdRateExtend($G130:$G135,J130:J135,$R130:$R135,U130:U135)</f>
        <v>#VALUE!</v>
      </c>
      <c r="AK130" s="239" t="e" cm="1">
        <f t="array" ref="AK130">bdRateExtend($G130:$G133,K130:K133,$R130:$R133,V130:V133)</f>
        <v>#VALUE!</v>
      </c>
      <c r="AL130" s="248" t="e" cm="1">
        <f t="array" ref="AL130">bdRateExtend($G130:$G135,K130:K135,$R130:$R135,V130:V135)</f>
        <v>#VALUE!</v>
      </c>
      <c r="AM130" s="239" t="e" cm="1">
        <f t="array" ref="AM130">bdRateExtend($G130:$G133,L130:L133,$R130:$R133,W130:W133)</f>
        <v>#VALUE!</v>
      </c>
      <c r="AN130" s="248" t="e" cm="1">
        <f t="array" ref="AN130">bdRateExtend($G130:$G135,L130:L135,$R130:$R135,W130:W135)</f>
        <v>#VALUE!</v>
      </c>
      <c r="AO130" s="254" t="e" cm="1">
        <f t="array" ref="AO130">bdRateExtend($G130:$G133,M130:M133,$R130:$R133,X130:X133)</f>
        <v>#VALUE!</v>
      </c>
      <c r="AP130" s="248" t="e" cm="1">
        <f t="array" ref="AP130">bdRateExtend($G130:$G135,M130:M135,$R130:$R135,X130:X135)</f>
        <v>#VALUE!</v>
      </c>
    </row>
    <row r="131" spans="1:42" ht="17.100000000000001" customHeight="1" outlineLevel="4" x14ac:dyDescent="0.25">
      <c r="A131" s="222"/>
      <c r="B131" s="219"/>
      <c r="C131" s="229"/>
      <c r="D131" s="232"/>
      <c r="E131" s="235"/>
      <c r="F131" s="16">
        <v>31</v>
      </c>
      <c r="G131" s="34"/>
      <c r="H131" s="39"/>
      <c r="I131" s="39"/>
      <c r="J131" s="39"/>
      <c r="K131" s="39"/>
      <c r="L131" s="39"/>
      <c r="M131" s="39"/>
      <c r="N131" s="39"/>
      <c r="O131" s="39"/>
      <c r="P131" s="35"/>
      <c r="Q131" s="18"/>
      <c r="R131" s="34"/>
      <c r="S131" s="39"/>
      <c r="T131" s="39"/>
      <c r="U131" s="39"/>
      <c r="V131" s="39"/>
      <c r="W131" s="39"/>
      <c r="X131" s="39"/>
      <c r="Y131" s="39"/>
      <c r="Z131" s="39"/>
      <c r="AA131" s="35"/>
      <c r="AB131" s="50" t="e">
        <f t="shared" si="6"/>
        <v>#DIV/0!</v>
      </c>
      <c r="AC131" s="51" t="e">
        <f t="shared" si="7"/>
        <v>#DIV/0!</v>
      </c>
      <c r="AD131" s="19"/>
      <c r="AE131" s="19"/>
      <c r="AF131" s="285"/>
      <c r="AG131" s="240"/>
      <c r="AH131" s="242"/>
      <c r="AI131" s="242"/>
      <c r="AJ131" s="245"/>
      <c r="AK131" s="240"/>
      <c r="AL131" s="249"/>
      <c r="AM131" s="240"/>
      <c r="AN131" s="249"/>
      <c r="AO131" s="252"/>
      <c r="AP131" s="249"/>
    </row>
    <row r="132" spans="1:42" ht="17.100000000000001" customHeight="1" outlineLevel="4" x14ac:dyDescent="0.25">
      <c r="A132" s="222"/>
      <c r="B132" s="219"/>
      <c r="C132" s="229"/>
      <c r="D132" s="232"/>
      <c r="E132" s="235"/>
      <c r="F132" s="16">
        <v>39</v>
      </c>
      <c r="G132" s="34"/>
      <c r="H132" s="39"/>
      <c r="I132" s="39"/>
      <c r="J132" s="39"/>
      <c r="K132" s="39"/>
      <c r="L132" s="39"/>
      <c r="M132" s="39"/>
      <c r="N132" s="39"/>
      <c r="O132" s="39"/>
      <c r="P132" s="35"/>
      <c r="Q132" s="18"/>
      <c r="R132" s="34"/>
      <c r="S132" s="39"/>
      <c r="T132" s="39"/>
      <c r="U132" s="39"/>
      <c r="V132" s="39"/>
      <c r="W132" s="39"/>
      <c r="X132" s="39"/>
      <c r="Y132" s="39"/>
      <c r="Z132" s="39"/>
      <c r="AA132" s="35"/>
      <c r="AB132" s="50" t="e">
        <f t="shared" si="6"/>
        <v>#DIV/0!</v>
      </c>
      <c r="AC132" s="51" t="e">
        <f t="shared" si="7"/>
        <v>#DIV/0!</v>
      </c>
      <c r="AD132" s="19"/>
      <c r="AE132" s="19"/>
      <c r="AF132" s="285" t="s">
        <v>127</v>
      </c>
      <c r="AG132" s="240" t="e" cm="1">
        <f t="array" ref="AG132">bdRateExtend($G131:$G134,H131:H134,$R131:$R134,S131:S134)</f>
        <v>#VALUE!</v>
      </c>
      <c r="AH132" s="242"/>
      <c r="AI132" s="242"/>
      <c r="AJ132" s="245"/>
      <c r="AK132" s="240" t="e" cm="1">
        <f t="array" ref="AK132">bdRateExtend($G131:$G134,K131:K134,$R131:$R134,V131:V134)</f>
        <v>#VALUE!</v>
      </c>
      <c r="AL132" s="249"/>
      <c r="AM132" s="240" t="e" cm="1">
        <f t="array" ref="AM132">bdRateExtend($G131:$G134,L131:L134,$R131:$R134,W131:W134)</f>
        <v>#VALUE!</v>
      </c>
      <c r="AN132" s="249"/>
      <c r="AO132" s="252" t="e" cm="1">
        <f t="array" ref="AO132">bdRateExtend($G131:$G134,M131:M134,$R131:$R134,X131:X134)</f>
        <v>#VALUE!</v>
      </c>
      <c r="AP132" s="249"/>
    </row>
    <row r="133" spans="1:42" ht="17.100000000000001" customHeight="1" outlineLevel="4" x14ac:dyDescent="0.25">
      <c r="A133" s="222"/>
      <c r="B133" s="219"/>
      <c r="C133" s="229"/>
      <c r="D133" s="232"/>
      <c r="E133" s="235"/>
      <c r="F133" s="16">
        <v>47</v>
      </c>
      <c r="G133" s="34"/>
      <c r="H133" s="39"/>
      <c r="I133" s="39"/>
      <c r="J133" s="39"/>
      <c r="K133" s="39"/>
      <c r="L133" s="39"/>
      <c r="M133" s="39"/>
      <c r="N133" s="39"/>
      <c r="O133" s="39"/>
      <c r="P133" s="35"/>
      <c r="Q133" s="18"/>
      <c r="R133" s="34"/>
      <c r="S133" s="39"/>
      <c r="T133" s="39"/>
      <c r="U133" s="39"/>
      <c r="V133" s="39"/>
      <c r="W133" s="39"/>
      <c r="X133" s="39"/>
      <c r="Y133" s="39"/>
      <c r="Z133" s="39"/>
      <c r="AA133" s="35"/>
      <c r="AB133" s="50" t="e">
        <f t="shared" si="6"/>
        <v>#DIV/0!</v>
      </c>
      <c r="AC133" s="51" t="e">
        <f t="shared" si="7"/>
        <v>#DIV/0!</v>
      </c>
      <c r="AD133" s="19"/>
      <c r="AE133" s="19"/>
      <c r="AF133" s="285"/>
      <c r="AG133" s="240"/>
      <c r="AH133" s="242"/>
      <c r="AI133" s="242"/>
      <c r="AJ133" s="245"/>
      <c r="AK133" s="240"/>
      <c r="AL133" s="249"/>
      <c r="AM133" s="240"/>
      <c r="AN133" s="249"/>
      <c r="AO133" s="252"/>
      <c r="AP133" s="249"/>
    </row>
    <row r="134" spans="1:42" ht="17.100000000000001" customHeight="1" outlineLevel="4" x14ac:dyDescent="0.25">
      <c r="A134" s="222"/>
      <c r="B134" s="219"/>
      <c r="C134" s="229"/>
      <c r="D134" s="232"/>
      <c r="E134" s="235"/>
      <c r="F134" s="16">
        <v>55</v>
      </c>
      <c r="G134" s="34"/>
      <c r="H134" s="39"/>
      <c r="I134" s="39"/>
      <c r="J134" s="39"/>
      <c r="K134" s="39"/>
      <c r="L134" s="39"/>
      <c r="M134" s="39"/>
      <c r="N134" s="39"/>
      <c r="O134" s="39"/>
      <c r="P134" s="35"/>
      <c r="Q134" s="18"/>
      <c r="R134" s="34"/>
      <c r="S134" s="39"/>
      <c r="T134" s="39"/>
      <c r="U134" s="39"/>
      <c r="V134" s="39"/>
      <c r="W134" s="39"/>
      <c r="X134" s="39"/>
      <c r="Y134" s="39"/>
      <c r="Z134" s="39"/>
      <c r="AA134" s="35"/>
      <c r="AB134" s="50" t="e">
        <f t="shared" si="6"/>
        <v>#DIV/0!</v>
      </c>
      <c r="AC134" s="51" t="e">
        <f t="shared" si="7"/>
        <v>#DIV/0!</v>
      </c>
      <c r="AD134" s="19"/>
      <c r="AE134" s="19"/>
      <c r="AF134" s="285" t="s">
        <v>128</v>
      </c>
      <c r="AG134" s="240" t="e" cm="1">
        <f t="array" ref="AG134">bdRateExtend($G132:$G135,H132:H135,$R132:$R135,S132:S135)</f>
        <v>#VALUE!</v>
      </c>
      <c r="AH134" s="242"/>
      <c r="AI134" s="242"/>
      <c r="AJ134" s="245"/>
      <c r="AK134" s="240" t="e" cm="1">
        <f t="array" ref="AK134">bdRateExtend($G132:$G135,K132:K135,$R132:$R135,V132:V135)</f>
        <v>#VALUE!</v>
      </c>
      <c r="AL134" s="249"/>
      <c r="AM134" s="240" t="e" cm="1">
        <f t="array" ref="AM134">bdRateExtend($G132:$G135,L132:L135,$R132:$R135,W132:W135)</f>
        <v>#VALUE!</v>
      </c>
      <c r="AN134" s="249"/>
      <c r="AO134" s="252" t="e" cm="1">
        <f t="array" ref="AO134">bdRateExtend($G132:$G135,M132:M135,$R132:$R135,X132:X135)</f>
        <v>#VALUE!</v>
      </c>
      <c r="AP134" s="249"/>
    </row>
    <row r="135" spans="1:42" ht="17.100000000000001" customHeight="1" outlineLevel="4" thickBot="1" x14ac:dyDescent="0.3">
      <c r="A135" s="222"/>
      <c r="B135" s="220"/>
      <c r="C135" s="230"/>
      <c r="D135" s="233"/>
      <c r="E135" s="236"/>
      <c r="F135" s="9">
        <v>63</v>
      </c>
      <c r="G135" s="36"/>
      <c r="H135" s="37"/>
      <c r="I135" s="37"/>
      <c r="J135" s="37"/>
      <c r="K135" s="37"/>
      <c r="L135" s="37"/>
      <c r="M135" s="37"/>
      <c r="N135" s="37"/>
      <c r="O135" s="37"/>
      <c r="P135" s="38"/>
      <c r="Q135" s="18"/>
      <c r="R135" s="36"/>
      <c r="S135" s="37"/>
      <c r="T135" s="37"/>
      <c r="U135" s="37"/>
      <c r="V135" s="37"/>
      <c r="W135" s="37"/>
      <c r="X135" s="37"/>
      <c r="Y135" s="37"/>
      <c r="Z135" s="37"/>
      <c r="AA135" s="38"/>
      <c r="AB135" s="52" t="e">
        <f t="shared" si="6"/>
        <v>#DIV/0!</v>
      </c>
      <c r="AC135" s="53" t="e">
        <f t="shared" si="7"/>
        <v>#DIV/0!</v>
      </c>
      <c r="AD135" s="19"/>
      <c r="AE135" s="19"/>
      <c r="AF135" s="286"/>
      <c r="AG135" s="247"/>
      <c r="AH135" s="243"/>
      <c r="AI135" s="243"/>
      <c r="AJ135" s="246"/>
      <c r="AK135" s="247"/>
      <c r="AL135" s="250"/>
      <c r="AM135" s="247"/>
      <c r="AN135" s="250"/>
      <c r="AO135" s="253"/>
      <c r="AP135" s="250"/>
    </row>
    <row r="136" spans="1:42" ht="17.100000000000001" customHeight="1" outlineLevel="4" x14ac:dyDescent="0.25">
      <c r="A136" s="222"/>
      <c r="B136" s="218" t="s">
        <v>94</v>
      </c>
      <c r="C136" s="228" t="s">
        <v>51</v>
      </c>
      <c r="D136" s="231">
        <v>29.97</v>
      </c>
      <c r="E136" s="234" t="s">
        <v>23</v>
      </c>
      <c r="F136" s="7">
        <v>23</v>
      </c>
      <c r="G136" s="31"/>
      <c r="H136" s="32"/>
      <c r="I136" s="32"/>
      <c r="J136" s="32"/>
      <c r="K136" s="32"/>
      <c r="L136" s="32"/>
      <c r="M136" s="32"/>
      <c r="N136" s="32"/>
      <c r="O136" s="32"/>
      <c r="P136" s="33"/>
      <c r="Q136" s="18"/>
      <c r="R136" s="31"/>
      <c r="S136" s="32"/>
      <c r="T136" s="32"/>
      <c r="U136" s="32"/>
      <c r="V136" s="32"/>
      <c r="W136" s="32"/>
      <c r="X136" s="32"/>
      <c r="Y136" s="32"/>
      <c r="Z136" s="32"/>
      <c r="AA136" s="33"/>
      <c r="AB136" s="48" t="e">
        <f t="shared" si="6"/>
        <v>#DIV/0!</v>
      </c>
      <c r="AC136" s="49" t="e">
        <f t="shared" si="7"/>
        <v>#DIV/0!</v>
      </c>
      <c r="AD136" s="19"/>
      <c r="AE136" s="19"/>
      <c r="AF136" s="284" t="s">
        <v>126</v>
      </c>
      <c r="AG136" s="239" t="e" cm="1">
        <f t="array" ref="AG136">bdRateExtend($G136:$G139,H136:H139,$R136:$R139,S136:S139)</f>
        <v>#VALUE!</v>
      </c>
      <c r="AH136" s="241" t="e" cm="1">
        <f t="array" ref="AH136">bdRateExtend($G136:$G141,H136:H141,$R136:$R141,S136:S141)</f>
        <v>#VALUE!</v>
      </c>
      <c r="AI136" s="241" t="e" cm="1">
        <f t="array" ref="AI136">bdRateExtend($G136:$G141,I136:I141,$R136:$R141,T136:T141)</f>
        <v>#VALUE!</v>
      </c>
      <c r="AJ136" s="244" t="e" cm="1">
        <f t="array" ref="AJ136">bdRateExtend($G136:$G141,J136:J141,$R136:$R141,U136:U141)</f>
        <v>#VALUE!</v>
      </c>
      <c r="AK136" s="239" t="e" cm="1">
        <f t="array" ref="AK136">bdRateExtend($G136:$G139,K136:K139,$R136:$R139,V136:V139)</f>
        <v>#VALUE!</v>
      </c>
      <c r="AL136" s="248" t="e" cm="1">
        <f t="array" ref="AL136">bdRateExtend($G136:$G141,K136:K141,$R136:$R141,V136:V141)</f>
        <v>#VALUE!</v>
      </c>
      <c r="AM136" s="239" t="e" cm="1">
        <f t="array" ref="AM136">bdRateExtend($G136:$G139,L136:L139,$R136:$R139,W136:W139)</f>
        <v>#VALUE!</v>
      </c>
      <c r="AN136" s="248" t="e" cm="1">
        <f t="array" ref="AN136">bdRateExtend($G136:$G141,L136:L141,$R136:$R141,W136:W141)</f>
        <v>#VALUE!</v>
      </c>
      <c r="AO136" s="254" t="e" cm="1">
        <f t="array" ref="AO136">bdRateExtend($G136:$G139,M136:M139,$R136:$R139,X136:X139)</f>
        <v>#VALUE!</v>
      </c>
      <c r="AP136" s="248" t="e" cm="1">
        <f t="array" ref="AP136">bdRateExtend($G136:$G141,M136:M141,$R136:$R141,X136:X141)</f>
        <v>#VALUE!</v>
      </c>
    </row>
    <row r="137" spans="1:42" ht="17.100000000000001" customHeight="1" outlineLevel="4" x14ac:dyDescent="0.25">
      <c r="A137" s="222"/>
      <c r="B137" s="219"/>
      <c r="C137" s="229"/>
      <c r="D137" s="232"/>
      <c r="E137" s="235"/>
      <c r="F137" s="16">
        <v>31</v>
      </c>
      <c r="G137" s="34"/>
      <c r="H137" s="39"/>
      <c r="I137" s="39"/>
      <c r="J137" s="39"/>
      <c r="K137" s="39"/>
      <c r="L137" s="39"/>
      <c r="M137" s="39"/>
      <c r="N137" s="39"/>
      <c r="O137" s="39"/>
      <c r="P137" s="35"/>
      <c r="Q137" s="18"/>
      <c r="R137" s="34"/>
      <c r="S137" s="39"/>
      <c r="T137" s="39"/>
      <c r="U137" s="39"/>
      <c r="V137" s="39"/>
      <c r="W137" s="39"/>
      <c r="X137" s="39"/>
      <c r="Y137" s="39"/>
      <c r="Z137" s="39"/>
      <c r="AA137" s="35"/>
      <c r="AB137" s="50" t="e">
        <f t="shared" si="6"/>
        <v>#DIV/0!</v>
      </c>
      <c r="AC137" s="51" t="e">
        <f t="shared" si="7"/>
        <v>#DIV/0!</v>
      </c>
      <c r="AD137" s="19"/>
      <c r="AE137" s="19"/>
      <c r="AF137" s="285"/>
      <c r="AG137" s="240"/>
      <c r="AH137" s="242"/>
      <c r="AI137" s="242"/>
      <c r="AJ137" s="245"/>
      <c r="AK137" s="240"/>
      <c r="AL137" s="249"/>
      <c r="AM137" s="240"/>
      <c r="AN137" s="249"/>
      <c r="AO137" s="252"/>
      <c r="AP137" s="249"/>
    </row>
    <row r="138" spans="1:42" ht="17.100000000000001" customHeight="1" outlineLevel="4" x14ac:dyDescent="0.25">
      <c r="A138" s="222"/>
      <c r="B138" s="219"/>
      <c r="C138" s="229"/>
      <c r="D138" s="232"/>
      <c r="E138" s="235"/>
      <c r="F138" s="16">
        <v>39</v>
      </c>
      <c r="G138" s="34"/>
      <c r="H138" s="39"/>
      <c r="I138" s="39"/>
      <c r="J138" s="39"/>
      <c r="K138" s="39"/>
      <c r="L138" s="39"/>
      <c r="M138" s="39"/>
      <c r="N138" s="39"/>
      <c r="O138" s="39"/>
      <c r="P138" s="35"/>
      <c r="Q138" s="18"/>
      <c r="R138" s="34"/>
      <c r="S138" s="39"/>
      <c r="T138" s="39"/>
      <c r="U138" s="39"/>
      <c r="V138" s="39"/>
      <c r="W138" s="39"/>
      <c r="X138" s="39"/>
      <c r="Y138" s="39"/>
      <c r="Z138" s="39"/>
      <c r="AA138" s="35"/>
      <c r="AB138" s="50" t="e">
        <f t="shared" ref="AB138:AB165" si="8">Y138/N138</f>
        <v>#DIV/0!</v>
      </c>
      <c r="AC138" s="51" t="e">
        <f t="shared" ref="AC138:AC165" si="9">Z138/O138</f>
        <v>#DIV/0!</v>
      </c>
      <c r="AD138" s="19"/>
      <c r="AE138" s="19"/>
      <c r="AF138" s="285" t="s">
        <v>127</v>
      </c>
      <c r="AG138" s="240" t="e" cm="1">
        <f t="array" ref="AG138">bdRateExtend($G137:$G140,H137:H140,$R137:$R140,S137:S140)</f>
        <v>#VALUE!</v>
      </c>
      <c r="AH138" s="242"/>
      <c r="AI138" s="242"/>
      <c r="AJ138" s="245"/>
      <c r="AK138" s="240" t="e" cm="1">
        <f t="array" ref="AK138">bdRateExtend($G137:$G140,K137:K140,$R137:$R140,V137:V140)</f>
        <v>#VALUE!</v>
      </c>
      <c r="AL138" s="249"/>
      <c r="AM138" s="240" t="e" cm="1">
        <f t="array" ref="AM138">bdRateExtend($G137:$G140,L137:L140,$R137:$R140,W137:W140)</f>
        <v>#VALUE!</v>
      </c>
      <c r="AN138" s="249"/>
      <c r="AO138" s="252" t="e" cm="1">
        <f t="array" ref="AO138">bdRateExtend($G137:$G140,M137:M140,$R137:$R140,X137:X140)</f>
        <v>#VALUE!</v>
      </c>
      <c r="AP138" s="249"/>
    </row>
    <row r="139" spans="1:42" ht="17.100000000000001" customHeight="1" outlineLevel="4" x14ac:dyDescent="0.25">
      <c r="A139" s="222"/>
      <c r="B139" s="219"/>
      <c r="C139" s="229"/>
      <c r="D139" s="232"/>
      <c r="E139" s="235"/>
      <c r="F139" s="16">
        <v>47</v>
      </c>
      <c r="G139" s="34"/>
      <c r="H139" s="39"/>
      <c r="I139" s="39"/>
      <c r="J139" s="39"/>
      <c r="K139" s="39"/>
      <c r="L139" s="39"/>
      <c r="M139" s="39"/>
      <c r="N139" s="39"/>
      <c r="O139" s="39"/>
      <c r="P139" s="35"/>
      <c r="Q139" s="18"/>
      <c r="R139" s="34"/>
      <c r="S139" s="39"/>
      <c r="T139" s="39"/>
      <c r="U139" s="39"/>
      <c r="V139" s="39"/>
      <c r="W139" s="39"/>
      <c r="X139" s="39"/>
      <c r="Y139" s="39"/>
      <c r="Z139" s="39"/>
      <c r="AA139" s="35"/>
      <c r="AB139" s="50" t="e">
        <f t="shared" si="8"/>
        <v>#DIV/0!</v>
      </c>
      <c r="AC139" s="51" t="e">
        <f t="shared" si="9"/>
        <v>#DIV/0!</v>
      </c>
      <c r="AD139" s="19"/>
      <c r="AE139" s="19"/>
      <c r="AF139" s="285"/>
      <c r="AG139" s="240"/>
      <c r="AH139" s="242"/>
      <c r="AI139" s="242"/>
      <c r="AJ139" s="245"/>
      <c r="AK139" s="240"/>
      <c r="AL139" s="249"/>
      <c r="AM139" s="240"/>
      <c r="AN139" s="249"/>
      <c r="AO139" s="252"/>
      <c r="AP139" s="249"/>
    </row>
    <row r="140" spans="1:42" ht="17.100000000000001" customHeight="1" outlineLevel="4" x14ac:dyDescent="0.25">
      <c r="A140" s="222"/>
      <c r="B140" s="219"/>
      <c r="C140" s="229"/>
      <c r="D140" s="232"/>
      <c r="E140" s="235"/>
      <c r="F140" s="16">
        <v>55</v>
      </c>
      <c r="G140" s="34"/>
      <c r="H140" s="39"/>
      <c r="I140" s="39"/>
      <c r="J140" s="39"/>
      <c r="K140" s="39"/>
      <c r="L140" s="39"/>
      <c r="M140" s="39"/>
      <c r="N140" s="39"/>
      <c r="O140" s="39"/>
      <c r="P140" s="35"/>
      <c r="Q140" s="18"/>
      <c r="R140" s="34"/>
      <c r="S140" s="39"/>
      <c r="T140" s="39"/>
      <c r="U140" s="39"/>
      <c r="V140" s="39"/>
      <c r="W140" s="39"/>
      <c r="X140" s="39"/>
      <c r="Y140" s="39"/>
      <c r="Z140" s="39"/>
      <c r="AA140" s="35"/>
      <c r="AB140" s="50" t="e">
        <f t="shared" si="8"/>
        <v>#DIV/0!</v>
      </c>
      <c r="AC140" s="51" t="e">
        <f t="shared" si="9"/>
        <v>#DIV/0!</v>
      </c>
      <c r="AD140" s="19"/>
      <c r="AE140" s="19"/>
      <c r="AF140" s="285" t="s">
        <v>128</v>
      </c>
      <c r="AG140" s="240" t="e" cm="1">
        <f t="array" ref="AG140">bdRateExtend($G138:$G141,H138:H141,$R138:$R141,S138:S141)</f>
        <v>#VALUE!</v>
      </c>
      <c r="AH140" s="242"/>
      <c r="AI140" s="242"/>
      <c r="AJ140" s="245"/>
      <c r="AK140" s="240" t="e" cm="1">
        <f t="array" ref="AK140">bdRateExtend($G138:$G141,K138:K141,$R138:$R141,V138:V141)</f>
        <v>#VALUE!</v>
      </c>
      <c r="AL140" s="249"/>
      <c r="AM140" s="240" t="e" cm="1">
        <f t="array" ref="AM140">bdRateExtend($G138:$G141,L138:L141,$R138:$R141,W138:W141)</f>
        <v>#VALUE!</v>
      </c>
      <c r="AN140" s="249"/>
      <c r="AO140" s="252" t="e" cm="1">
        <f t="array" ref="AO140">bdRateExtend($G138:$G141,M138:M141,$R138:$R141,X138:X141)</f>
        <v>#VALUE!</v>
      </c>
      <c r="AP140" s="249"/>
    </row>
    <row r="141" spans="1:42" ht="17.100000000000001" customHeight="1" outlineLevel="4" thickBot="1" x14ac:dyDescent="0.3">
      <c r="A141" s="222"/>
      <c r="B141" s="220"/>
      <c r="C141" s="230"/>
      <c r="D141" s="233"/>
      <c r="E141" s="236"/>
      <c r="F141" s="9">
        <v>63</v>
      </c>
      <c r="G141" s="36"/>
      <c r="H141" s="37"/>
      <c r="I141" s="37"/>
      <c r="J141" s="37"/>
      <c r="K141" s="37"/>
      <c r="L141" s="37"/>
      <c r="M141" s="37"/>
      <c r="N141" s="37"/>
      <c r="O141" s="37"/>
      <c r="P141" s="38"/>
      <c r="Q141" s="18"/>
      <c r="R141" s="36"/>
      <c r="S141" s="37"/>
      <c r="T141" s="37"/>
      <c r="U141" s="37"/>
      <c r="V141" s="37"/>
      <c r="W141" s="37"/>
      <c r="X141" s="37"/>
      <c r="Y141" s="37"/>
      <c r="Z141" s="37"/>
      <c r="AA141" s="38"/>
      <c r="AB141" s="52" t="e">
        <f t="shared" si="8"/>
        <v>#DIV/0!</v>
      </c>
      <c r="AC141" s="53" t="e">
        <f t="shared" si="9"/>
        <v>#DIV/0!</v>
      </c>
      <c r="AD141" s="19"/>
      <c r="AE141" s="19"/>
      <c r="AF141" s="286"/>
      <c r="AG141" s="247"/>
      <c r="AH141" s="243"/>
      <c r="AI141" s="243"/>
      <c r="AJ141" s="246"/>
      <c r="AK141" s="247"/>
      <c r="AL141" s="250"/>
      <c r="AM141" s="247"/>
      <c r="AN141" s="250"/>
      <c r="AO141" s="253"/>
      <c r="AP141" s="250"/>
    </row>
    <row r="142" spans="1:42" ht="17.100000000000001" customHeight="1" outlineLevel="4" x14ac:dyDescent="0.25">
      <c r="A142" s="222"/>
      <c r="B142" s="218" t="s">
        <v>94</v>
      </c>
      <c r="C142" s="228" t="s">
        <v>52</v>
      </c>
      <c r="D142" s="231">
        <v>59.94</v>
      </c>
      <c r="E142" s="234" t="s">
        <v>23</v>
      </c>
      <c r="F142" s="7">
        <v>23</v>
      </c>
      <c r="G142" s="31"/>
      <c r="H142" s="32"/>
      <c r="I142" s="32"/>
      <c r="J142" s="32"/>
      <c r="K142" s="32"/>
      <c r="L142" s="32"/>
      <c r="M142" s="32"/>
      <c r="N142" s="32"/>
      <c r="O142" s="32"/>
      <c r="P142" s="33"/>
      <c r="Q142" s="18"/>
      <c r="R142" s="31"/>
      <c r="S142" s="32"/>
      <c r="T142" s="32"/>
      <c r="U142" s="32"/>
      <c r="V142" s="32"/>
      <c r="W142" s="32"/>
      <c r="X142" s="32"/>
      <c r="Y142" s="32"/>
      <c r="Z142" s="32"/>
      <c r="AA142" s="33"/>
      <c r="AB142" s="48" t="e">
        <f t="shared" si="8"/>
        <v>#DIV/0!</v>
      </c>
      <c r="AC142" s="49" t="e">
        <f t="shared" si="9"/>
        <v>#DIV/0!</v>
      </c>
      <c r="AD142" s="19"/>
      <c r="AE142" s="19"/>
      <c r="AF142" s="284" t="s">
        <v>126</v>
      </c>
      <c r="AG142" s="239" t="e" cm="1">
        <f t="array" ref="AG142">bdRateExtend($G142:$G145,H142:H145,$R142:$R145,S142:S145)</f>
        <v>#VALUE!</v>
      </c>
      <c r="AH142" s="241" t="e" cm="1">
        <f t="array" ref="AH142">bdRateExtend($G142:$G147,H142:H147,$R142:$R147,S142:S147)</f>
        <v>#VALUE!</v>
      </c>
      <c r="AI142" s="241" t="e" cm="1">
        <f t="array" ref="AI142">bdRateExtend($G142:$G147,I142:I147,$R142:$R147,T142:T147)</f>
        <v>#VALUE!</v>
      </c>
      <c r="AJ142" s="244" t="e" cm="1">
        <f t="array" ref="AJ142">bdRateExtend($G142:$G147,J142:J147,$R142:$R147,U142:U147)</f>
        <v>#VALUE!</v>
      </c>
      <c r="AK142" s="239" t="e" cm="1">
        <f t="array" ref="AK142">bdRateExtend($G142:$G145,K142:K145,$R142:$R145,V142:V145)</f>
        <v>#VALUE!</v>
      </c>
      <c r="AL142" s="248" t="e" cm="1">
        <f t="array" ref="AL142">bdRateExtend($G142:$G147,K142:K147,$R142:$R147,V142:V147)</f>
        <v>#VALUE!</v>
      </c>
      <c r="AM142" s="239" t="e" cm="1">
        <f t="array" ref="AM142">bdRateExtend($G142:$G145,L142:L145,$R142:$R145,W142:W145)</f>
        <v>#VALUE!</v>
      </c>
      <c r="AN142" s="248" t="e" cm="1">
        <f t="array" ref="AN142">bdRateExtend($G142:$G147,L142:L147,$R142:$R147,W142:W147)</f>
        <v>#VALUE!</v>
      </c>
      <c r="AO142" s="254" t="e" cm="1">
        <f t="array" ref="AO142">bdRateExtend($G142:$G145,M142:M145,$R142:$R145,X142:X145)</f>
        <v>#VALUE!</v>
      </c>
      <c r="AP142" s="248" t="e" cm="1">
        <f t="array" ref="AP142">bdRateExtend($G142:$G147,M142:M147,$R142:$R147,X142:X147)</f>
        <v>#VALUE!</v>
      </c>
    </row>
    <row r="143" spans="1:42" ht="17.100000000000001" customHeight="1" outlineLevel="4" x14ac:dyDescent="0.25">
      <c r="A143" s="222"/>
      <c r="B143" s="219"/>
      <c r="C143" s="229"/>
      <c r="D143" s="232"/>
      <c r="E143" s="235"/>
      <c r="F143" s="16">
        <v>31</v>
      </c>
      <c r="G143" s="34"/>
      <c r="H143" s="39"/>
      <c r="I143" s="39"/>
      <c r="J143" s="39"/>
      <c r="K143" s="39"/>
      <c r="L143" s="39"/>
      <c r="M143" s="39"/>
      <c r="N143" s="39"/>
      <c r="O143" s="39"/>
      <c r="P143" s="35"/>
      <c r="Q143" s="18"/>
      <c r="R143" s="34"/>
      <c r="S143" s="39"/>
      <c r="T143" s="39"/>
      <c r="U143" s="39"/>
      <c r="V143" s="39"/>
      <c r="W143" s="39"/>
      <c r="X143" s="39"/>
      <c r="Y143" s="39"/>
      <c r="Z143" s="39"/>
      <c r="AA143" s="35"/>
      <c r="AB143" s="50" t="e">
        <f t="shared" si="8"/>
        <v>#DIV/0!</v>
      </c>
      <c r="AC143" s="51" t="e">
        <f t="shared" si="9"/>
        <v>#DIV/0!</v>
      </c>
      <c r="AD143" s="19"/>
      <c r="AE143" s="19"/>
      <c r="AF143" s="285"/>
      <c r="AG143" s="240"/>
      <c r="AH143" s="242"/>
      <c r="AI143" s="242"/>
      <c r="AJ143" s="245"/>
      <c r="AK143" s="240"/>
      <c r="AL143" s="249"/>
      <c r="AM143" s="240"/>
      <c r="AN143" s="249"/>
      <c r="AO143" s="252"/>
      <c r="AP143" s="249"/>
    </row>
    <row r="144" spans="1:42" ht="17.100000000000001" customHeight="1" outlineLevel="4" x14ac:dyDescent="0.25">
      <c r="A144" s="222"/>
      <c r="B144" s="219"/>
      <c r="C144" s="229"/>
      <c r="D144" s="232"/>
      <c r="E144" s="235"/>
      <c r="F144" s="16">
        <v>39</v>
      </c>
      <c r="G144" s="34"/>
      <c r="H144" s="39"/>
      <c r="I144" s="39"/>
      <c r="J144" s="39"/>
      <c r="K144" s="39"/>
      <c r="L144" s="39"/>
      <c r="M144" s="39"/>
      <c r="N144" s="39"/>
      <c r="O144" s="39"/>
      <c r="P144" s="35"/>
      <c r="Q144" s="18"/>
      <c r="R144" s="34"/>
      <c r="S144" s="39"/>
      <c r="T144" s="39"/>
      <c r="U144" s="39"/>
      <c r="V144" s="39"/>
      <c r="W144" s="39"/>
      <c r="X144" s="39"/>
      <c r="Y144" s="39"/>
      <c r="Z144" s="39"/>
      <c r="AA144" s="35"/>
      <c r="AB144" s="50" t="e">
        <f t="shared" si="8"/>
        <v>#DIV/0!</v>
      </c>
      <c r="AC144" s="51" t="e">
        <f t="shared" si="9"/>
        <v>#DIV/0!</v>
      </c>
      <c r="AD144" s="19"/>
      <c r="AE144" s="19"/>
      <c r="AF144" s="285" t="s">
        <v>127</v>
      </c>
      <c r="AG144" s="240" t="e" cm="1">
        <f t="array" ref="AG144">bdRateExtend($G143:$G146,H143:H146,$R143:$R146,S143:S146)</f>
        <v>#VALUE!</v>
      </c>
      <c r="AH144" s="242"/>
      <c r="AI144" s="242"/>
      <c r="AJ144" s="245"/>
      <c r="AK144" s="240" t="e" cm="1">
        <f t="array" ref="AK144">bdRateExtend($G143:$G146,K143:K146,$R143:$R146,V143:V146)</f>
        <v>#VALUE!</v>
      </c>
      <c r="AL144" s="249"/>
      <c r="AM144" s="240" t="e" cm="1">
        <f t="array" ref="AM144">bdRateExtend($G143:$G146,L143:L146,$R143:$R146,W143:W146)</f>
        <v>#VALUE!</v>
      </c>
      <c r="AN144" s="249"/>
      <c r="AO144" s="252" t="e" cm="1">
        <f t="array" ref="AO144">bdRateExtend($G143:$G146,M143:M146,$R143:$R146,X143:X146)</f>
        <v>#VALUE!</v>
      </c>
      <c r="AP144" s="249"/>
    </row>
    <row r="145" spans="1:42" ht="17.100000000000001" customHeight="1" outlineLevel="4" x14ac:dyDescent="0.25">
      <c r="A145" s="222"/>
      <c r="B145" s="219"/>
      <c r="C145" s="229"/>
      <c r="D145" s="232"/>
      <c r="E145" s="235"/>
      <c r="F145" s="16">
        <v>47</v>
      </c>
      <c r="G145" s="34"/>
      <c r="H145" s="39"/>
      <c r="I145" s="39"/>
      <c r="J145" s="39"/>
      <c r="K145" s="39"/>
      <c r="L145" s="39"/>
      <c r="M145" s="39"/>
      <c r="N145" s="39"/>
      <c r="O145" s="39"/>
      <c r="P145" s="35"/>
      <c r="Q145" s="18"/>
      <c r="R145" s="34"/>
      <c r="S145" s="39"/>
      <c r="T145" s="39"/>
      <c r="U145" s="39"/>
      <c r="V145" s="39"/>
      <c r="W145" s="39"/>
      <c r="X145" s="39"/>
      <c r="Y145" s="39"/>
      <c r="Z145" s="39"/>
      <c r="AA145" s="35"/>
      <c r="AB145" s="50" t="e">
        <f t="shared" si="8"/>
        <v>#DIV/0!</v>
      </c>
      <c r="AC145" s="51" t="e">
        <f t="shared" si="9"/>
        <v>#DIV/0!</v>
      </c>
      <c r="AD145" s="19"/>
      <c r="AE145" s="19"/>
      <c r="AF145" s="285"/>
      <c r="AG145" s="240"/>
      <c r="AH145" s="242"/>
      <c r="AI145" s="242"/>
      <c r="AJ145" s="245"/>
      <c r="AK145" s="240"/>
      <c r="AL145" s="249"/>
      <c r="AM145" s="240"/>
      <c r="AN145" s="249"/>
      <c r="AO145" s="252"/>
      <c r="AP145" s="249"/>
    </row>
    <row r="146" spans="1:42" ht="17.100000000000001" customHeight="1" outlineLevel="4" x14ac:dyDescent="0.25">
      <c r="A146" s="222"/>
      <c r="B146" s="219"/>
      <c r="C146" s="229"/>
      <c r="D146" s="232"/>
      <c r="E146" s="235"/>
      <c r="F146" s="16">
        <v>55</v>
      </c>
      <c r="G146" s="34"/>
      <c r="H146" s="39"/>
      <c r="I146" s="39"/>
      <c r="J146" s="39"/>
      <c r="K146" s="39"/>
      <c r="L146" s="39"/>
      <c r="M146" s="39"/>
      <c r="N146" s="39"/>
      <c r="O146" s="39"/>
      <c r="P146" s="35"/>
      <c r="Q146" s="18"/>
      <c r="R146" s="34"/>
      <c r="S146" s="39"/>
      <c r="T146" s="39"/>
      <c r="U146" s="39"/>
      <c r="V146" s="39"/>
      <c r="W146" s="39"/>
      <c r="X146" s="39"/>
      <c r="Y146" s="39"/>
      <c r="Z146" s="39"/>
      <c r="AA146" s="35"/>
      <c r="AB146" s="50" t="e">
        <f t="shared" si="8"/>
        <v>#DIV/0!</v>
      </c>
      <c r="AC146" s="51" t="e">
        <f t="shared" si="9"/>
        <v>#DIV/0!</v>
      </c>
      <c r="AD146" s="19"/>
      <c r="AE146" s="19"/>
      <c r="AF146" s="285" t="s">
        <v>128</v>
      </c>
      <c r="AG146" s="240" t="e" cm="1">
        <f t="array" ref="AG146">bdRateExtend($G144:$G147,H144:H147,$R144:$R147,S144:S147)</f>
        <v>#VALUE!</v>
      </c>
      <c r="AH146" s="242"/>
      <c r="AI146" s="242"/>
      <c r="AJ146" s="245"/>
      <c r="AK146" s="240" t="e" cm="1">
        <f t="array" ref="AK146">bdRateExtend($G144:$G147,K144:K147,$R144:$R147,V144:V147)</f>
        <v>#VALUE!</v>
      </c>
      <c r="AL146" s="249"/>
      <c r="AM146" s="240" t="e" cm="1">
        <f t="array" ref="AM146">bdRateExtend($G144:$G147,L144:L147,$R144:$R147,W144:W147)</f>
        <v>#VALUE!</v>
      </c>
      <c r="AN146" s="249"/>
      <c r="AO146" s="252" t="e" cm="1">
        <f t="array" ref="AO146">bdRateExtend($G144:$G147,M144:M147,$R144:$R147,X144:X147)</f>
        <v>#VALUE!</v>
      </c>
      <c r="AP146" s="249"/>
    </row>
    <row r="147" spans="1:42" ht="17.100000000000001" customHeight="1" outlineLevel="4" thickBot="1" x14ac:dyDescent="0.3">
      <c r="A147" s="222"/>
      <c r="B147" s="220"/>
      <c r="C147" s="230"/>
      <c r="D147" s="233"/>
      <c r="E147" s="236"/>
      <c r="F147" s="9">
        <v>63</v>
      </c>
      <c r="G147" s="36"/>
      <c r="H147" s="37"/>
      <c r="I147" s="37"/>
      <c r="J147" s="37"/>
      <c r="K147" s="37"/>
      <c r="L147" s="37"/>
      <c r="M147" s="37"/>
      <c r="N147" s="37"/>
      <c r="O147" s="37"/>
      <c r="P147" s="38"/>
      <c r="Q147" s="18"/>
      <c r="R147" s="36"/>
      <c r="S147" s="37"/>
      <c r="T147" s="37"/>
      <c r="U147" s="37"/>
      <c r="V147" s="37"/>
      <c r="W147" s="37"/>
      <c r="X147" s="37"/>
      <c r="Y147" s="37"/>
      <c r="Z147" s="37"/>
      <c r="AA147" s="38"/>
      <c r="AB147" s="52" t="e">
        <f t="shared" si="8"/>
        <v>#DIV/0!</v>
      </c>
      <c r="AC147" s="53" t="e">
        <f t="shared" si="9"/>
        <v>#DIV/0!</v>
      </c>
      <c r="AD147" s="19"/>
      <c r="AE147" s="19"/>
      <c r="AF147" s="286"/>
      <c r="AG147" s="247"/>
      <c r="AH147" s="243"/>
      <c r="AI147" s="243"/>
      <c r="AJ147" s="246"/>
      <c r="AK147" s="247"/>
      <c r="AL147" s="250"/>
      <c r="AM147" s="247"/>
      <c r="AN147" s="250"/>
      <c r="AO147" s="253"/>
      <c r="AP147" s="250"/>
    </row>
    <row r="148" spans="1:42" ht="17.100000000000001" customHeight="1" outlineLevel="4" x14ac:dyDescent="0.25">
      <c r="A148" s="222"/>
      <c r="B148" s="218" t="s">
        <v>2</v>
      </c>
      <c r="C148" s="228" t="s">
        <v>53</v>
      </c>
      <c r="D148" s="231">
        <v>30</v>
      </c>
      <c r="E148" s="234" t="s">
        <v>23</v>
      </c>
      <c r="F148" s="7">
        <v>23</v>
      </c>
      <c r="G148" s="31"/>
      <c r="H148" s="32"/>
      <c r="I148" s="32"/>
      <c r="J148" s="32"/>
      <c r="K148" s="32"/>
      <c r="L148" s="32"/>
      <c r="M148" s="32"/>
      <c r="N148" s="32"/>
      <c r="O148" s="32"/>
      <c r="P148" s="33"/>
      <c r="Q148" s="18"/>
      <c r="R148" s="31"/>
      <c r="S148" s="32"/>
      <c r="T148" s="32"/>
      <c r="U148" s="32"/>
      <c r="V148" s="32"/>
      <c r="W148" s="32"/>
      <c r="X148" s="32"/>
      <c r="Y148" s="32"/>
      <c r="Z148" s="32"/>
      <c r="AA148" s="33"/>
      <c r="AB148" s="48" t="e">
        <f t="shared" si="8"/>
        <v>#DIV/0!</v>
      </c>
      <c r="AC148" s="49" t="e">
        <f t="shared" si="9"/>
        <v>#DIV/0!</v>
      </c>
      <c r="AD148" s="19"/>
      <c r="AE148" s="19"/>
      <c r="AF148" s="284" t="s">
        <v>126</v>
      </c>
      <c r="AG148" s="239" t="e" cm="1">
        <f t="array" ref="AG148">bdRateExtend($G148:$G151,H148:H151,$R148:$R151,S148:S151)</f>
        <v>#VALUE!</v>
      </c>
      <c r="AH148" s="241" t="e" cm="1">
        <f t="array" ref="AH148">bdRateExtend($G148:$G153,H148:H153,$R148:$R153,S148:S153)</f>
        <v>#VALUE!</v>
      </c>
      <c r="AI148" s="241" t="e" cm="1">
        <f t="array" ref="AI148">bdRateExtend($G148:$G153,I148:I153,$R148:$R153,T148:T153)</f>
        <v>#VALUE!</v>
      </c>
      <c r="AJ148" s="244" t="e" cm="1">
        <f t="array" ref="AJ148">bdRateExtend($G148:$G153,J148:J153,$R148:$R153,U148:U153)</f>
        <v>#VALUE!</v>
      </c>
      <c r="AK148" s="239" t="e" cm="1">
        <f t="array" ref="AK148">bdRateExtend($G148:$G151,K148:K151,$R148:$R151,V148:V151)</f>
        <v>#VALUE!</v>
      </c>
      <c r="AL148" s="248" t="e" cm="1">
        <f t="array" ref="AL148">bdRateExtend($G148:$G153,K148:K153,$R148:$R153,V148:V153)</f>
        <v>#VALUE!</v>
      </c>
      <c r="AM148" s="239" t="e" cm="1">
        <f t="array" ref="AM148">bdRateExtend($G148:$G151,L148:L151,$R148:$R151,W148:W151)</f>
        <v>#VALUE!</v>
      </c>
      <c r="AN148" s="248" t="e" cm="1">
        <f t="array" ref="AN148">bdRateExtend($G148:$G153,L148:L153,$R148:$R153,W148:W153)</f>
        <v>#VALUE!</v>
      </c>
      <c r="AO148" s="254" t="e" cm="1">
        <f t="array" ref="AO148">bdRateExtend($G148:$G151,M148:M151,$R148:$R151,X148:X151)</f>
        <v>#VALUE!</v>
      </c>
      <c r="AP148" s="248" t="e" cm="1">
        <f t="array" ref="AP148">bdRateExtend($G148:$G153,M148:M153,$R148:$R153,X148:X153)</f>
        <v>#VALUE!</v>
      </c>
    </row>
    <row r="149" spans="1:42" ht="17.100000000000001" customHeight="1" outlineLevel="4" x14ac:dyDescent="0.25">
      <c r="A149" s="222"/>
      <c r="B149" s="219"/>
      <c r="C149" s="229"/>
      <c r="D149" s="232"/>
      <c r="E149" s="235"/>
      <c r="F149" s="16">
        <v>31</v>
      </c>
      <c r="G149" s="34"/>
      <c r="H149" s="39"/>
      <c r="I149" s="39"/>
      <c r="J149" s="39"/>
      <c r="K149" s="39"/>
      <c r="L149" s="39"/>
      <c r="M149" s="39"/>
      <c r="N149" s="39"/>
      <c r="O149" s="39"/>
      <c r="P149" s="35"/>
      <c r="Q149" s="18"/>
      <c r="R149" s="34"/>
      <c r="S149" s="39"/>
      <c r="T149" s="39"/>
      <c r="U149" s="39"/>
      <c r="V149" s="39"/>
      <c r="W149" s="39"/>
      <c r="X149" s="39"/>
      <c r="Y149" s="39"/>
      <c r="Z149" s="39"/>
      <c r="AA149" s="35"/>
      <c r="AB149" s="50" t="e">
        <f t="shared" si="8"/>
        <v>#DIV/0!</v>
      </c>
      <c r="AC149" s="51" t="e">
        <f t="shared" si="9"/>
        <v>#DIV/0!</v>
      </c>
      <c r="AD149" s="19"/>
      <c r="AE149" s="19"/>
      <c r="AF149" s="285"/>
      <c r="AG149" s="240"/>
      <c r="AH149" s="242"/>
      <c r="AI149" s="242"/>
      <c r="AJ149" s="245"/>
      <c r="AK149" s="240"/>
      <c r="AL149" s="249"/>
      <c r="AM149" s="240"/>
      <c r="AN149" s="249"/>
      <c r="AO149" s="252"/>
      <c r="AP149" s="249"/>
    </row>
    <row r="150" spans="1:42" ht="17.100000000000001" customHeight="1" outlineLevel="4" x14ac:dyDescent="0.25">
      <c r="A150" s="222"/>
      <c r="B150" s="219"/>
      <c r="C150" s="229"/>
      <c r="D150" s="232"/>
      <c r="E150" s="235"/>
      <c r="F150" s="16">
        <v>39</v>
      </c>
      <c r="G150" s="34"/>
      <c r="H150" s="39"/>
      <c r="I150" s="39"/>
      <c r="J150" s="39"/>
      <c r="K150" s="39"/>
      <c r="L150" s="39"/>
      <c r="M150" s="39"/>
      <c r="N150" s="39"/>
      <c r="O150" s="39"/>
      <c r="P150" s="35"/>
      <c r="Q150" s="18"/>
      <c r="R150" s="34"/>
      <c r="S150" s="39"/>
      <c r="T150" s="39"/>
      <c r="U150" s="39"/>
      <c r="V150" s="39"/>
      <c r="W150" s="39"/>
      <c r="X150" s="39"/>
      <c r="Y150" s="39"/>
      <c r="Z150" s="39"/>
      <c r="AA150" s="35"/>
      <c r="AB150" s="50" t="e">
        <f t="shared" si="8"/>
        <v>#DIV/0!</v>
      </c>
      <c r="AC150" s="51" t="e">
        <f t="shared" si="9"/>
        <v>#DIV/0!</v>
      </c>
      <c r="AD150" s="19"/>
      <c r="AE150" s="19"/>
      <c r="AF150" s="285" t="s">
        <v>127</v>
      </c>
      <c r="AG150" s="240" t="e" cm="1">
        <f t="array" ref="AG150">bdRateExtend($G149:$G152,H149:H152,$R149:$R152,S149:S152)</f>
        <v>#VALUE!</v>
      </c>
      <c r="AH150" s="242"/>
      <c r="AI150" s="242"/>
      <c r="AJ150" s="245"/>
      <c r="AK150" s="240" t="e" cm="1">
        <f t="array" ref="AK150">bdRateExtend($G149:$G152,K149:K152,$R149:$R152,V149:V152)</f>
        <v>#VALUE!</v>
      </c>
      <c r="AL150" s="249"/>
      <c r="AM150" s="240" t="e" cm="1">
        <f t="array" ref="AM150">bdRateExtend($G149:$G152,L149:L152,$R149:$R152,W149:W152)</f>
        <v>#VALUE!</v>
      </c>
      <c r="AN150" s="249"/>
      <c r="AO150" s="252" t="e" cm="1">
        <f t="array" ref="AO150">bdRateExtend($G149:$G152,M149:M152,$R149:$R152,X149:X152)</f>
        <v>#VALUE!</v>
      </c>
      <c r="AP150" s="249"/>
    </row>
    <row r="151" spans="1:42" ht="17.100000000000001" customHeight="1" outlineLevel="4" x14ac:dyDescent="0.25">
      <c r="A151" s="222"/>
      <c r="B151" s="219"/>
      <c r="C151" s="229"/>
      <c r="D151" s="232"/>
      <c r="E151" s="235"/>
      <c r="F151" s="16">
        <v>47</v>
      </c>
      <c r="G151" s="34"/>
      <c r="H151" s="39"/>
      <c r="I151" s="39"/>
      <c r="J151" s="39"/>
      <c r="K151" s="39"/>
      <c r="L151" s="39"/>
      <c r="M151" s="39"/>
      <c r="N151" s="39"/>
      <c r="O151" s="39"/>
      <c r="P151" s="35"/>
      <c r="Q151" s="18"/>
      <c r="R151" s="34"/>
      <c r="S151" s="39"/>
      <c r="T151" s="39"/>
      <c r="U151" s="39"/>
      <c r="V151" s="39"/>
      <c r="W151" s="39"/>
      <c r="X151" s="39"/>
      <c r="Y151" s="39"/>
      <c r="Z151" s="39"/>
      <c r="AA151" s="35"/>
      <c r="AB151" s="50" t="e">
        <f t="shared" si="8"/>
        <v>#DIV/0!</v>
      </c>
      <c r="AC151" s="51" t="e">
        <f t="shared" si="9"/>
        <v>#DIV/0!</v>
      </c>
      <c r="AD151" s="19"/>
      <c r="AE151" s="19"/>
      <c r="AF151" s="285"/>
      <c r="AG151" s="240"/>
      <c r="AH151" s="242"/>
      <c r="AI151" s="242"/>
      <c r="AJ151" s="245"/>
      <c r="AK151" s="240"/>
      <c r="AL151" s="249"/>
      <c r="AM151" s="240"/>
      <c r="AN151" s="249"/>
      <c r="AO151" s="252"/>
      <c r="AP151" s="249"/>
    </row>
    <row r="152" spans="1:42" ht="17.100000000000001" customHeight="1" outlineLevel="4" x14ac:dyDescent="0.25">
      <c r="A152" s="222"/>
      <c r="B152" s="219"/>
      <c r="C152" s="229"/>
      <c r="D152" s="232"/>
      <c r="E152" s="235"/>
      <c r="F152" s="16">
        <v>55</v>
      </c>
      <c r="G152" s="34"/>
      <c r="H152" s="39"/>
      <c r="I152" s="39"/>
      <c r="J152" s="39"/>
      <c r="K152" s="39"/>
      <c r="L152" s="39"/>
      <c r="M152" s="39"/>
      <c r="N152" s="39"/>
      <c r="O152" s="39"/>
      <c r="P152" s="35"/>
      <c r="Q152" s="18"/>
      <c r="R152" s="34"/>
      <c r="S152" s="39"/>
      <c r="T152" s="39"/>
      <c r="U152" s="39"/>
      <c r="V152" s="39"/>
      <c r="W152" s="39"/>
      <c r="X152" s="39"/>
      <c r="Y152" s="39"/>
      <c r="Z152" s="39"/>
      <c r="AA152" s="35"/>
      <c r="AB152" s="50" t="e">
        <f t="shared" si="8"/>
        <v>#DIV/0!</v>
      </c>
      <c r="AC152" s="51" t="e">
        <f t="shared" si="9"/>
        <v>#DIV/0!</v>
      </c>
      <c r="AD152" s="19"/>
      <c r="AE152" s="19"/>
      <c r="AF152" s="285" t="s">
        <v>128</v>
      </c>
      <c r="AG152" s="240" t="e" cm="1">
        <f t="array" ref="AG152">bdRateExtend($G150:$G153,H150:H153,$R150:$R153,S150:S153)</f>
        <v>#VALUE!</v>
      </c>
      <c r="AH152" s="242"/>
      <c r="AI152" s="242"/>
      <c r="AJ152" s="245"/>
      <c r="AK152" s="240" t="e" cm="1">
        <f t="array" ref="AK152">bdRateExtend($G150:$G153,K150:K153,$R150:$R153,V150:V153)</f>
        <v>#VALUE!</v>
      </c>
      <c r="AL152" s="249"/>
      <c r="AM152" s="240" t="e" cm="1">
        <f t="array" ref="AM152">bdRateExtend($G150:$G153,L150:L153,$R150:$R153,W150:W153)</f>
        <v>#VALUE!</v>
      </c>
      <c r="AN152" s="249"/>
      <c r="AO152" s="252" t="e" cm="1">
        <f t="array" ref="AO152">bdRateExtend($G150:$G153,M150:M153,$R150:$R153,X150:X153)</f>
        <v>#VALUE!</v>
      </c>
      <c r="AP152" s="249"/>
    </row>
    <row r="153" spans="1:42" ht="17.100000000000001" customHeight="1" outlineLevel="4" thickBot="1" x14ac:dyDescent="0.3">
      <c r="A153" s="222"/>
      <c r="B153" s="220"/>
      <c r="C153" s="230"/>
      <c r="D153" s="233"/>
      <c r="E153" s="236"/>
      <c r="F153" s="9">
        <v>63</v>
      </c>
      <c r="G153" s="36"/>
      <c r="H153" s="37"/>
      <c r="I153" s="37"/>
      <c r="J153" s="37"/>
      <c r="K153" s="37"/>
      <c r="L153" s="37"/>
      <c r="M153" s="37"/>
      <c r="N153" s="37"/>
      <c r="O153" s="37"/>
      <c r="P153" s="38"/>
      <c r="Q153" s="18"/>
      <c r="R153" s="36"/>
      <c r="S153" s="37"/>
      <c r="T153" s="37"/>
      <c r="U153" s="37"/>
      <c r="V153" s="37"/>
      <c r="W153" s="37"/>
      <c r="X153" s="37"/>
      <c r="Y153" s="37"/>
      <c r="Z153" s="37"/>
      <c r="AA153" s="38"/>
      <c r="AB153" s="52" t="e">
        <f t="shared" si="8"/>
        <v>#DIV/0!</v>
      </c>
      <c r="AC153" s="53" t="e">
        <f t="shared" si="9"/>
        <v>#DIV/0!</v>
      </c>
      <c r="AD153" s="19"/>
      <c r="AE153" s="19"/>
      <c r="AF153" s="286"/>
      <c r="AG153" s="247"/>
      <c r="AH153" s="243"/>
      <c r="AI153" s="243"/>
      <c r="AJ153" s="246"/>
      <c r="AK153" s="247"/>
      <c r="AL153" s="250"/>
      <c r="AM153" s="247"/>
      <c r="AN153" s="250"/>
      <c r="AO153" s="253"/>
      <c r="AP153" s="250"/>
    </row>
    <row r="154" spans="1:42" ht="17.100000000000001" customHeight="1" outlineLevel="4" x14ac:dyDescent="0.25">
      <c r="A154" s="222"/>
      <c r="B154" s="218" t="s">
        <v>2</v>
      </c>
      <c r="C154" s="228" t="s">
        <v>54</v>
      </c>
      <c r="D154" s="231">
        <v>30</v>
      </c>
      <c r="E154" s="234" t="s">
        <v>23</v>
      </c>
      <c r="F154" s="7">
        <v>23</v>
      </c>
      <c r="G154" s="31"/>
      <c r="H154" s="32"/>
      <c r="I154" s="32"/>
      <c r="J154" s="32"/>
      <c r="K154" s="32"/>
      <c r="L154" s="32"/>
      <c r="M154" s="32"/>
      <c r="N154" s="32"/>
      <c r="O154" s="32"/>
      <c r="P154" s="33"/>
      <c r="Q154" s="18"/>
      <c r="R154" s="31"/>
      <c r="S154" s="32"/>
      <c r="T154" s="32"/>
      <c r="U154" s="32"/>
      <c r="V154" s="32"/>
      <c r="W154" s="32"/>
      <c r="X154" s="32"/>
      <c r="Y154" s="32"/>
      <c r="Z154" s="32"/>
      <c r="AA154" s="33"/>
      <c r="AB154" s="48" t="e">
        <f t="shared" si="8"/>
        <v>#DIV/0!</v>
      </c>
      <c r="AC154" s="49" t="e">
        <f t="shared" si="9"/>
        <v>#DIV/0!</v>
      </c>
      <c r="AD154" s="19"/>
      <c r="AE154" s="19"/>
      <c r="AF154" s="284" t="s">
        <v>126</v>
      </c>
      <c r="AG154" s="239" t="e" cm="1">
        <f t="array" ref="AG154">bdRateExtend($G154:$G157,H154:H157,$R154:$R157,S154:S157)</f>
        <v>#VALUE!</v>
      </c>
      <c r="AH154" s="241" t="e" cm="1">
        <f t="array" ref="AH154">bdRateExtend($G154:$G159,H154:H159,$R154:$R159,S154:S159)</f>
        <v>#VALUE!</v>
      </c>
      <c r="AI154" s="241" t="e" cm="1">
        <f t="array" ref="AI154">bdRateExtend($G154:$G159,I154:I159,$R154:$R159,T154:T159)</f>
        <v>#VALUE!</v>
      </c>
      <c r="AJ154" s="244" t="e" cm="1">
        <f t="array" ref="AJ154">bdRateExtend($G154:$G159,J154:J159,$R154:$R159,U154:U159)</f>
        <v>#VALUE!</v>
      </c>
      <c r="AK154" s="239" t="e" cm="1">
        <f t="array" ref="AK154">bdRateExtend($G154:$G157,K154:K157,$R154:$R157,V154:V157)</f>
        <v>#VALUE!</v>
      </c>
      <c r="AL154" s="248" t="e" cm="1">
        <f t="array" ref="AL154">bdRateExtend($G154:$G159,K154:K159,$R154:$R159,V154:V159)</f>
        <v>#VALUE!</v>
      </c>
      <c r="AM154" s="239" t="e" cm="1">
        <f t="array" ref="AM154">bdRateExtend($G154:$G157,L154:L157,$R154:$R157,W154:W157)</f>
        <v>#VALUE!</v>
      </c>
      <c r="AN154" s="248" t="e" cm="1">
        <f t="array" ref="AN154">bdRateExtend($G154:$G159,L154:L159,$R154:$R159,W154:W159)</f>
        <v>#VALUE!</v>
      </c>
      <c r="AO154" s="254" t="e" cm="1">
        <f t="array" ref="AO154">bdRateExtend($G154:$G157,M154:M157,$R154:$R157,X154:X157)</f>
        <v>#VALUE!</v>
      </c>
      <c r="AP154" s="248" t="e" cm="1">
        <f t="array" ref="AP154">bdRateExtend($G154:$G159,M154:M159,$R154:$R159,X154:X159)</f>
        <v>#VALUE!</v>
      </c>
    </row>
    <row r="155" spans="1:42" ht="17.100000000000001" customHeight="1" outlineLevel="4" x14ac:dyDescent="0.25">
      <c r="A155" s="222"/>
      <c r="B155" s="219"/>
      <c r="C155" s="229"/>
      <c r="D155" s="232"/>
      <c r="E155" s="235"/>
      <c r="F155" s="16">
        <v>31</v>
      </c>
      <c r="G155" s="34"/>
      <c r="H155" s="39"/>
      <c r="I155" s="39"/>
      <c r="J155" s="39"/>
      <c r="K155" s="39"/>
      <c r="L155" s="39"/>
      <c r="M155" s="39"/>
      <c r="N155" s="39"/>
      <c r="O155" s="39"/>
      <c r="P155" s="35"/>
      <c r="Q155" s="18"/>
      <c r="R155" s="34"/>
      <c r="S155" s="39"/>
      <c r="T155" s="39"/>
      <c r="U155" s="39"/>
      <c r="V155" s="39"/>
      <c r="W155" s="39"/>
      <c r="X155" s="39"/>
      <c r="Y155" s="39"/>
      <c r="Z155" s="39"/>
      <c r="AA155" s="35"/>
      <c r="AB155" s="50" t="e">
        <f t="shared" si="8"/>
        <v>#DIV/0!</v>
      </c>
      <c r="AC155" s="51" t="e">
        <f t="shared" si="9"/>
        <v>#DIV/0!</v>
      </c>
      <c r="AD155" s="19"/>
      <c r="AE155" s="19"/>
      <c r="AF155" s="285"/>
      <c r="AG155" s="240"/>
      <c r="AH155" s="242"/>
      <c r="AI155" s="242"/>
      <c r="AJ155" s="245"/>
      <c r="AK155" s="240"/>
      <c r="AL155" s="249"/>
      <c r="AM155" s="240"/>
      <c r="AN155" s="249"/>
      <c r="AO155" s="252"/>
      <c r="AP155" s="249"/>
    </row>
    <row r="156" spans="1:42" ht="17.100000000000001" customHeight="1" outlineLevel="4" x14ac:dyDescent="0.25">
      <c r="A156" s="222"/>
      <c r="B156" s="219"/>
      <c r="C156" s="229"/>
      <c r="D156" s="232"/>
      <c r="E156" s="235"/>
      <c r="F156" s="16">
        <v>39</v>
      </c>
      <c r="G156" s="34"/>
      <c r="H156" s="39"/>
      <c r="I156" s="39"/>
      <c r="J156" s="39"/>
      <c r="K156" s="39"/>
      <c r="L156" s="39"/>
      <c r="M156" s="39"/>
      <c r="N156" s="39"/>
      <c r="O156" s="39"/>
      <c r="P156" s="35"/>
      <c r="Q156" s="18"/>
      <c r="R156" s="34"/>
      <c r="S156" s="39"/>
      <c r="T156" s="39"/>
      <c r="U156" s="39"/>
      <c r="V156" s="39"/>
      <c r="W156" s="39"/>
      <c r="X156" s="39"/>
      <c r="Y156" s="39"/>
      <c r="Z156" s="39"/>
      <c r="AA156" s="35"/>
      <c r="AB156" s="50" t="e">
        <f t="shared" si="8"/>
        <v>#DIV/0!</v>
      </c>
      <c r="AC156" s="51" t="e">
        <f t="shared" si="9"/>
        <v>#DIV/0!</v>
      </c>
      <c r="AD156" s="19"/>
      <c r="AE156" s="19"/>
      <c r="AF156" s="285" t="s">
        <v>127</v>
      </c>
      <c r="AG156" s="240" t="e" cm="1">
        <f t="array" ref="AG156">bdRateExtend($G155:$G158,H155:H158,$R155:$R158,S155:S158)</f>
        <v>#VALUE!</v>
      </c>
      <c r="AH156" s="242"/>
      <c r="AI156" s="242"/>
      <c r="AJ156" s="245"/>
      <c r="AK156" s="240" t="e" cm="1">
        <f t="array" ref="AK156">bdRateExtend($G155:$G158,K155:K158,$R155:$R158,V155:V158)</f>
        <v>#VALUE!</v>
      </c>
      <c r="AL156" s="249"/>
      <c r="AM156" s="240" t="e" cm="1">
        <f t="array" ref="AM156">bdRateExtend($G155:$G158,L155:L158,$R155:$R158,W155:W158)</f>
        <v>#VALUE!</v>
      </c>
      <c r="AN156" s="249"/>
      <c r="AO156" s="252" t="e" cm="1">
        <f t="array" ref="AO156">bdRateExtend($G155:$G158,M155:M158,$R155:$R158,X155:X158)</f>
        <v>#VALUE!</v>
      </c>
      <c r="AP156" s="249"/>
    </row>
    <row r="157" spans="1:42" ht="17.100000000000001" customHeight="1" outlineLevel="4" x14ac:dyDescent="0.25">
      <c r="A157" s="222"/>
      <c r="B157" s="219"/>
      <c r="C157" s="229"/>
      <c r="D157" s="232"/>
      <c r="E157" s="235"/>
      <c r="F157" s="16">
        <v>47</v>
      </c>
      <c r="G157" s="34"/>
      <c r="H157" s="39"/>
      <c r="I157" s="39"/>
      <c r="J157" s="39"/>
      <c r="K157" s="39"/>
      <c r="L157" s="39"/>
      <c r="M157" s="39"/>
      <c r="N157" s="39"/>
      <c r="O157" s="39"/>
      <c r="P157" s="35"/>
      <c r="Q157" s="18"/>
      <c r="R157" s="34"/>
      <c r="S157" s="39"/>
      <c r="T157" s="39"/>
      <c r="U157" s="39"/>
      <c r="V157" s="39"/>
      <c r="W157" s="39"/>
      <c r="X157" s="39"/>
      <c r="Y157" s="39"/>
      <c r="Z157" s="39"/>
      <c r="AA157" s="35"/>
      <c r="AB157" s="50" t="e">
        <f t="shared" si="8"/>
        <v>#DIV/0!</v>
      </c>
      <c r="AC157" s="51" t="e">
        <f t="shared" si="9"/>
        <v>#DIV/0!</v>
      </c>
      <c r="AD157" s="19"/>
      <c r="AE157" s="19"/>
      <c r="AF157" s="285"/>
      <c r="AG157" s="240"/>
      <c r="AH157" s="242"/>
      <c r="AI157" s="242"/>
      <c r="AJ157" s="245"/>
      <c r="AK157" s="240"/>
      <c r="AL157" s="249"/>
      <c r="AM157" s="240"/>
      <c r="AN157" s="249"/>
      <c r="AO157" s="252"/>
      <c r="AP157" s="249"/>
    </row>
    <row r="158" spans="1:42" ht="17.100000000000001" customHeight="1" outlineLevel="4" x14ac:dyDescent="0.25">
      <c r="A158" s="222"/>
      <c r="B158" s="219"/>
      <c r="C158" s="229"/>
      <c r="D158" s="232"/>
      <c r="E158" s="235"/>
      <c r="F158" s="16">
        <v>55</v>
      </c>
      <c r="G158" s="34"/>
      <c r="H158" s="39"/>
      <c r="I158" s="39"/>
      <c r="J158" s="39"/>
      <c r="K158" s="39"/>
      <c r="L158" s="39"/>
      <c r="M158" s="39"/>
      <c r="N158" s="39"/>
      <c r="O158" s="39"/>
      <c r="P158" s="35"/>
      <c r="Q158" s="18"/>
      <c r="R158" s="34"/>
      <c r="S158" s="39"/>
      <c r="T158" s="39"/>
      <c r="U158" s="39"/>
      <c r="V158" s="39"/>
      <c r="W158" s="39"/>
      <c r="X158" s="39"/>
      <c r="Y158" s="39"/>
      <c r="Z158" s="39"/>
      <c r="AA158" s="35"/>
      <c r="AB158" s="50" t="e">
        <f t="shared" si="8"/>
        <v>#DIV/0!</v>
      </c>
      <c r="AC158" s="51" t="e">
        <f t="shared" si="9"/>
        <v>#DIV/0!</v>
      </c>
      <c r="AD158" s="19"/>
      <c r="AE158" s="19"/>
      <c r="AF158" s="285" t="s">
        <v>128</v>
      </c>
      <c r="AG158" s="240" t="e" cm="1">
        <f t="array" ref="AG158">bdRateExtend($G156:$G159,H156:H159,$R156:$R159,S156:S159)</f>
        <v>#VALUE!</v>
      </c>
      <c r="AH158" s="242"/>
      <c r="AI158" s="242"/>
      <c r="AJ158" s="245"/>
      <c r="AK158" s="240" t="e" cm="1">
        <f t="array" ref="AK158">bdRateExtend($G156:$G159,K156:K159,$R156:$R159,V156:V159)</f>
        <v>#VALUE!</v>
      </c>
      <c r="AL158" s="249"/>
      <c r="AM158" s="240" t="e" cm="1">
        <f t="array" ref="AM158">bdRateExtend($G156:$G159,L156:L159,$R156:$R159,W156:W159)</f>
        <v>#VALUE!</v>
      </c>
      <c r="AN158" s="249"/>
      <c r="AO158" s="252" t="e" cm="1">
        <f t="array" ref="AO158">bdRateExtend($G156:$G159,M156:M159,$R156:$R159,X156:X159)</f>
        <v>#VALUE!</v>
      </c>
      <c r="AP158" s="249"/>
    </row>
    <row r="159" spans="1:42" ht="17.100000000000001" customHeight="1" outlineLevel="4" thickBot="1" x14ac:dyDescent="0.3">
      <c r="A159" s="222"/>
      <c r="B159" s="220"/>
      <c r="C159" s="230"/>
      <c r="D159" s="233"/>
      <c r="E159" s="236"/>
      <c r="F159" s="9">
        <v>63</v>
      </c>
      <c r="G159" s="36"/>
      <c r="H159" s="37"/>
      <c r="I159" s="37"/>
      <c r="J159" s="37"/>
      <c r="K159" s="37"/>
      <c r="L159" s="37"/>
      <c r="M159" s="37"/>
      <c r="N159" s="37"/>
      <c r="O159" s="37"/>
      <c r="P159" s="38"/>
      <c r="Q159" s="18"/>
      <c r="R159" s="36"/>
      <c r="S159" s="37"/>
      <c r="T159" s="37"/>
      <c r="U159" s="37"/>
      <c r="V159" s="37"/>
      <c r="W159" s="37"/>
      <c r="X159" s="37"/>
      <c r="Y159" s="37"/>
      <c r="Z159" s="37"/>
      <c r="AA159" s="38"/>
      <c r="AB159" s="52" t="e">
        <f t="shared" si="8"/>
        <v>#DIV/0!</v>
      </c>
      <c r="AC159" s="53" t="e">
        <f t="shared" si="9"/>
        <v>#DIV/0!</v>
      </c>
      <c r="AD159" s="19"/>
      <c r="AE159" s="19"/>
      <c r="AF159" s="286"/>
      <c r="AG159" s="247"/>
      <c r="AH159" s="243"/>
      <c r="AI159" s="243"/>
      <c r="AJ159" s="246"/>
      <c r="AK159" s="247"/>
      <c r="AL159" s="250"/>
      <c r="AM159" s="247"/>
      <c r="AN159" s="250"/>
      <c r="AO159" s="253"/>
      <c r="AP159" s="250"/>
    </row>
    <row r="160" spans="1:42" ht="17.100000000000001" customHeight="1" outlineLevel="4" x14ac:dyDescent="0.25">
      <c r="A160" s="222"/>
      <c r="B160" s="218" t="s">
        <v>2</v>
      </c>
      <c r="C160" s="228" t="s">
        <v>55</v>
      </c>
      <c r="D160" s="231">
        <v>30</v>
      </c>
      <c r="E160" s="234" t="s">
        <v>23</v>
      </c>
      <c r="F160" s="7">
        <v>23</v>
      </c>
      <c r="G160" s="31"/>
      <c r="H160" s="32"/>
      <c r="I160" s="32"/>
      <c r="J160" s="32"/>
      <c r="K160" s="32"/>
      <c r="L160" s="32"/>
      <c r="M160" s="32"/>
      <c r="N160" s="32"/>
      <c r="O160" s="32"/>
      <c r="P160" s="33"/>
      <c r="Q160" s="18"/>
      <c r="R160" s="31"/>
      <c r="S160" s="32"/>
      <c r="T160" s="32"/>
      <c r="U160" s="32"/>
      <c r="V160" s="32"/>
      <c r="W160" s="32"/>
      <c r="X160" s="32"/>
      <c r="Y160" s="32"/>
      <c r="Z160" s="32"/>
      <c r="AA160" s="33"/>
      <c r="AB160" s="48" t="e">
        <f t="shared" si="8"/>
        <v>#DIV/0!</v>
      </c>
      <c r="AC160" s="49" t="e">
        <f t="shared" si="9"/>
        <v>#DIV/0!</v>
      </c>
      <c r="AD160" s="19"/>
      <c r="AE160" s="19"/>
      <c r="AF160" s="284" t="s">
        <v>126</v>
      </c>
      <c r="AG160" s="239" t="e" cm="1">
        <f t="array" ref="AG160">bdRateExtend($G160:$G163,H160:H163,$R160:$R163,S160:S163)</f>
        <v>#VALUE!</v>
      </c>
      <c r="AH160" s="241" t="e" cm="1">
        <f t="array" ref="AH160">bdRateExtend($G160:$G165,H160:H165,$R160:$R165,S160:S165)</f>
        <v>#VALUE!</v>
      </c>
      <c r="AI160" s="241" t="e" cm="1">
        <f t="array" ref="AI160">bdRateExtend($G160:$G165,I160:I165,$R160:$R165,T160:T165)</f>
        <v>#VALUE!</v>
      </c>
      <c r="AJ160" s="244" t="e" cm="1">
        <f t="array" ref="AJ160">bdRateExtend($G160:$G165,J160:J165,$R160:$R165,U160:U165)</f>
        <v>#VALUE!</v>
      </c>
      <c r="AK160" s="239" t="e" cm="1">
        <f t="array" ref="AK160">bdRateExtend($G160:$G163,K160:K163,$R160:$R163,V160:V163)</f>
        <v>#VALUE!</v>
      </c>
      <c r="AL160" s="248" t="e" cm="1">
        <f t="array" ref="AL160">bdRateExtend($G160:$G165,K160:K165,$R160:$R165,V160:V165)</f>
        <v>#VALUE!</v>
      </c>
      <c r="AM160" s="239" t="e" cm="1">
        <f t="array" ref="AM160">bdRateExtend($G160:$G163,L160:L163,$R160:$R163,W160:W163)</f>
        <v>#VALUE!</v>
      </c>
      <c r="AN160" s="248" t="e" cm="1">
        <f t="array" ref="AN160">bdRateExtend($G160:$G165,L160:L165,$R160:$R165,W160:W165)</f>
        <v>#VALUE!</v>
      </c>
      <c r="AO160" s="254" t="e" cm="1">
        <f t="array" ref="AO160">bdRateExtend($G160:$G163,M160:M163,$R160:$R163,X160:X163)</f>
        <v>#VALUE!</v>
      </c>
      <c r="AP160" s="248" t="e" cm="1">
        <f t="array" ref="AP160">bdRateExtend($G160:$G165,M160:M165,$R160:$R165,X160:X165)</f>
        <v>#VALUE!</v>
      </c>
    </row>
    <row r="161" spans="1:42" ht="17.100000000000001" customHeight="1" outlineLevel="4" x14ac:dyDescent="0.25">
      <c r="A161" s="222"/>
      <c r="B161" s="219"/>
      <c r="C161" s="229"/>
      <c r="D161" s="232"/>
      <c r="E161" s="235"/>
      <c r="F161" s="16">
        <v>31</v>
      </c>
      <c r="G161" s="34"/>
      <c r="H161" s="39"/>
      <c r="I161" s="39"/>
      <c r="J161" s="39"/>
      <c r="K161" s="39"/>
      <c r="L161" s="39"/>
      <c r="M161" s="39"/>
      <c r="N161" s="39"/>
      <c r="O161" s="39"/>
      <c r="P161" s="35"/>
      <c r="Q161" s="18"/>
      <c r="R161" s="34"/>
      <c r="S161" s="39"/>
      <c r="T161" s="39"/>
      <c r="U161" s="39"/>
      <c r="V161" s="39"/>
      <c r="W161" s="39"/>
      <c r="X161" s="39"/>
      <c r="Y161" s="39"/>
      <c r="Z161" s="39"/>
      <c r="AA161" s="35"/>
      <c r="AB161" s="50" t="e">
        <f t="shared" si="8"/>
        <v>#DIV/0!</v>
      </c>
      <c r="AC161" s="51" t="e">
        <f t="shared" si="9"/>
        <v>#DIV/0!</v>
      </c>
      <c r="AD161" s="19"/>
      <c r="AE161" s="19"/>
      <c r="AF161" s="285"/>
      <c r="AG161" s="240"/>
      <c r="AH161" s="242"/>
      <c r="AI161" s="242"/>
      <c r="AJ161" s="245"/>
      <c r="AK161" s="240"/>
      <c r="AL161" s="249"/>
      <c r="AM161" s="240"/>
      <c r="AN161" s="249"/>
      <c r="AO161" s="252"/>
      <c r="AP161" s="249"/>
    </row>
    <row r="162" spans="1:42" ht="17.100000000000001" customHeight="1" outlineLevel="4" x14ac:dyDescent="0.25">
      <c r="A162" s="222"/>
      <c r="B162" s="219"/>
      <c r="C162" s="229"/>
      <c r="D162" s="232"/>
      <c r="E162" s="235"/>
      <c r="F162" s="16">
        <v>39</v>
      </c>
      <c r="G162" s="34"/>
      <c r="H162" s="39"/>
      <c r="I162" s="39"/>
      <c r="J162" s="39"/>
      <c r="K162" s="39"/>
      <c r="L162" s="39"/>
      <c r="M162" s="39"/>
      <c r="N162" s="39"/>
      <c r="O162" s="39"/>
      <c r="P162" s="35"/>
      <c r="Q162" s="18"/>
      <c r="R162" s="34"/>
      <c r="S162" s="39"/>
      <c r="T162" s="39"/>
      <c r="U162" s="39"/>
      <c r="V162" s="39"/>
      <c r="W162" s="39"/>
      <c r="X162" s="39"/>
      <c r="Y162" s="39"/>
      <c r="Z162" s="39"/>
      <c r="AA162" s="35"/>
      <c r="AB162" s="50" t="e">
        <f t="shared" si="8"/>
        <v>#DIV/0!</v>
      </c>
      <c r="AC162" s="51" t="e">
        <f t="shared" si="9"/>
        <v>#DIV/0!</v>
      </c>
      <c r="AD162" s="19"/>
      <c r="AE162" s="19"/>
      <c r="AF162" s="285" t="s">
        <v>127</v>
      </c>
      <c r="AG162" s="240" t="e" cm="1">
        <f t="array" ref="AG162">bdRateExtend($G161:$G164,H161:H164,$R161:$R164,S161:S164)</f>
        <v>#VALUE!</v>
      </c>
      <c r="AH162" s="242"/>
      <c r="AI162" s="242"/>
      <c r="AJ162" s="245"/>
      <c r="AK162" s="240" t="e" cm="1">
        <f t="array" ref="AK162">bdRateExtend($G161:$G164,K161:K164,$R161:$R164,V161:V164)</f>
        <v>#VALUE!</v>
      </c>
      <c r="AL162" s="249"/>
      <c r="AM162" s="240" t="e" cm="1">
        <f t="array" ref="AM162">bdRateExtend($G161:$G164,L161:L164,$R161:$R164,W161:W164)</f>
        <v>#VALUE!</v>
      </c>
      <c r="AN162" s="249"/>
      <c r="AO162" s="252" t="e" cm="1">
        <f t="array" ref="AO162">bdRateExtend($G161:$G164,M161:M164,$R161:$R164,X161:X164)</f>
        <v>#VALUE!</v>
      </c>
      <c r="AP162" s="249"/>
    </row>
    <row r="163" spans="1:42" ht="17.100000000000001" customHeight="1" outlineLevel="4" x14ac:dyDescent="0.25">
      <c r="A163" s="222"/>
      <c r="B163" s="219"/>
      <c r="C163" s="229"/>
      <c r="D163" s="232"/>
      <c r="E163" s="235"/>
      <c r="F163" s="16">
        <v>47</v>
      </c>
      <c r="G163" s="34"/>
      <c r="H163" s="39"/>
      <c r="I163" s="39"/>
      <c r="J163" s="39"/>
      <c r="K163" s="39"/>
      <c r="L163" s="39"/>
      <c r="M163" s="39"/>
      <c r="N163" s="39"/>
      <c r="O163" s="39"/>
      <c r="P163" s="35"/>
      <c r="Q163" s="18"/>
      <c r="R163" s="34"/>
      <c r="S163" s="39"/>
      <c r="T163" s="39"/>
      <c r="U163" s="39"/>
      <c r="V163" s="39"/>
      <c r="W163" s="39"/>
      <c r="X163" s="39"/>
      <c r="Y163" s="39"/>
      <c r="Z163" s="39"/>
      <c r="AA163" s="35"/>
      <c r="AB163" s="50" t="e">
        <f t="shared" si="8"/>
        <v>#DIV/0!</v>
      </c>
      <c r="AC163" s="51" t="e">
        <f t="shared" si="9"/>
        <v>#DIV/0!</v>
      </c>
      <c r="AD163" s="19"/>
      <c r="AE163" s="19"/>
      <c r="AF163" s="285"/>
      <c r="AG163" s="240"/>
      <c r="AH163" s="242"/>
      <c r="AI163" s="242"/>
      <c r="AJ163" s="245"/>
      <c r="AK163" s="240"/>
      <c r="AL163" s="249"/>
      <c r="AM163" s="240"/>
      <c r="AN163" s="249"/>
      <c r="AO163" s="252"/>
      <c r="AP163" s="249"/>
    </row>
    <row r="164" spans="1:42" ht="17.100000000000001" customHeight="1" outlineLevel="4" x14ac:dyDescent="0.25">
      <c r="A164" s="222"/>
      <c r="B164" s="219"/>
      <c r="C164" s="229"/>
      <c r="D164" s="232"/>
      <c r="E164" s="235"/>
      <c r="F164" s="16">
        <v>55</v>
      </c>
      <c r="G164" s="34"/>
      <c r="H164" s="39"/>
      <c r="I164" s="39"/>
      <c r="J164" s="39"/>
      <c r="K164" s="39"/>
      <c r="L164" s="39"/>
      <c r="M164" s="39"/>
      <c r="N164" s="39"/>
      <c r="O164" s="39"/>
      <c r="P164" s="35"/>
      <c r="Q164" s="18"/>
      <c r="R164" s="34"/>
      <c r="S164" s="39"/>
      <c r="T164" s="39"/>
      <c r="U164" s="39"/>
      <c r="V164" s="39"/>
      <c r="W164" s="39"/>
      <c r="X164" s="39"/>
      <c r="Y164" s="39"/>
      <c r="Z164" s="39"/>
      <c r="AA164" s="35"/>
      <c r="AB164" s="50" t="e">
        <f t="shared" si="8"/>
        <v>#DIV/0!</v>
      </c>
      <c r="AC164" s="51" t="e">
        <f t="shared" si="9"/>
        <v>#DIV/0!</v>
      </c>
      <c r="AD164" s="19"/>
      <c r="AE164" s="19"/>
      <c r="AF164" s="285" t="s">
        <v>128</v>
      </c>
      <c r="AG164" s="240" t="e" cm="1">
        <f t="array" ref="AG164">bdRateExtend($G162:$G165,H162:H165,$R162:$R165,S162:S165)</f>
        <v>#VALUE!</v>
      </c>
      <c r="AH164" s="242"/>
      <c r="AI164" s="242"/>
      <c r="AJ164" s="245"/>
      <c r="AK164" s="240" t="e" cm="1">
        <f t="array" ref="AK164">bdRateExtend($G162:$G165,K162:K165,$R162:$R165,V162:V165)</f>
        <v>#VALUE!</v>
      </c>
      <c r="AL164" s="249"/>
      <c r="AM164" s="240" t="e" cm="1">
        <f t="array" ref="AM164">bdRateExtend($G162:$G165,L162:L165,$R162:$R165,W162:W165)</f>
        <v>#VALUE!</v>
      </c>
      <c r="AN164" s="249"/>
      <c r="AO164" s="252" t="e" cm="1">
        <f t="array" ref="AO164">bdRateExtend($G162:$G165,M162:M165,$R162:$R165,X162:X165)</f>
        <v>#VALUE!</v>
      </c>
      <c r="AP164" s="249"/>
    </row>
    <row r="165" spans="1:42" ht="17.100000000000001" customHeight="1" outlineLevel="4" thickBot="1" x14ac:dyDescent="0.3">
      <c r="A165" s="222"/>
      <c r="B165" s="220"/>
      <c r="C165" s="230"/>
      <c r="D165" s="233"/>
      <c r="E165" s="236"/>
      <c r="F165" s="9">
        <v>63</v>
      </c>
      <c r="G165" s="36"/>
      <c r="H165" s="37"/>
      <c r="I165" s="37"/>
      <c r="J165" s="37"/>
      <c r="K165" s="37"/>
      <c r="L165" s="37"/>
      <c r="M165" s="37"/>
      <c r="N165" s="37"/>
      <c r="O165" s="37"/>
      <c r="P165" s="38"/>
      <c r="Q165" s="18"/>
      <c r="R165" s="36"/>
      <c r="S165" s="37"/>
      <c r="T165" s="37"/>
      <c r="U165" s="37"/>
      <c r="V165" s="37"/>
      <c r="W165" s="37"/>
      <c r="X165" s="37"/>
      <c r="Y165" s="37"/>
      <c r="Z165" s="37"/>
      <c r="AA165" s="38"/>
      <c r="AB165" s="52" t="e">
        <f t="shared" si="8"/>
        <v>#DIV/0!</v>
      </c>
      <c r="AC165" s="53" t="e">
        <f t="shared" si="9"/>
        <v>#DIV/0!</v>
      </c>
      <c r="AD165" s="19"/>
      <c r="AE165" s="19"/>
      <c r="AF165" s="286"/>
      <c r="AG165" s="247"/>
      <c r="AH165" s="243"/>
      <c r="AI165" s="243"/>
      <c r="AJ165" s="246"/>
      <c r="AK165" s="247"/>
      <c r="AL165" s="250"/>
      <c r="AM165" s="247"/>
      <c r="AN165" s="250"/>
      <c r="AO165" s="253"/>
      <c r="AP165" s="250"/>
    </row>
    <row r="166" spans="1:42" ht="17.100000000000001" customHeight="1" outlineLevel="4" x14ac:dyDescent="0.25">
      <c r="A166" s="221" t="s">
        <v>111</v>
      </c>
      <c r="B166" s="218" t="s">
        <v>24</v>
      </c>
      <c r="C166" s="228" t="s">
        <v>56</v>
      </c>
      <c r="D166" s="231">
        <v>30</v>
      </c>
      <c r="E166" s="234" t="s">
        <v>23</v>
      </c>
      <c r="F166" s="7">
        <v>23</v>
      </c>
      <c r="G166" s="31"/>
      <c r="H166" s="32"/>
      <c r="I166" s="32"/>
      <c r="J166" s="32"/>
      <c r="K166" s="32"/>
      <c r="L166" s="32"/>
      <c r="M166" s="32"/>
      <c r="N166" s="32"/>
      <c r="O166" s="32"/>
      <c r="P166" s="33"/>
      <c r="Q166" s="18"/>
      <c r="R166" s="31"/>
      <c r="S166" s="32"/>
      <c r="T166" s="32"/>
      <c r="U166" s="32"/>
      <c r="V166" s="32"/>
      <c r="W166" s="32"/>
      <c r="X166" s="32"/>
      <c r="Y166" s="32"/>
      <c r="Z166" s="32"/>
      <c r="AA166" s="33"/>
      <c r="AB166" s="48" t="e">
        <f t="shared" ref="AB166:AB229" si="10">Y166/N166</f>
        <v>#DIV/0!</v>
      </c>
      <c r="AC166" s="49" t="e">
        <f t="shared" ref="AC166:AC229" si="11">Z166/O166</f>
        <v>#DIV/0!</v>
      </c>
      <c r="AD166" s="19"/>
      <c r="AE166" s="19"/>
      <c r="AF166" s="284" t="s">
        <v>126</v>
      </c>
      <c r="AG166" s="239" t="e" cm="1">
        <f t="array" ref="AG166">bdRateExtend($G166:$G169,H166:H169,$R166:$R169,S166:S169)</f>
        <v>#VALUE!</v>
      </c>
      <c r="AH166" s="241" t="e" cm="1">
        <f t="array" ref="AH166">bdRateExtend($G166:$G171,H166:H171,$R166:$R171,S166:S171)</f>
        <v>#VALUE!</v>
      </c>
      <c r="AI166" s="241" t="e" cm="1">
        <f t="array" ref="AI166">bdRateExtend($G166:$G171,I166:I171,$R166:$R171,T166:T171)</f>
        <v>#VALUE!</v>
      </c>
      <c r="AJ166" s="244" t="e" cm="1">
        <f t="array" ref="AJ166">bdRateExtend($G166:$G171,J166:J171,$R166:$R171,U166:U171)</f>
        <v>#VALUE!</v>
      </c>
      <c r="AK166" s="239" t="e" cm="1">
        <f t="array" ref="AK166">bdRateExtend($G166:$G169,K166:K169,$R166:$R169,V166:V169)</f>
        <v>#VALUE!</v>
      </c>
      <c r="AL166" s="248" t="e" cm="1">
        <f t="array" ref="AL166">bdRateExtend($G166:$G171,K166:K171,$R166:$R171,V166:V171)</f>
        <v>#VALUE!</v>
      </c>
      <c r="AM166" s="239" t="e" cm="1">
        <f t="array" ref="AM166">bdRateExtend($G166:$G169,L166:L169,$R166:$R169,W166:W169)</f>
        <v>#VALUE!</v>
      </c>
      <c r="AN166" s="248" t="e" cm="1">
        <f t="array" ref="AN166">bdRateExtend($G166:$G171,L166:L171,$R166:$R171,W166:W171)</f>
        <v>#VALUE!</v>
      </c>
      <c r="AO166" s="254" t="e" cm="1">
        <f t="array" ref="AO166">bdRateExtend($G166:$G169,M166:M169,$R166:$R169,X166:X169)</f>
        <v>#VALUE!</v>
      </c>
      <c r="AP166" s="248" t="e" cm="1">
        <f t="array" ref="AP166">bdRateExtend($G166:$G171,M166:M171,$R166:$R171,X166:X171)</f>
        <v>#VALUE!</v>
      </c>
    </row>
    <row r="167" spans="1:42" ht="17.100000000000001" customHeight="1" outlineLevel="4" x14ac:dyDescent="0.25">
      <c r="A167" s="222"/>
      <c r="B167" s="219"/>
      <c r="C167" s="229"/>
      <c r="D167" s="232"/>
      <c r="E167" s="235"/>
      <c r="F167" s="16">
        <v>31</v>
      </c>
      <c r="G167" s="34"/>
      <c r="H167" s="39"/>
      <c r="I167" s="39"/>
      <c r="J167" s="39"/>
      <c r="K167" s="39"/>
      <c r="L167" s="39"/>
      <c r="M167" s="39"/>
      <c r="N167" s="39"/>
      <c r="O167" s="39"/>
      <c r="P167" s="35"/>
      <c r="Q167" s="18"/>
      <c r="R167" s="34"/>
      <c r="S167" s="39"/>
      <c r="T167" s="39"/>
      <c r="U167" s="39"/>
      <c r="V167" s="39"/>
      <c r="W167" s="39"/>
      <c r="X167" s="39"/>
      <c r="Y167" s="39"/>
      <c r="Z167" s="39"/>
      <c r="AA167" s="35"/>
      <c r="AB167" s="50" t="e">
        <f t="shared" si="10"/>
        <v>#DIV/0!</v>
      </c>
      <c r="AC167" s="51" t="e">
        <f t="shared" si="11"/>
        <v>#DIV/0!</v>
      </c>
      <c r="AD167" s="19"/>
      <c r="AE167" s="19"/>
      <c r="AF167" s="285"/>
      <c r="AG167" s="240"/>
      <c r="AH167" s="242"/>
      <c r="AI167" s="242"/>
      <c r="AJ167" s="245"/>
      <c r="AK167" s="240"/>
      <c r="AL167" s="249"/>
      <c r="AM167" s="240"/>
      <c r="AN167" s="249"/>
      <c r="AO167" s="252"/>
      <c r="AP167" s="249"/>
    </row>
    <row r="168" spans="1:42" ht="17.100000000000001" customHeight="1" outlineLevel="4" x14ac:dyDescent="0.25">
      <c r="A168" s="222"/>
      <c r="B168" s="219"/>
      <c r="C168" s="229"/>
      <c r="D168" s="232"/>
      <c r="E168" s="235"/>
      <c r="F168" s="16">
        <v>39</v>
      </c>
      <c r="G168" s="34"/>
      <c r="H168" s="39"/>
      <c r="I168" s="39"/>
      <c r="J168" s="39"/>
      <c r="K168" s="39"/>
      <c r="L168" s="39"/>
      <c r="M168" s="39"/>
      <c r="N168" s="39"/>
      <c r="O168" s="39"/>
      <c r="P168" s="35"/>
      <c r="Q168" s="18"/>
      <c r="R168" s="34"/>
      <c r="S168" s="39"/>
      <c r="T168" s="39"/>
      <c r="U168" s="39"/>
      <c r="V168" s="39"/>
      <c r="W168" s="39"/>
      <c r="X168" s="39"/>
      <c r="Y168" s="39"/>
      <c r="Z168" s="39"/>
      <c r="AA168" s="35"/>
      <c r="AB168" s="50" t="e">
        <f t="shared" si="10"/>
        <v>#DIV/0!</v>
      </c>
      <c r="AC168" s="51" t="e">
        <f t="shared" si="11"/>
        <v>#DIV/0!</v>
      </c>
      <c r="AD168" s="19"/>
      <c r="AE168" s="19"/>
      <c r="AF168" s="285" t="s">
        <v>127</v>
      </c>
      <c r="AG168" s="240" t="e" cm="1">
        <f t="array" ref="AG168">bdRateExtend($G167:$G170,H167:H170,$R167:$R170,S167:S170)</f>
        <v>#VALUE!</v>
      </c>
      <c r="AH168" s="242"/>
      <c r="AI168" s="242"/>
      <c r="AJ168" s="245"/>
      <c r="AK168" s="240" t="e" cm="1">
        <f t="array" ref="AK168">bdRateExtend($G167:$G170,K167:K170,$R167:$R170,V167:V170)</f>
        <v>#VALUE!</v>
      </c>
      <c r="AL168" s="249"/>
      <c r="AM168" s="240" t="e" cm="1">
        <f t="array" ref="AM168">bdRateExtend($G167:$G170,L167:L170,$R167:$R170,W167:W170)</f>
        <v>#VALUE!</v>
      </c>
      <c r="AN168" s="249"/>
      <c r="AO168" s="252" t="e" cm="1">
        <f t="array" ref="AO168">bdRateExtend($G167:$G170,M167:M170,$R167:$R170,X167:X170)</f>
        <v>#VALUE!</v>
      </c>
      <c r="AP168" s="249"/>
    </row>
    <row r="169" spans="1:42" ht="17.100000000000001" customHeight="1" outlineLevel="4" x14ac:dyDescent="0.25">
      <c r="A169" s="222"/>
      <c r="B169" s="219"/>
      <c r="C169" s="229"/>
      <c r="D169" s="232"/>
      <c r="E169" s="235"/>
      <c r="F169" s="16">
        <v>47</v>
      </c>
      <c r="G169" s="34"/>
      <c r="H169" s="39"/>
      <c r="I169" s="39"/>
      <c r="J169" s="39"/>
      <c r="K169" s="39"/>
      <c r="L169" s="39"/>
      <c r="M169" s="39"/>
      <c r="N169" s="39"/>
      <c r="O169" s="39"/>
      <c r="P169" s="35"/>
      <c r="Q169" s="18"/>
      <c r="R169" s="34"/>
      <c r="S169" s="39"/>
      <c r="T169" s="39"/>
      <c r="U169" s="39"/>
      <c r="V169" s="39"/>
      <c r="W169" s="39"/>
      <c r="X169" s="39"/>
      <c r="Y169" s="39"/>
      <c r="Z169" s="39"/>
      <c r="AA169" s="35"/>
      <c r="AB169" s="50" t="e">
        <f t="shared" si="10"/>
        <v>#DIV/0!</v>
      </c>
      <c r="AC169" s="51" t="e">
        <f t="shared" si="11"/>
        <v>#DIV/0!</v>
      </c>
      <c r="AD169" s="19"/>
      <c r="AE169" s="19"/>
      <c r="AF169" s="285"/>
      <c r="AG169" s="240"/>
      <c r="AH169" s="242"/>
      <c r="AI169" s="242"/>
      <c r="AJ169" s="245"/>
      <c r="AK169" s="240"/>
      <c r="AL169" s="249"/>
      <c r="AM169" s="240"/>
      <c r="AN169" s="249"/>
      <c r="AO169" s="252"/>
      <c r="AP169" s="249"/>
    </row>
    <row r="170" spans="1:42" ht="17.100000000000001" customHeight="1" outlineLevel="4" x14ac:dyDescent="0.25">
      <c r="A170" s="222"/>
      <c r="B170" s="219"/>
      <c r="C170" s="229"/>
      <c r="D170" s="232"/>
      <c r="E170" s="235"/>
      <c r="F170" s="16">
        <v>55</v>
      </c>
      <c r="G170" s="34"/>
      <c r="H170" s="39"/>
      <c r="I170" s="39"/>
      <c r="J170" s="39"/>
      <c r="K170" s="39"/>
      <c r="L170" s="39"/>
      <c r="M170" s="39"/>
      <c r="N170" s="39"/>
      <c r="O170" s="39"/>
      <c r="P170" s="35"/>
      <c r="Q170" s="18"/>
      <c r="R170" s="34"/>
      <c r="S170" s="39"/>
      <c r="T170" s="39"/>
      <c r="U170" s="39"/>
      <c r="V170" s="39"/>
      <c r="W170" s="39"/>
      <c r="X170" s="39"/>
      <c r="Y170" s="39"/>
      <c r="Z170" s="39"/>
      <c r="AA170" s="35"/>
      <c r="AB170" s="50" t="e">
        <f t="shared" si="10"/>
        <v>#DIV/0!</v>
      </c>
      <c r="AC170" s="51" t="e">
        <f t="shared" si="11"/>
        <v>#DIV/0!</v>
      </c>
      <c r="AD170" s="19"/>
      <c r="AE170" s="19"/>
      <c r="AF170" s="285" t="s">
        <v>128</v>
      </c>
      <c r="AG170" s="240" t="e" cm="1">
        <f t="array" ref="AG170">bdRateExtend($G168:$G171,H168:H171,$R168:$R171,S168:S171)</f>
        <v>#VALUE!</v>
      </c>
      <c r="AH170" s="242"/>
      <c r="AI170" s="242"/>
      <c r="AJ170" s="245"/>
      <c r="AK170" s="240" t="e" cm="1">
        <f t="array" ref="AK170">bdRateExtend($G168:$G171,K168:K171,$R168:$R171,V168:V171)</f>
        <v>#VALUE!</v>
      </c>
      <c r="AL170" s="249"/>
      <c r="AM170" s="240" t="e" cm="1">
        <f t="array" ref="AM170">bdRateExtend($G168:$G171,L168:L171,$R168:$R171,W168:W171)</f>
        <v>#VALUE!</v>
      </c>
      <c r="AN170" s="249"/>
      <c r="AO170" s="252" t="e" cm="1">
        <f t="array" ref="AO170">bdRateExtend($G168:$G171,M168:M171,$R168:$R171,X168:X171)</f>
        <v>#VALUE!</v>
      </c>
      <c r="AP170" s="249"/>
    </row>
    <row r="171" spans="1:42" ht="17.100000000000001" customHeight="1" outlineLevel="4" thickBot="1" x14ac:dyDescent="0.3">
      <c r="A171" s="222"/>
      <c r="B171" s="220"/>
      <c r="C171" s="230"/>
      <c r="D171" s="233"/>
      <c r="E171" s="236"/>
      <c r="F171" s="9">
        <v>63</v>
      </c>
      <c r="G171" s="36"/>
      <c r="H171" s="37"/>
      <c r="I171" s="37"/>
      <c r="J171" s="37"/>
      <c r="K171" s="37"/>
      <c r="L171" s="37"/>
      <c r="M171" s="37"/>
      <c r="N171" s="37"/>
      <c r="O171" s="37"/>
      <c r="P171" s="38"/>
      <c r="Q171" s="18"/>
      <c r="R171" s="36"/>
      <c r="S171" s="37"/>
      <c r="T171" s="37"/>
      <c r="U171" s="37"/>
      <c r="V171" s="37"/>
      <c r="W171" s="37"/>
      <c r="X171" s="37"/>
      <c r="Y171" s="37"/>
      <c r="Z171" s="37"/>
      <c r="AA171" s="38"/>
      <c r="AB171" s="52" t="e">
        <f t="shared" si="10"/>
        <v>#DIV/0!</v>
      </c>
      <c r="AC171" s="53" t="e">
        <f t="shared" si="11"/>
        <v>#DIV/0!</v>
      </c>
      <c r="AD171" s="19"/>
      <c r="AE171" s="19"/>
      <c r="AF171" s="286"/>
      <c r="AG171" s="247"/>
      <c r="AH171" s="243"/>
      <c r="AI171" s="243"/>
      <c r="AJ171" s="246"/>
      <c r="AK171" s="247"/>
      <c r="AL171" s="250"/>
      <c r="AM171" s="247"/>
      <c r="AN171" s="250"/>
      <c r="AO171" s="253"/>
      <c r="AP171" s="250"/>
    </row>
    <row r="172" spans="1:42" ht="17.100000000000001" customHeight="1" outlineLevel="4" x14ac:dyDescent="0.25">
      <c r="A172" s="222"/>
      <c r="B172" s="218" t="s">
        <v>24</v>
      </c>
      <c r="C172" s="228" t="s">
        <v>57</v>
      </c>
      <c r="D172" s="231">
        <v>59.94</v>
      </c>
      <c r="E172" s="234">
        <v>10</v>
      </c>
      <c r="F172" s="7">
        <v>23</v>
      </c>
      <c r="G172" s="31"/>
      <c r="H172" s="32"/>
      <c r="I172" s="32"/>
      <c r="J172" s="32"/>
      <c r="K172" s="32"/>
      <c r="L172" s="32"/>
      <c r="M172" s="32"/>
      <c r="N172" s="32"/>
      <c r="O172" s="32"/>
      <c r="P172" s="33"/>
      <c r="Q172" s="18"/>
      <c r="R172" s="31"/>
      <c r="S172" s="32"/>
      <c r="T172" s="32"/>
      <c r="U172" s="32"/>
      <c r="V172" s="32"/>
      <c r="W172" s="32"/>
      <c r="X172" s="32"/>
      <c r="Y172" s="32"/>
      <c r="Z172" s="32"/>
      <c r="AA172" s="33"/>
      <c r="AB172" s="48" t="e">
        <f t="shared" si="10"/>
        <v>#DIV/0!</v>
      </c>
      <c r="AC172" s="49" t="e">
        <f t="shared" si="11"/>
        <v>#DIV/0!</v>
      </c>
      <c r="AD172" s="19"/>
      <c r="AE172" s="19"/>
      <c r="AF172" s="284" t="s">
        <v>126</v>
      </c>
      <c r="AG172" s="239" t="e" cm="1">
        <f t="array" ref="AG172">bdRateExtend($G172:$G175,H172:H175,$R172:$R175,S172:S175)</f>
        <v>#VALUE!</v>
      </c>
      <c r="AH172" s="241" t="e" cm="1">
        <f t="array" ref="AH172">bdRateExtend($G172:$G177,H172:H177,$R172:$R177,S172:S177)</f>
        <v>#VALUE!</v>
      </c>
      <c r="AI172" s="241" t="e" cm="1">
        <f t="array" ref="AI172">bdRateExtend($G172:$G177,I172:I177,$R172:$R177,T172:T177)</f>
        <v>#VALUE!</v>
      </c>
      <c r="AJ172" s="244" t="e" cm="1">
        <f t="array" ref="AJ172">bdRateExtend($G172:$G177,J172:J177,$R172:$R177,U172:U177)</f>
        <v>#VALUE!</v>
      </c>
      <c r="AK172" s="239" t="e" cm="1">
        <f t="array" ref="AK172">bdRateExtend($G172:$G175,K172:K175,$R172:$R175,V172:V175)</f>
        <v>#VALUE!</v>
      </c>
      <c r="AL172" s="248" t="e" cm="1">
        <f t="array" ref="AL172">bdRateExtend($G172:$G177,K172:K177,$R172:$R177,V172:V177)</f>
        <v>#VALUE!</v>
      </c>
      <c r="AM172" s="239" t="e" cm="1">
        <f t="array" ref="AM172">bdRateExtend($G172:$G175,L172:L175,$R172:$R175,W172:W175)</f>
        <v>#VALUE!</v>
      </c>
      <c r="AN172" s="248" t="e" cm="1">
        <f t="array" ref="AN172">bdRateExtend($G172:$G177,L172:L177,$R172:$R177,W172:W177)</f>
        <v>#VALUE!</v>
      </c>
      <c r="AO172" s="254" t="e" cm="1">
        <f t="array" ref="AO172">bdRateExtend($G172:$G175,M172:M175,$R172:$R175,X172:X175)</f>
        <v>#VALUE!</v>
      </c>
      <c r="AP172" s="248" t="e" cm="1">
        <f t="array" ref="AP172">bdRateExtend($G172:$G177,M172:M177,$R172:$R177,X172:X177)</f>
        <v>#VALUE!</v>
      </c>
    </row>
    <row r="173" spans="1:42" ht="17.100000000000001" customHeight="1" outlineLevel="4" x14ac:dyDescent="0.25">
      <c r="A173" s="222"/>
      <c r="B173" s="219"/>
      <c r="C173" s="229"/>
      <c r="D173" s="232"/>
      <c r="E173" s="235"/>
      <c r="F173" s="16">
        <v>31</v>
      </c>
      <c r="G173" s="34"/>
      <c r="H173" s="39"/>
      <c r="I173" s="39"/>
      <c r="J173" s="39"/>
      <c r="K173" s="39"/>
      <c r="L173" s="39"/>
      <c r="M173" s="39"/>
      <c r="N173" s="39"/>
      <c r="O173" s="39"/>
      <c r="P173" s="35"/>
      <c r="Q173" s="18"/>
      <c r="R173" s="34"/>
      <c r="S173" s="39"/>
      <c r="T173" s="39"/>
      <c r="U173" s="39"/>
      <c r="V173" s="39"/>
      <c r="W173" s="39"/>
      <c r="X173" s="39"/>
      <c r="Y173" s="39"/>
      <c r="Z173" s="39"/>
      <c r="AA173" s="35"/>
      <c r="AB173" s="50" t="e">
        <f t="shared" si="10"/>
        <v>#DIV/0!</v>
      </c>
      <c r="AC173" s="51" t="e">
        <f t="shared" si="11"/>
        <v>#DIV/0!</v>
      </c>
      <c r="AD173" s="19"/>
      <c r="AE173" s="19"/>
      <c r="AF173" s="285"/>
      <c r="AG173" s="240"/>
      <c r="AH173" s="242"/>
      <c r="AI173" s="242"/>
      <c r="AJ173" s="245"/>
      <c r="AK173" s="240"/>
      <c r="AL173" s="249"/>
      <c r="AM173" s="240"/>
      <c r="AN173" s="249"/>
      <c r="AO173" s="252"/>
      <c r="AP173" s="249"/>
    </row>
    <row r="174" spans="1:42" ht="17.100000000000001" customHeight="1" outlineLevel="4" x14ac:dyDescent="0.25">
      <c r="A174" s="222"/>
      <c r="B174" s="219"/>
      <c r="C174" s="229"/>
      <c r="D174" s="232"/>
      <c r="E174" s="235"/>
      <c r="F174" s="16">
        <v>39</v>
      </c>
      <c r="G174" s="34"/>
      <c r="H174" s="39"/>
      <c r="I174" s="39"/>
      <c r="J174" s="39"/>
      <c r="K174" s="39"/>
      <c r="L174" s="39"/>
      <c r="M174" s="39"/>
      <c r="N174" s="39"/>
      <c r="O174" s="39"/>
      <c r="P174" s="35"/>
      <c r="Q174" s="18"/>
      <c r="R174" s="34"/>
      <c r="S174" s="39"/>
      <c r="T174" s="39"/>
      <c r="U174" s="39"/>
      <c r="V174" s="39"/>
      <c r="W174" s="39"/>
      <c r="X174" s="39"/>
      <c r="Y174" s="39"/>
      <c r="Z174" s="39"/>
      <c r="AA174" s="35"/>
      <c r="AB174" s="50" t="e">
        <f t="shared" si="10"/>
        <v>#DIV/0!</v>
      </c>
      <c r="AC174" s="51" t="e">
        <f t="shared" si="11"/>
        <v>#DIV/0!</v>
      </c>
      <c r="AD174" s="19"/>
      <c r="AE174" s="19"/>
      <c r="AF174" s="285" t="s">
        <v>127</v>
      </c>
      <c r="AG174" s="240" t="e" cm="1">
        <f t="array" ref="AG174">bdRateExtend($G173:$G176,H173:H176,$R173:$R176,S173:S176)</f>
        <v>#VALUE!</v>
      </c>
      <c r="AH174" s="242"/>
      <c r="AI174" s="242"/>
      <c r="AJ174" s="245"/>
      <c r="AK174" s="240" t="e" cm="1">
        <f t="array" ref="AK174">bdRateExtend($G173:$G176,K173:K176,$R173:$R176,V173:V176)</f>
        <v>#VALUE!</v>
      </c>
      <c r="AL174" s="249"/>
      <c r="AM174" s="240" t="e" cm="1">
        <f t="array" ref="AM174">bdRateExtend($G173:$G176,L173:L176,$R173:$R176,W173:W176)</f>
        <v>#VALUE!</v>
      </c>
      <c r="AN174" s="249"/>
      <c r="AO174" s="252" t="e" cm="1">
        <f t="array" ref="AO174">bdRateExtend($G173:$G176,M173:M176,$R173:$R176,X173:X176)</f>
        <v>#VALUE!</v>
      </c>
      <c r="AP174" s="249"/>
    </row>
    <row r="175" spans="1:42" ht="17.100000000000001" customHeight="1" outlineLevel="4" x14ac:dyDescent="0.25">
      <c r="A175" s="222"/>
      <c r="B175" s="219"/>
      <c r="C175" s="229"/>
      <c r="D175" s="232"/>
      <c r="E175" s="235"/>
      <c r="F175" s="16">
        <v>47</v>
      </c>
      <c r="G175" s="34"/>
      <c r="H175" s="39"/>
      <c r="I175" s="39"/>
      <c r="J175" s="39"/>
      <c r="K175" s="39"/>
      <c r="L175" s="39"/>
      <c r="M175" s="39"/>
      <c r="N175" s="39"/>
      <c r="O175" s="39"/>
      <c r="P175" s="35"/>
      <c r="Q175" s="18"/>
      <c r="R175" s="34"/>
      <c r="S175" s="39"/>
      <c r="T175" s="39"/>
      <c r="U175" s="39"/>
      <c r="V175" s="39"/>
      <c r="W175" s="39"/>
      <c r="X175" s="39"/>
      <c r="Y175" s="39"/>
      <c r="Z175" s="39"/>
      <c r="AA175" s="35"/>
      <c r="AB175" s="50" t="e">
        <f t="shared" si="10"/>
        <v>#DIV/0!</v>
      </c>
      <c r="AC175" s="51" t="e">
        <f t="shared" si="11"/>
        <v>#DIV/0!</v>
      </c>
      <c r="AD175" s="19"/>
      <c r="AE175" s="19"/>
      <c r="AF175" s="285"/>
      <c r="AG175" s="240"/>
      <c r="AH175" s="242"/>
      <c r="AI175" s="242"/>
      <c r="AJ175" s="245"/>
      <c r="AK175" s="240"/>
      <c r="AL175" s="249"/>
      <c r="AM175" s="240"/>
      <c r="AN175" s="249"/>
      <c r="AO175" s="252"/>
      <c r="AP175" s="249"/>
    </row>
    <row r="176" spans="1:42" ht="17.100000000000001" customHeight="1" outlineLevel="4" x14ac:dyDescent="0.25">
      <c r="A176" s="222"/>
      <c r="B176" s="219"/>
      <c r="C176" s="229"/>
      <c r="D176" s="232"/>
      <c r="E176" s="235"/>
      <c r="F176" s="16">
        <v>55</v>
      </c>
      <c r="G176" s="34"/>
      <c r="H176" s="39"/>
      <c r="I176" s="39"/>
      <c r="J176" s="39"/>
      <c r="K176" s="39"/>
      <c r="L176" s="39"/>
      <c r="M176" s="39"/>
      <c r="N176" s="39"/>
      <c r="O176" s="39"/>
      <c r="P176" s="35"/>
      <c r="Q176" s="18"/>
      <c r="R176" s="34"/>
      <c r="S176" s="39"/>
      <c r="T176" s="39"/>
      <c r="U176" s="39"/>
      <c r="V176" s="39"/>
      <c r="W176" s="39"/>
      <c r="X176" s="39"/>
      <c r="Y176" s="39"/>
      <c r="Z176" s="39"/>
      <c r="AA176" s="35"/>
      <c r="AB176" s="50" t="e">
        <f t="shared" si="10"/>
        <v>#DIV/0!</v>
      </c>
      <c r="AC176" s="51" t="e">
        <f t="shared" si="11"/>
        <v>#DIV/0!</v>
      </c>
      <c r="AD176" s="19"/>
      <c r="AE176" s="19"/>
      <c r="AF176" s="285" t="s">
        <v>128</v>
      </c>
      <c r="AG176" s="240" t="e" cm="1">
        <f t="array" ref="AG176">bdRateExtend($G174:$G177,H174:H177,$R174:$R177,S174:S177)</f>
        <v>#VALUE!</v>
      </c>
      <c r="AH176" s="242"/>
      <c r="AI176" s="242"/>
      <c r="AJ176" s="245"/>
      <c r="AK176" s="240" t="e" cm="1">
        <f t="array" ref="AK176">bdRateExtend($G174:$G177,K174:K177,$R174:$R177,V174:V177)</f>
        <v>#VALUE!</v>
      </c>
      <c r="AL176" s="249"/>
      <c r="AM176" s="240" t="e" cm="1">
        <f t="array" ref="AM176">bdRateExtend($G174:$G177,L174:L177,$R174:$R177,W174:W177)</f>
        <v>#VALUE!</v>
      </c>
      <c r="AN176" s="249"/>
      <c r="AO176" s="252" t="e" cm="1">
        <f t="array" ref="AO176">bdRateExtend($G174:$G177,M174:M177,$R174:$R177,X174:X177)</f>
        <v>#VALUE!</v>
      </c>
      <c r="AP176" s="249"/>
    </row>
    <row r="177" spans="1:42" ht="17.100000000000001" customHeight="1" outlineLevel="4" thickBot="1" x14ac:dyDescent="0.3">
      <c r="A177" s="222"/>
      <c r="B177" s="220"/>
      <c r="C177" s="230"/>
      <c r="D177" s="233"/>
      <c r="E177" s="236"/>
      <c r="F177" s="9">
        <v>63</v>
      </c>
      <c r="G177" s="36"/>
      <c r="H177" s="37"/>
      <c r="I177" s="37"/>
      <c r="J177" s="37"/>
      <c r="K177" s="37"/>
      <c r="L177" s="37"/>
      <c r="M177" s="37"/>
      <c r="N177" s="37"/>
      <c r="O177" s="37"/>
      <c r="P177" s="38"/>
      <c r="Q177" s="18"/>
      <c r="R177" s="36"/>
      <c r="S177" s="37"/>
      <c r="T177" s="37"/>
      <c r="U177" s="37"/>
      <c r="V177" s="37"/>
      <c r="W177" s="37"/>
      <c r="X177" s="37"/>
      <c r="Y177" s="37"/>
      <c r="Z177" s="37"/>
      <c r="AA177" s="38"/>
      <c r="AB177" s="52" t="e">
        <f t="shared" si="10"/>
        <v>#DIV/0!</v>
      </c>
      <c r="AC177" s="53" t="e">
        <f t="shared" si="11"/>
        <v>#DIV/0!</v>
      </c>
      <c r="AD177" s="19"/>
      <c r="AE177" s="19"/>
      <c r="AF177" s="286"/>
      <c r="AG177" s="247"/>
      <c r="AH177" s="243"/>
      <c r="AI177" s="243"/>
      <c r="AJ177" s="246"/>
      <c r="AK177" s="247"/>
      <c r="AL177" s="250"/>
      <c r="AM177" s="247"/>
      <c r="AN177" s="250"/>
      <c r="AO177" s="253"/>
      <c r="AP177" s="250"/>
    </row>
    <row r="178" spans="1:42" ht="17.100000000000001" customHeight="1" outlineLevel="4" x14ac:dyDescent="0.25">
      <c r="A178" s="222"/>
      <c r="B178" s="218" t="s">
        <v>24</v>
      </c>
      <c r="C178" s="228" t="s">
        <v>58</v>
      </c>
      <c r="D178" s="231">
        <v>60</v>
      </c>
      <c r="E178" s="234" t="s">
        <v>23</v>
      </c>
      <c r="F178" s="7">
        <v>23</v>
      </c>
      <c r="G178" s="31"/>
      <c r="H178" s="32"/>
      <c r="I178" s="32"/>
      <c r="J178" s="32"/>
      <c r="K178" s="32"/>
      <c r="L178" s="32"/>
      <c r="M178" s="32"/>
      <c r="N178" s="32"/>
      <c r="O178" s="32"/>
      <c r="P178" s="33"/>
      <c r="Q178" s="18"/>
      <c r="R178" s="31"/>
      <c r="S178" s="32"/>
      <c r="T178" s="32"/>
      <c r="U178" s="32"/>
      <c r="V178" s="32"/>
      <c r="W178" s="32"/>
      <c r="X178" s="32"/>
      <c r="Y178" s="32"/>
      <c r="Z178" s="32"/>
      <c r="AA178" s="33"/>
      <c r="AB178" s="48" t="e">
        <f t="shared" si="10"/>
        <v>#DIV/0!</v>
      </c>
      <c r="AC178" s="49" t="e">
        <f t="shared" si="11"/>
        <v>#DIV/0!</v>
      </c>
      <c r="AD178" s="19"/>
      <c r="AE178" s="19"/>
      <c r="AF178" s="284" t="s">
        <v>126</v>
      </c>
      <c r="AG178" s="239" t="e" cm="1">
        <f t="array" ref="AG178">bdRateExtend($G178:$G181,H178:H181,$R178:$R181,S178:S181)</f>
        <v>#VALUE!</v>
      </c>
      <c r="AH178" s="241" t="e" cm="1">
        <f t="array" ref="AH178">bdRateExtend($G178:$G183,H178:H183,$R178:$R183,S178:S183)</f>
        <v>#VALUE!</v>
      </c>
      <c r="AI178" s="241" t="e" cm="1">
        <f t="array" ref="AI178">bdRateExtend($G178:$G183,I178:I183,$R178:$R183,T178:T183)</f>
        <v>#VALUE!</v>
      </c>
      <c r="AJ178" s="244" t="e" cm="1">
        <f t="array" ref="AJ178">bdRateExtend($G178:$G183,J178:J183,$R178:$R183,U178:U183)</f>
        <v>#VALUE!</v>
      </c>
      <c r="AK178" s="239" t="e" cm="1">
        <f t="array" ref="AK178">bdRateExtend($G178:$G181,K178:K181,$R178:$R181,V178:V181)</f>
        <v>#VALUE!</v>
      </c>
      <c r="AL178" s="248" t="e" cm="1">
        <f t="array" ref="AL178">bdRateExtend($G178:$G183,K178:K183,$R178:$R183,V178:V183)</f>
        <v>#VALUE!</v>
      </c>
      <c r="AM178" s="239" t="e" cm="1">
        <f t="array" ref="AM178">bdRateExtend($G178:$G181,L178:L181,$R178:$R181,W178:W181)</f>
        <v>#VALUE!</v>
      </c>
      <c r="AN178" s="248" t="e" cm="1">
        <f t="array" ref="AN178">bdRateExtend($G178:$G183,L178:L183,$R178:$R183,W178:W183)</f>
        <v>#VALUE!</v>
      </c>
      <c r="AO178" s="254" t="e" cm="1">
        <f t="array" ref="AO178">bdRateExtend($G178:$G181,M178:M181,$R178:$R181,X178:X181)</f>
        <v>#VALUE!</v>
      </c>
      <c r="AP178" s="248" t="e" cm="1">
        <f t="array" ref="AP178">bdRateExtend($G178:$G183,M178:M183,$R178:$R183,X178:X183)</f>
        <v>#VALUE!</v>
      </c>
    </row>
    <row r="179" spans="1:42" ht="17.100000000000001" customHeight="1" outlineLevel="4" x14ac:dyDescent="0.25">
      <c r="A179" s="222"/>
      <c r="B179" s="219"/>
      <c r="C179" s="229"/>
      <c r="D179" s="232"/>
      <c r="E179" s="235"/>
      <c r="F179" s="16">
        <v>31</v>
      </c>
      <c r="G179" s="34"/>
      <c r="H179" s="39"/>
      <c r="I179" s="39"/>
      <c r="J179" s="39"/>
      <c r="K179" s="39"/>
      <c r="L179" s="39"/>
      <c r="M179" s="39"/>
      <c r="N179" s="39"/>
      <c r="O179" s="39"/>
      <c r="P179" s="35"/>
      <c r="Q179" s="18"/>
      <c r="R179" s="34"/>
      <c r="S179" s="39"/>
      <c r="T179" s="39"/>
      <c r="U179" s="39"/>
      <c r="V179" s="39"/>
      <c r="W179" s="39"/>
      <c r="X179" s="39"/>
      <c r="Y179" s="39"/>
      <c r="Z179" s="39"/>
      <c r="AA179" s="35"/>
      <c r="AB179" s="50" t="e">
        <f t="shared" si="10"/>
        <v>#DIV/0!</v>
      </c>
      <c r="AC179" s="51" t="e">
        <f t="shared" si="11"/>
        <v>#DIV/0!</v>
      </c>
      <c r="AD179" s="19"/>
      <c r="AE179" s="19"/>
      <c r="AF179" s="285"/>
      <c r="AG179" s="240"/>
      <c r="AH179" s="242"/>
      <c r="AI179" s="242"/>
      <c r="AJ179" s="245"/>
      <c r="AK179" s="240"/>
      <c r="AL179" s="249"/>
      <c r="AM179" s="240"/>
      <c r="AN179" s="249"/>
      <c r="AO179" s="252"/>
      <c r="AP179" s="249"/>
    </row>
    <row r="180" spans="1:42" ht="17.100000000000001" customHeight="1" outlineLevel="4" x14ac:dyDescent="0.25">
      <c r="A180" s="222"/>
      <c r="B180" s="219"/>
      <c r="C180" s="229"/>
      <c r="D180" s="232"/>
      <c r="E180" s="235"/>
      <c r="F180" s="16">
        <v>39</v>
      </c>
      <c r="G180" s="34"/>
      <c r="H180" s="39"/>
      <c r="I180" s="39"/>
      <c r="J180" s="39"/>
      <c r="K180" s="39"/>
      <c r="L180" s="39"/>
      <c r="M180" s="39"/>
      <c r="N180" s="39"/>
      <c r="O180" s="39"/>
      <c r="P180" s="35"/>
      <c r="Q180" s="18"/>
      <c r="R180" s="34"/>
      <c r="S180" s="39"/>
      <c r="T180" s="39"/>
      <c r="U180" s="39"/>
      <c r="V180" s="39"/>
      <c r="W180" s="39"/>
      <c r="X180" s="39"/>
      <c r="Y180" s="39"/>
      <c r="Z180" s="39"/>
      <c r="AA180" s="35"/>
      <c r="AB180" s="50" t="e">
        <f t="shared" si="10"/>
        <v>#DIV/0!</v>
      </c>
      <c r="AC180" s="51" t="e">
        <f t="shared" si="11"/>
        <v>#DIV/0!</v>
      </c>
      <c r="AD180" s="19"/>
      <c r="AE180" s="19"/>
      <c r="AF180" s="285" t="s">
        <v>127</v>
      </c>
      <c r="AG180" s="240" t="e" cm="1">
        <f t="array" ref="AG180">bdRateExtend($G179:$G182,H179:H182,$R179:$R182,S179:S182)</f>
        <v>#VALUE!</v>
      </c>
      <c r="AH180" s="242"/>
      <c r="AI180" s="242"/>
      <c r="AJ180" s="245"/>
      <c r="AK180" s="240" t="e" cm="1">
        <f t="array" ref="AK180">bdRateExtend($G179:$G182,K179:K182,$R179:$R182,V179:V182)</f>
        <v>#VALUE!</v>
      </c>
      <c r="AL180" s="249"/>
      <c r="AM180" s="240" t="e" cm="1">
        <f t="array" ref="AM180">bdRateExtend($G179:$G182,L179:L182,$R179:$R182,W179:W182)</f>
        <v>#VALUE!</v>
      </c>
      <c r="AN180" s="249"/>
      <c r="AO180" s="252" t="e" cm="1">
        <f t="array" ref="AO180">bdRateExtend($G179:$G182,M179:M182,$R179:$R182,X179:X182)</f>
        <v>#VALUE!</v>
      </c>
      <c r="AP180" s="249"/>
    </row>
    <row r="181" spans="1:42" ht="17.100000000000001" customHeight="1" outlineLevel="4" x14ac:dyDescent="0.25">
      <c r="A181" s="222"/>
      <c r="B181" s="219"/>
      <c r="C181" s="229"/>
      <c r="D181" s="232"/>
      <c r="E181" s="235"/>
      <c r="F181" s="16">
        <v>47</v>
      </c>
      <c r="G181" s="34"/>
      <c r="H181" s="39"/>
      <c r="I181" s="39"/>
      <c r="J181" s="39"/>
      <c r="K181" s="39"/>
      <c r="L181" s="39"/>
      <c r="M181" s="39"/>
      <c r="N181" s="39"/>
      <c r="O181" s="39"/>
      <c r="P181" s="35"/>
      <c r="Q181" s="18"/>
      <c r="R181" s="34"/>
      <c r="S181" s="39"/>
      <c r="T181" s="39"/>
      <c r="U181" s="39"/>
      <c r="V181" s="39"/>
      <c r="W181" s="39"/>
      <c r="X181" s="39"/>
      <c r="Y181" s="39"/>
      <c r="Z181" s="39"/>
      <c r="AA181" s="35"/>
      <c r="AB181" s="50" t="e">
        <f t="shared" si="10"/>
        <v>#DIV/0!</v>
      </c>
      <c r="AC181" s="51" t="e">
        <f t="shared" si="11"/>
        <v>#DIV/0!</v>
      </c>
      <c r="AD181" s="19"/>
      <c r="AE181" s="19"/>
      <c r="AF181" s="285"/>
      <c r="AG181" s="240"/>
      <c r="AH181" s="242"/>
      <c r="AI181" s="242"/>
      <c r="AJ181" s="245"/>
      <c r="AK181" s="240"/>
      <c r="AL181" s="249"/>
      <c r="AM181" s="240"/>
      <c r="AN181" s="249"/>
      <c r="AO181" s="252"/>
      <c r="AP181" s="249"/>
    </row>
    <row r="182" spans="1:42" ht="17.100000000000001" customHeight="1" outlineLevel="4" x14ac:dyDescent="0.25">
      <c r="A182" s="222"/>
      <c r="B182" s="219"/>
      <c r="C182" s="229"/>
      <c r="D182" s="232"/>
      <c r="E182" s="235"/>
      <c r="F182" s="16">
        <v>55</v>
      </c>
      <c r="G182" s="34"/>
      <c r="H182" s="39"/>
      <c r="I182" s="39"/>
      <c r="J182" s="39"/>
      <c r="K182" s="39"/>
      <c r="L182" s="39"/>
      <c r="M182" s="39"/>
      <c r="N182" s="39"/>
      <c r="O182" s="39"/>
      <c r="P182" s="35"/>
      <c r="Q182" s="18"/>
      <c r="R182" s="34"/>
      <c r="S182" s="39"/>
      <c r="T182" s="39"/>
      <c r="U182" s="39"/>
      <c r="V182" s="39"/>
      <c r="W182" s="39"/>
      <c r="X182" s="39"/>
      <c r="Y182" s="39"/>
      <c r="Z182" s="39"/>
      <c r="AA182" s="35"/>
      <c r="AB182" s="50" t="e">
        <f t="shared" si="10"/>
        <v>#DIV/0!</v>
      </c>
      <c r="AC182" s="51" t="e">
        <f t="shared" si="11"/>
        <v>#DIV/0!</v>
      </c>
      <c r="AD182" s="19"/>
      <c r="AE182" s="19"/>
      <c r="AF182" s="285" t="s">
        <v>128</v>
      </c>
      <c r="AG182" s="240" t="e" cm="1">
        <f t="array" ref="AG182">bdRateExtend($G180:$G183,H180:H183,$R180:$R183,S180:S183)</f>
        <v>#VALUE!</v>
      </c>
      <c r="AH182" s="242"/>
      <c r="AI182" s="242"/>
      <c r="AJ182" s="245"/>
      <c r="AK182" s="240" t="e" cm="1">
        <f t="array" ref="AK182">bdRateExtend($G180:$G183,K180:K183,$R180:$R183,V180:V183)</f>
        <v>#VALUE!</v>
      </c>
      <c r="AL182" s="249"/>
      <c r="AM182" s="240" t="e" cm="1">
        <f t="array" ref="AM182">bdRateExtend($G180:$G183,L180:L183,$R180:$R183,W180:W183)</f>
        <v>#VALUE!</v>
      </c>
      <c r="AN182" s="249"/>
      <c r="AO182" s="252" t="e" cm="1">
        <f t="array" ref="AO182">bdRateExtend($G180:$G183,M180:M183,$R180:$R183,X180:X183)</f>
        <v>#VALUE!</v>
      </c>
      <c r="AP182" s="249"/>
    </row>
    <row r="183" spans="1:42" ht="17.100000000000001" customHeight="1" outlineLevel="4" thickBot="1" x14ac:dyDescent="0.3">
      <c r="A183" s="222"/>
      <c r="B183" s="220"/>
      <c r="C183" s="230"/>
      <c r="D183" s="233"/>
      <c r="E183" s="236"/>
      <c r="F183" s="9">
        <v>63</v>
      </c>
      <c r="G183" s="36"/>
      <c r="H183" s="37"/>
      <c r="I183" s="37"/>
      <c r="J183" s="37"/>
      <c r="K183" s="37"/>
      <c r="L183" s="37"/>
      <c r="M183" s="37"/>
      <c r="N183" s="37"/>
      <c r="O183" s="37"/>
      <c r="P183" s="38"/>
      <c r="Q183" s="18"/>
      <c r="R183" s="36"/>
      <c r="S183" s="37"/>
      <c r="T183" s="37"/>
      <c r="U183" s="37"/>
      <c r="V183" s="37"/>
      <c r="W183" s="37"/>
      <c r="X183" s="37"/>
      <c r="Y183" s="37"/>
      <c r="Z183" s="37"/>
      <c r="AA183" s="38"/>
      <c r="AB183" s="52" t="e">
        <f t="shared" si="10"/>
        <v>#DIV/0!</v>
      </c>
      <c r="AC183" s="53" t="e">
        <f t="shared" si="11"/>
        <v>#DIV/0!</v>
      </c>
      <c r="AD183" s="19"/>
      <c r="AE183" s="19"/>
      <c r="AF183" s="286"/>
      <c r="AG183" s="247"/>
      <c r="AH183" s="243"/>
      <c r="AI183" s="243"/>
      <c r="AJ183" s="246"/>
      <c r="AK183" s="247"/>
      <c r="AL183" s="250"/>
      <c r="AM183" s="247"/>
      <c r="AN183" s="250"/>
      <c r="AO183" s="253"/>
      <c r="AP183" s="250"/>
    </row>
    <row r="184" spans="1:42" ht="17.100000000000001" customHeight="1" outlineLevel="4" x14ac:dyDescent="0.25">
      <c r="A184" s="222"/>
      <c r="B184" s="218" t="s">
        <v>24</v>
      </c>
      <c r="C184" s="228" t="s">
        <v>59</v>
      </c>
      <c r="D184" s="231">
        <v>60</v>
      </c>
      <c r="E184" s="234" t="s">
        <v>23</v>
      </c>
      <c r="F184" s="7">
        <v>23</v>
      </c>
      <c r="G184" s="31"/>
      <c r="H184" s="32"/>
      <c r="I184" s="32"/>
      <c r="J184" s="32"/>
      <c r="K184" s="32"/>
      <c r="L184" s="32"/>
      <c r="M184" s="32"/>
      <c r="N184" s="32"/>
      <c r="O184" s="32"/>
      <c r="P184" s="33"/>
      <c r="Q184" s="18"/>
      <c r="R184" s="31"/>
      <c r="S184" s="32"/>
      <c r="T184" s="32"/>
      <c r="U184" s="32"/>
      <c r="V184" s="32"/>
      <c r="W184" s="32"/>
      <c r="X184" s="32"/>
      <c r="Y184" s="32"/>
      <c r="Z184" s="32"/>
      <c r="AA184" s="33"/>
      <c r="AB184" s="48" t="e">
        <f t="shared" si="10"/>
        <v>#DIV/0!</v>
      </c>
      <c r="AC184" s="49" t="e">
        <f t="shared" si="11"/>
        <v>#DIV/0!</v>
      </c>
      <c r="AD184" s="19"/>
      <c r="AE184" s="19"/>
      <c r="AF184" s="284" t="s">
        <v>126</v>
      </c>
      <c r="AG184" s="239" t="e" cm="1">
        <f t="array" ref="AG184">bdRateExtend($G184:$G187,H184:H187,$R184:$R187,S184:S187)</f>
        <v>#VALUE!</v>
      </c>
      <c r="AH184" s="241" t="e" cm="1">
        <f t="array" ref="AH184">bdRateExtend($G184:$G189,H184:H189,$R184:$R189,S184:S189)</f>
        <v>#VALUE!</v>
      </c>
      <c r="AI184" s="241" t="e" cm="1">
        <f t="array" ref="AI184">bdRateExtend($G184:$G189,I184:I189,$R184:$R189,T184:T189)</f>
        <v>#VALUE!</v>
      </c>
      <c r="AJ184" s="244" t="e" cm="1">
        <f t="array" ref="AJ184">bdRateExtend($G184:$G189,J184:J189,$R184:$R189,U184:U189)</f>
        <v>#VALUE!</v>
      </c>
      <c r="AK184" s="239" t="e" cm="1">
        <f t="array" ref="AK184">bdRateExtend($G184:$G187,K184:K187,$R184:$R187,V184:V187)</f>
        <v>#VALUE!</v>
      </c>
      <c r="AL184" s="248" t="e" cm="1">
        <f t="array" ref="AL184">bdRateExtend($G184:$G189,K184:K189,$R184:$R189,V184:V189)</f>
        <v>#VALUE!</v>
      </c>
      <c r="AM184" s="239" t="e" cm="1">
        <f t="array" ref="AM184">bdRateExtend($G184:$G187,L184:L187,$R184:$R187,W184:W187)</f>
        <v>#VALUE!</v>
      </c>
      <c r="AN184" s="248" t="e" cm="1">
        <f t="array" ref="AN184">bdRateExtend($G184:$G189,L184:L189,$R184:$R189,W184:W189)</f>
        <v>#VALUE!</v>
      </c>
      <c r="AO184" s="254" t="e" cm="1">
        <f t="array" ref="AO184">bdRateExtend($G184:$G187,M184:M187,$R184:$R187,X184:X187)</f>
        <v>#VALUE!</v>
      </c>
      <c r="AP184" s="248" t="e" cm="1">
        <f t="array" ref="AP184">bdRateExtend($G184:$G189,M184:M189,$R184:$R189,X184:X189)</f>
        <v>#VALUE!</v>
      </c>
    </row>
    <row r="185" spans="1:42" ht="17.100000000000001" customHeight="1" outlineLevel="4" x14ac:dyDescent="0.25">
      <c r="A185" s="222"/>
      <c r="B185" s="219"/>
      <c r="C185" s="229"/>
      <c r="D185" s="232"/>
      <c r="E185" s="235"/>
      <c r="F185" s="16">
        <v>31</v>
      </c>
      <c r="G185" s="34"/>
      <c r="H185" s="39"/>
      <c r="I185" s="39"/>
      <c r="J185" s="39"/>
      <c r="K185" s="39"/>
      <c r="L185" s="39"/>
      <c r="M185" s="39"/>
      <c r="N185" s="39"/>
      <c r="O185" s="39"/>
      <c r="P185" s="35"/>
      <c r="Q185" s="18"/>
      <c r="R185" s="34"/>
      <c r="S185" s="39"/>
      <c r="T185" s="39"/>
      <c r="U185" s="39"/>
      <c r="V185" s="39"/>
      <c r="W185" s="39"/>
      <c r="X185" s="39"/>
      <c r="Y185" s="39"/>
      <c r="Z185" s="39"/>
      <c r="AA185" s="35"/>
      <c r="AB185" s="50" t="e">
        <f t="shared" si="10"/>
        <v>#DIV/0!</v>
      </c>
      <c r="AC185" s="51" t="e">
        <f t="shared" si="11"/>
        <v>#DIV/0!</v>
      </c>
      <c r="AD185" s="19"/>
      <c r="AE185" s="19"/>
      <c r="AF185" s="285"/>
      <c r="AG185" s="240"/>
      <c r="AH185" s="242"/>
      <c r="AI185" s="242"/>
      <c r="AJ185" s="245"/>
      <c r="AK185" s="240"/>
      <c r="AL185" s="249"/>
      <c r="AM185" s="240"/>
      <c r="AN185" s="249"/>
      <c r="AO185" s="252"/>
      <c r="AP185" s="249"/>
    </row>
    <row r="186" spans="1:42" ht="17.100000000000001" customHeight="1" outlineLevel="4" x14ac:dyDescent="0.25">
      <c r="A186" s="222"/>
      <c r="B186" s="219"/>
      <c r="C186" s="229"/>
      <c r="D186" s="232"/>
      <c r="E186" s="235"/>
      <c r="F186" s="16">
        <v>39</v>
      </c>
      <c r="G186" s="34"/>
      <c r="H186" s="39"/>
      <c r="I186" s="39"/>
      <c r="J186" s="39"/>
      <c r="K186" s="39"/>
      <c r="L186" s="39"/>
      <c r="M186" s="39"/>
      <c r="N186" s="39"/>
      <c r="O186" s="39"/>
      <c r="P186" s="35"/>
      <c r="Q186" s="18"/>
      <c r="R186" s="34"/>
      <c r="S186" s="39"/>
      <c r="T186" s="39"/>
      <c r="U186" s="39"/>
      <c r="V186" s="39"/>
      <c r="W186" s="39"/>
      <c r="X186" s="39"/>
      <c r="Y186" s="39"/>
      <c r="Z186" s="39"/>
      <c r="AA186" s="35"/>
      <c r="AB186" s="50" t="e">
        <f t="shared" si="10"/>
        <v>#DIV/0!</v>
      </c>
      <c r="AC186" s="51" t="e">
        <f t="shared" si="11"/>
        <v>#DIV/0!</v>
      </c>
      <c r="AD186" s="19"/>
      <c r="AE186" s="19"/>
      <c r="AF186" s="285" t="s">
        <v>127</v>
      </c>
      <c r="AG186" s="240" t="e" cm="1">
        <f t="array" ref="AG186">bdRateExtend($G185:$G188,H185:H188,$R185:$R188,S185:S188)</f>
        <v>#VALUE!</v>
      </c>
      <c r="AH186" s="242"/>
      <c r="AI186" s="242"/>
      <c r="AJ186" s="245"/>
      <c r="AK186" s="240" t="e" cm="1">
        <f t="array" ref="AK186">bdRateExtend($G185:$G188,K185:K188,$R185:$R188,V185:V188)</f>
        <v>#VALUE!</v>
      </c>
      <c r="AL186" s="249"/>
      <c r="AM186" s="240" t="e" cm="1">
        <f t="array" ref="AM186">bdRateExtend($G185:$G188,L185:L188,$R185:$R188,W185:W188)</f>
        <v>#VALUE!</v>
      </c>
      <c r="AN186" s="249"/>
      <c r="AO186" s="252" t="e" cm="1">
        <f t="array" ref="AO186">bdRateExtend($G185:$G188,M185:M188,$R185:$R188,X185:X188)</f>
        <v>#VALUE!</v>
      </c>
      <c r="AP186" s="249"/>
    </row>
    <row r="187" spans="1:42" ht="17.100000000000001" customHeight="1" outlineLevel="4" x14ac:dyDescent="0.25">
      <c r="A187" s="222"/>
      <c r="B187" s="219"/>
      <c r="C187" s="229"/>
      <c r="D187" s="232"/>
      <c r="E187" s="235"/>
      <c r="F187" s="16">
        <v>47</v>
      </c>
      <c r="G187" s="34"/>
      <c r="H187" s="39"/>
      <c r="I187" s="39"/>
      <c r="J187" s="39"/>
      <c r="K187" s="39"/>
      <c r="L187" s="39"/>
      <c r="M187" s="39"/>
      <c r="N187" s="39"/>
      <c r="O187" s="39"/>
      <c r="P187" s="35"/>
      <c r="Q187" s="18"/>
      <c r="R187" s="34"/>
      <c r="S187" s="39"/>
      <c r="T187" s="39"/>
      <c r="U187" s="39"/>
      <c r="V187" s="39"/>
      <c r="W187" s="39"/>
      <c r="X187" s="39"/>
      <c r="Y187" s="39"/>
      <c r="Z187" s="39"/>
      <c r="AA187" s="35"/>
      <c r="AB187" s="50" t="e">
        <f t="shared" si="10"/>
        <v>#DIV/0!</v>
      </c>
      <c r="AC187" s="51" t="e">
        <f t="shared" si="11"/>
        <v>#DIV/0!</v>
      </c>
      <c r="AD187" s="19"/>
      <c r="AE187" s="19"/>
      <c r="AF187" s="285"/>
      <c r="AG187" s="240"/>
      <c r="AH187" s="242"/>
      <c r="AI187" s="242"/>
      <c r="AJ187" s="245"/>
      <c r="AK187" s="240"/>
      <c r="AL187" s="249"/>
      <c r="AM187" s="240"/>
      <c r="AN187" s="249"/>
      <c r="AO187" s="252"/>
      <c r="AP187" s="249"/>
    </row>
    <row r="188" spans="1:42" ht="17.100000000000001" customHeight="1" outlineLevel="4" x14ac:dyDescent="0.25">
      <c r="A188" s="222"/>
      <c r="B188" s="219"/>
      <c r="C188" s="229"/>
      <c r="D188" s="232"/>
      <c r="E188" s="235"/>
      <c r="F188" s="16">
        <v>55</v>
      </c>
      <c r="G188" s="34"/>
      <c r="H188" s="39"/>
      <c r="I188" s="39"/>
      <c r="J188" s="39"/>
      <c r="K188" s="39"/>
      <c r="L188" s="39"/>
      <c r="M188" s="39"/>
      <c r="N188" s="39"/>
      <c r="O188" s="39"/>
      <c r="P188" s="35"/>
      <c r="Q188" s="18"/>
      <c r="R188" s="34"/>
      <c r="S188" s="39"/>
      <c r="T188" s="39"/>
      <c r="U188" s="39"/>
      <c r="V188" s="39"/>
      <c r="W188" s="39"/>
      <c r="X188" s="39"/>
      <c r="Y188" s="39"/>
      <c r="Z188" s="39"/>
      <c r="AA188" s="35"/>
      <c r="AB188" s="50" t="e">
        <f t="shared" si="10"/>
        <v>#DIV/0!</v>
      </c>
      <c r="AC188" s="51" t="e">
        <f t="shared" si="11"/>
        <v>#DIV/0!</v>
      </c>
      <c r="AD188" s="19"/>
      <c r="AE188" s="19"/>
      <c r="AF188" s="285" t="s">
        <v>128</v>
      </c>
      <c r="AG188" s="240" t="e" cm="1">
        <f t="array" ref="AG188">bdRateExtend($G186:$G189,H186:H189,$R186:$R189,S186:S189)</f>
        <v>#VALUE!</v>
      </c>
      <c r="AH188" s="242"/>
      <c r="AI188" s="242"/>
      <c r="AJ188" s="245"/>
      <c r="AK188" s="240" t="e" cm="1">
        <f t="array" ref="AK188">bdRateExtend($G186:$G189,K186:K189,$R186:$R189,V186:V189)</f>
        <v>#VALUE!</v>
      </c>
      <c r="AL188" s="249"/>
      <c r="AM188" s="240" t="e" cm="1">
        <f t="array" ref="AM188">bdRateExtend($G186:$G189,L186:L189,$R186:$R189,W186:W189)</f>
        <v>#VALUE!</v>
      </c>
      <c r="AN188" s="249"/>
      <c r="AO188" s="252" t="e" cm="1">
        <f t="array" ref="AO188">bdRateExtend($G186:$G189,M186:M189,$R186:$R189,X186:X189)</f>
        <v>#VALUE!</v>
      </c>
      <c r="AP188" s="249"/>
    </row>
    <row r="189" spans="1:42" ht="17.100000000000001" customHeight="1" outlineLevel="4" thickBot="1" x14ac:dyDescent="0.3">
      <c r="A189" s="222"/>
      <c r="B189" s="220"/>
      <c r="C189" s="230"/>
      <c r="D189" s="233"/>
      <c r="E189" s="236"/>
      <c r="F189" s="9">
        <v>63</v>
      </c>
      <c r="G189" s="36"/>
      <c r="H189" s="37"/>
      <c r="I189" s="37"/>
      <c r="J189" s="37"/>
      <c r="K189" s="37"/>
      <c r="L189" s="37"/>
      <c r="M189" s="37"/>
      <c r="N189" s="37"/>
      <c r="O189" s="37"/>
      <c r="P189" s="38"/>
      <c r="Q189" s="18"/>
      <c r="R189" s="36"/>
      <c r="S189" s="37"/>
      <c r="T189" s="37"/>
      <c r="U189" s="37"/>
      <c r="V189" s="37"/>
      <c r="W189" s="37"/>
      <c r="X189" s="37"/>
      <c r="Y189" s="37"/>
      <c r="Z189" s="37"/>
      <c r="AA189" s="38"/>
      <c r="AB189" s="52" t="e">
        <f t="shared" si="10"/>
        <v>#DIV/0!</v>
      </c>
      <c r="AC189" s="53" t="e">
        <f t="shared" si="11"/>
        <v>#DIV/0!</v>
      </c>
      <c r="AD189" s="19"/>
      <c r="AE189" s="19"/>
      <c r="AF189" s="286"/>
      <c r="AG189" s="247"/>
      <c r="AH189" s="243"/>
      <c r="AI189" s="243"/>
      <c r="AJ189" s="246"/>
      <c r="AK189" s="247"/>
      <c r="AL189" s="250"/>
      <c r="AM189" s="247"/>
      <c r="AN189" s="250"/>
      <c r="AO189" s="253"/>
      <c r="AP189" s="250"/>
    </row>
    <row r="190" spans="1:42" ht="17.100000000000001" customHeight="1" outlineLevel="4" x14ac:dyDescent="0.25">
      <c r="A190" s="222"/>
      <c r="B190" s="218" t="s">
        <v>24</v>
      </c>
      <c r="C190" s="228" t="s">
        <v>60</v>
      </c>
      <c r="D190" s="231">
        <v>59.94</v>
      </c>
      <c r="E190" s="234">
        <v>10</v>
      </c>
      <c r="F190" s="7">
        <v>23</v>
      </c>
      <c r="G190" s="31"/>
      <c r="H190" s="32"/>
      <c r="I190" s="32"/>
      <c r="J190" s="32"/>
      <c r="K190" s="32"/>
      <c r="L190" s="32"/>
      <c r="M190" s="32"/>
      <c r="N190" s="32"/>
      <c r="O190" s="32"/>
      <c r="P190" s="33"/>
      <c r="Q190" s="18"/>
      <c r="R190" s="31"/>
      <c r="S190" s="32"/>
      <c r="T190" s="32"/>
      <c r="U190" s="32"/>
      <c r="V190" s="32"/>
      <c r="W190" s="32"/>
      <c r="X190" s="32"/>
      <c r="Y190" s="32"/>
      <c r="Z190" s="32"/>
      <c r="AA190" s="33"/>
      <c r="AB190" s="48" t="e">
        <f t="shared" si="10"/>
        <v>#DIV/0!</v>
      </c>
      <c r="AC190" s="49" t="e">
        <f t="shared" si="11"/>
        <v>#DIV/0!</v>
      </c>
      <c r="AD190" s="19"/>
      <c r="AE190" s="19"/>
      <c r="AF190" s="284" t="s">
        <v>126</v>
      </c>
      <c r="AG190" s="239" t="e" cm="1">
        <f t="array" ref="AG190">bdRateExtend($G190:$G193,H190:H193,$R190:$R193,S190:S193)</f>
        <v>#VALUE!</v>
      </c>
      <c r="AH190" s="241" t="e" cm="1">
        <f t="array" ref="AH190">bdRateExtend($G190:$G195,H190:H195,$R190:$R195,S190:S195)</f>
        <v>#VALUE!</v>
      </c>
      <c r="AI190" s="241" t="e" cm="1">
        <f t="array" ref="AI190">bdRateExtend($G190:$G195,I190:I195,$R190:$R195,T190:T195)</f>
        <v>#VALUE!</v>
      </c>
      <c r="AJ190" s="244" t="e" cm="1">
        <f t="array" ref="AJ190">bdRateExtend($G190:$G195,J190:J195,$R190:$R195,U190:U195)</f>
        <v>#VALUE!</v>
      </c>
      <c r="AK190" s="239" t="e" cm="1">
        <f t="array" ref="AK190">bdRateExtend($G190:$G193,K190:K193,$R190:$R193,V190:V193)</f>
        <v>#VALUE!</v>
      </c>
      <c r="AL190" s="248" t="e" cm="1">
        <f t="array" ref="AL190">bdRateExtend($G190:$G195,K190:K195,$R190:$R195,V190:V195)</f>
        <v>#VALUE!</v>
      </c>
      <c r="AM190" s="239" t="e" cm="1">
        <f t="array" ref="AM190">bdRateExtend($G190:$G193,L190:L193,$R190:$R193,W190:W193)</f>
        <v>#VALUE!</v>
      </c>
      <c r="AN190" s="248" t="e" cm="1">
        <f t="array" ref="AN190">bdRateExtend($G190:$G195,L190:L195,$R190:$R195,W190:W195)</f>
        <v>#VALUE!</v>
      </c>
      <c r="AO190" s="254" t="e" cm="1">
        <f t="array" ref="AO190">bdRateExtend($G190:$G193,M190:M193,$R190:$R193,X190:X193)</f>
        <v>#VALUE!</v>
      </c>
      <c r="AP190" s="248" t="e" cm="1">
        <f t="array" ref="AP190">bdRateExtend($G190:$G195,M190:M195,$R190:$R195,X190:X195)</f>
        <v>#VALUE!</v>
      </c>
    </row>
    <row r="191" spans="1:42" ht="17.100000000000001" customHeight="1" outlineLevel="4" x14ac:dyDescent="0.25">
      <c r="A191" s="222"/>
      <c r="B191" s="219"/>
      <c r="C191" s="229"/>
      <c r="D191" s="232"/>
      <c r="E191" s="235"/>
      <c r="F191" s="16">
        <v>31</v>
      </c>
      <c r="G191" s="34"/>
      <c r="H191" s="39"/>
      <c r="I191" s="39"/>
      <c r="J191" s="39"/>
      <c r="K191" s="39"/>
      <c r="L191" s="39"/>
      <c r="M191" s="39"/>
      <c r="N191" s="39"/>
      <c r="O191" s="39"/>
      <c r="P191" s="35"/>
      <c r="Q191" s="18"/>
      <c r="R191" s="34"/>
      <c r="S191" s="39"/>
      <c r="T191" s="39"/>
      <c r="U191" s="39"/>
      <c r="V191" s="39"/>
      <c r="W191" s="39"/>
      <c r="X191" s="39"/>
      <c r="Y191" s="39"/>
      <c r="Z191" s="39"/>
      <c r="AA191" s="35"/>
      <c r="AB191" s="50" t="e">
        <f t="shared" si="10"/>
        <v>#DIV/0!</v>
      </c>
      <c r="AC191" s="51" t="e">
        <f t="shared" si="11"/>
        <v>#DIV/0!</v>
      </c>
      <c r="AD191" s="19"/>
      <c r="AE191" s="19"/>
      <c r="AF191" s="285"/>
      <c r="AG191" s="240"/>
      <c r="AH191" s="242"/>
      <c r="AI191" s="242"/>
      <c r="AJ191" s="245"/>
      <c r="AK191" s="240"/>
      <c r="AL191" s="249"/>
      <c r="AM191" s="240"/>
      <c r="AN191" s="249"/>
      <c r="AO191" s="252"/>
      <c r="AP191" s="249"/>
    </row>
    <row r="192" spans="1:42" ht="17.100000000000001" customHeight="1" outlineLevel="4" x14ac:dyDescent="0.25">
      <c r="A192" s="222"/>
      <c r="B192" s="219"/>
      <c r="C192" s="229"/>
      <c r="D192" s="232"/>
      <c r="E192" s="235"/>
      <c r="F192" s="16">
        <v>39</v>
      </c>
      <c r="G192" s="34"/>
      <c r="H192" s="39"/>
      <c r="I192" s="39"/>
      <c r="J192" s="39"/>
      <c r="K192" s="39"/>
      <c r="L192" s="39"/>
      <c r="M192" s="39"/>
      <c r="N192" s="39"/>
      <c r="O192" s="39"/>
      <c r="P192" s="35"/>
      <c r="Q192" s="18"/>
      <c r="R192" s="34"/>
      <c r="S192" s="39"/>
      <c r="T192" s="39"/>
      <c r="U192" s="39"/>
      <c r="V192" s="39"/>
      <c r="W192" s="39"/>
      <c r="X192" s="39"/>
      <c r="Y192" s="39"/>
      <c r="Z192" s="39"/>
      <c r="AA192" s="35"/>
      <c r="AB192" s="50" t="e">
        <f t="shared" si="10"/>
        <v>#DIV/0!</v>
      </c>
      <c r="AC192" s="51" t="e">
        <f t="shared" si="11"/>
        <v>#DIV/0!</v>
      </c>
      <c r="AD192" s="19"/>
      <c r="AE192" s="19"/>
      <c r="AF192" s="285" t="s">
        <v>127</v>
      </c>
      <c r="AG192" s="240" t="e" cm="1">
        <f t="array" ref="AG192">bdRateExtend($G191:$G194,H191:H194,$R191:$R194,S191:S194)</f>
        <v>#VALUE!</v>
      </c>
      <c r="AH192" s="242"/>
      <c r="AI192" s="242"/>
      <c r="AJ192" s="245"/>
      <c r="AK192" s="240" t="e" cm="1">
        <f t="array" ref="AK192">bdRateExtend($G191:$G194,K191:K194,$R191:$R194,V191:V194)</f>
        <v>#VALUE!</v>
      </c>
      <c r="AL192" s="249"/>
      <c r="AM192" s="240" t="e" cm="1">
        <f t="array" ref="AM192">bdRateExtend($G191:$G194,L191:L194,$R191:$R194,W191:W194)</f>
        <v>#VALUE!</v>
      </c>
      <c r="AN192" s="249"/>
      <c r="AO192" s="252" t="e" cm="1">
        <f t="array" ref="AO192">bdRateExtend($G191:$G194,M191:M194,$R191:$R194,X191:X194)</f>
        <v>#VALUE!</v>
      </c>
      <c r="AP192" s="249"/>
    </row>
    <row r="193" spans="1:42" ht="17.100000000000001" customHeight="1" outlineLevel="4" x14ac:dyDescent="0.25">
      <c r="A193" s="222"/>
      <c r="B193" s="219"/>
      <c r="C193" s="229"/>
      <c r="D193" s="232"/>
      <c r="E193" s="235"/>
      <c r="F193" s="16">
        <v>47</v>
      </c>
      <c r="G193" s="34"/>
      <c r="H193" s="39"/>
      <c r="I193" s="39"/>
      <c r="J193" s="39"/>
      <c r="K193" s="39"/>
      <c r="L193" s="39"/>
      <c r="M193" s="39"/>
      <c r="N193" s="39"/>
      <c r="O193" s="39"/>
      <c r="P193" s="35"/>
      <c r="Q193" s="18"/>
      <c r="R193" s="34"/>
      <c r="S193" s="39"/>
      <c r="T193" s="39"/>
      <c r="U193" s="39"/>
      <c r="V193" s="39"/>
      <c r="W193" s="39"/>
      <c r="X193" s="39"/>
      <c r="Y193" s="39"/>
      <c r="Z193" s="39"/>
      <c r="AA193" s="35"/>
      <c r="AB193" s="50" t="e">
        <f t="shared" si="10"/>
        <v>#DIV/0!</v>
      </c>
      <c r="AC193" s="51" t="e">
        <f t="shared" si="11"/>
        <v>#DIV/0!</v>
      </c>
      <c r="AD193" s="19"/>
      <c r="AE193" s="19"/>
      <c r="AF193" s="285"/>
      <c r="AG193" s="240"/>
      <c r="AH193" s="242"/>
      <c r="AI193" s="242"/>
      <c r="AJ193" s="245"/>
      <c r="AK193" s="240"/>
      <c r="AL193" s="249"/>
      <c r="AM193" s="240"/>
      <c r="AN193" s="249"/>
      <c r="AO193" s="252"/>
      <c r="AP193" s="249"/>
    </row>
    <row r="194" spans="1:42" ht="17.100000000000001" customHeight="1" outlineLevel="4" x14ac:dyDescent="0.25">
      <c r="A194" s="222"/>
      <c r="B194" s="219"/>
      <c r="C194" s="229"/>
      <c r="D194" s="232"/>
      <c r="E194" s="235"/>
      <c r="F194" s="16">
        <v>55</v>
      </c>
      <c r="G194" s="34"/>
      <c r="H194" s="39"/>
      <c r="I194" s="39"/>
      <c r="J194" s="39"/>
      <c r="K194" s="39"/>
      <c r="L194" s="39"/>
      <c r="M194" s="39"/>
      <c r="N194" s="39"/>
      <c r="O194" s="39"/>
      <c r="P194" s="35"/>
      <c r="Q194" s="18"/>
      <c r="R194" s="34"/>
      <c r="S194" s="39"/>
      <c r="T194" s="39"/>
      <c r="U194" s="39"/>
      <c r="V194" s="39"/>
      <c r="W194" s="39"/>
      <c r="X194" s="39"/>
      <c r="Y194" s="39"/>
      <c r="Z194" s="39"/>
      <c r="AA194" s="35"/>
      <c r="AB194" s="50" t="e">
        <f t="shared" si="10"/>
        <v>#DIV/0!</v>
      </c>
      <c r="AC194" s="51" t="e">
        <f t="shared" si="11"/>
        <v>#DIV/0!</v>
      </c>
      <c r="AD194" s="19"/>
      <c r="AE194" s="19"/>
      <c r="AF194" s="285" t="s">
        <v>128</v>
      </c>
      <c r="AG194" s="240" t="e" cm="1">
        <f t="array" ref="AG194">bdRateExtend($G192:$G195,H192:H195,$R192:$R195,S192:S195)</f>
        <v>#VALUE!</v>
      </c>
      <c r="AH194" s="242"/>
      <c r="AI194" s="242"/>
      <c r="AJ194" s="245"/>
      <c r="AK194" s="240" t="e" cm="1">
        <f t="array" ref="AK194">bdRateExtend($G192:$G195,K192:K195,$R192:$R195,V192:V195)</f>
        <v>#VALUE!</v>
      </c>
      <c r="AL194" s="249"/>
      <c r="AM194" s="240" t="e" cm="1">
        <f t="array" ref="AM194">bdRateExtend($G192:$G195,L192:L195,$R192:$R195,W192:W195)</f>
        <v>#VALUE!</v>
      </c>
      <c r="AN194" s="249"/>
      <c r="AO194" s="252" t="e" cm="1">
        <f t="array" ref="AO194">bdRateExtend($G192:$G195,M192:M195,$R192:$R195,X192:X195)</f>
        <v>#VALUE!</v>
      </c>
      <c r="AP194" s="249"/>
    </row>
    <row r="195" spans="1:42" ht="17.100000000000001" customHeight="1" outlineLevel="4" thickBot="1" x14ac:dyDescent="0.3">
      <c r="A195" s="222"/>
      <c r="B195" s="220"/>
      <c r="C195" s="230"/>
      <c r="D195" s="233"/>
      <c r="E195" s="236"/>
      <c r="F195" s="9">
        <v>63</v>
      </c>
      <c r="G195" s="36"/>
      <c r="H195" s="37"/>
      <c r="I195" s="37"/>
      <c r="J195" s="37"/>
      <c r="K195" s="37"/>
      <c r="L195" s="37"/>
      <c r="M195" s="37"/>
      <c r="N195" s="37"/>
      <c r="O195" s="37"/>
      <c r="P195" s="38"/>
      <c r="Q195" s="18"/>
      <c r="R195" s="36"/>
      <c r="S195" s="37"/>
      <c r="T195" s="37"/>
      <c r="U195" s="37"/>
      <c r="V195" s="37"/>
      <c r="W195" s="37"/>
      <c r="X195" s="37"/>
      <c r="Y195" s="37"/>
      <c r="Z195" s="37"/>
      <c r="AA195" s="38"/>
      <c r="AB195" s="52" t="e">
        <f t="shared" si="10"/>
        <v>#DIV/0!</v>
      </c>
      <c r="AC195" s="53" t="e">
        <f t="shared" si="11"/>
        <v>#DIV/0!</v>
      </c>
      <c r="AD195" s="19"/>
      <c r="AE195" s="19"/>
      <c r="AF195" s="286"/>
      <c r="AG195" s="247"/>
      <c r="AH195" s="243"/>
      <c r="AI195" s="243"/>
      <c r="AJ195" s="246"/>
      <c r="AK195" s="247"/>
      <c r="AL195" s="250"/>
      <c r="AM195" s="247"/>
      <c r="AN195" s="250"/>
      <c r="AO195" s="253"/>
      <c r="AP195" s="250"/>
    </row>
    <row r="196" spans="1:42" ht="17.100000000000001" customHeight="1" outlineLevel="4" x14ac:dyDescent="0.25">
      <c r="A196" s="222"/>
      <c r="B196" s="218" t="s">
        <v>24</v>
      </c>
      <c r="C196" s="228" t="s">
        <v>61</v>
      </c>
      <c r="D196" s="231">
        <v>60</v>
      </c>
      <c r="E196" s="234">
        <v>8</v>
      </c>
      <c r="F196" s="7">
        <v>23</v>
      </c>
      <c r="G196" s="31"/>
      <c r="H196" s="32"/>
      <c r="I196" s="32"/>
      <c r="J196" s="32"/>
      <c r="K196" s="32"/>
      <c r="L196" s="32"/>
      <c r="M196" s="32"/>
      <c r="N196" s="32"/>
      <c r="O196" s="32"/>
      <c r="P196" s="33"/>
      <c r="Q196" s="18"/>
      <c r="R196" s="31"/>
      <c r="S196" s="32"/>
      <c r="T196" s="32"/>
      <c r="U196" s="32"/>
      <c r="V196" s="32"/>
      <c r="W196" s="32"/>
      <c r="X196" s="32"/>
      <c r="Y196" s="32"/>
      <c r="Z196" s="32"/>
      <c r="AA196" s="33"/>
      <c r="AB196" s="48" t="e">
        <f t="shared" si="10"/>
        <v>#DIV/0!</v>
      </c>
      <c r="AC196" s="49" t="e">
        <f t="shared" si="11"/>
        <v>#DIV/0!</v>
      </c>
      <c r="AD196" s="19"/>
      <c r="AE196" s="19"/>
      <c r="AF196" s="284" t="s">
        <v>126</v>
      </c>
      <c r="AG196" s="239" t="e" cm="1">
        <f t="array" ref="AG196">bdRateExtend($G196:$G199,H196:H199,$R196:$R199,S196:S199)</f>
        <v>#VALUE!</v>
      </c>
      <c r="AH196" s="241" t="e" cm="1">
        <f t="array" ref="AH196">bdRateExtend($G196:$G201,H196:H201,$R196:$R201,S196:S201)</f>
        <v>#VALUE!</v>
      </c>
      <c r="AI196" s="241" t="e" cm="1">
        <f t="array" ref="AI196">bdRateExtend($G196:$G201,I196:I201,$R196:$R201,T196:T201)</f>
        <v>#VALUE!</v>
      </c>
      <c r="AJ196" s="244" t="e" cm="1">
        <f t="array" ref="AJ196">bdRateExtend($G196:$G201,J196:J201,$R196:$R201,U196:U201)</f>
        <v>#VALUE!</v>
      </c>
      <c r="AK196" s="239" t="e" cm="1">
        <f t="array" ref="AK196">bdRateExtend($G196:$G199,K196:K199,$R196:$R199,V196:V199)</f>
        <v>#VALUE!</v>
      </c>
      <c r="AL196" s="248" t="e" cm="1">
        <f t="array" ref="AL196">bdRateExtend($G196:$G201,K196:K201,$R196:$R201,V196:V201)</f>
        <v>#VALUE!</v>
      </c>
      <c r="AM196" s="239" t="e" cm="1">
        <f t="array" ref="AM196">bdRateExtend($G196:$G199,L196:L199,$R196:$R199,W196:W199)</f>
        <v>#VALUE!</v>
      </c>
      <c r="AN196" s="248" t="e" cm="1">
        <f t="array" ref="AN196">bdRateExtend($G196:$G201,L196:L201,$R196:$R201,W196:W201)</f>
        <v>#VALUE!</v>
      </c>
      <c r="AO196" s="254" t="e" cm="1">
        <f t="array" ref="AO196">bdRateExtend($G196:$G199,M196:M199,$R196:$R199,X196:X199)</f>
        <v>#VALUE!</v>
      </c>
      <c r="AP196" s="248" t="e" cm="1">
        <f t="array" ref="AP196">bdRateExtend($G196:$G201,M196:M201,$R196:$R201,X196:X201)</f>
        <v>#VALUE!</v>
      </c>
    </row>
    <row r="197" spans="1:42" ht="17.100000000000001" customHeight="1" outlineLevel="4" x14ac:dyDescent="0.25">
      <c r="A197" s="222"/>
      <c r="B197" s="219"/>
      <c r="C197" s="229"/>
      <c r="D197" s="232"/>
      <c r="E197" s="235"/>
      <c r="F197" s="16">
        <v>31</v>
      </c>
      <c r="G197" s="34"/>
      <c r="H197" s="39"/>
      <c r="I197" s="39"/>
      <c r="J197" s="39"/>
      <c r="K197" s="39"/>
      <c r="L197" s="39"/>
      <c r="M197" s="39"/>
      <c r="N197" s="39"/>
      <c r="O197" s="39"/>
      <c r="P197" s="35"/>
      <c r="Q197" s="18"/>
      <c r="R197" s="34"/>
      <c r="S197" s="39"/>
      <c r="T197" s="39"/>
      <c r="U197" s="39"/>
      <c r="V197" s="39"/>
      <c r="W197" s="39"/>
      <c r="X197" s="39"/>
      <c r="Y197" s="39"/>
      <c r="Z197" s="39"/>
      <c r="AA197" s="35"/>
      <c r="AB197" s="50" t="e">
        <f t="shared" si="10"/>
        <v>#DIV/0!</v>
      </c>
      <c r="AC197" s="51" t="e">
        <f t="shared" si="11"/>
        <v>#DIV/0!</v>
      </c>
      <c r="AD197" s="19"/>
      <c r="AE197" s="19"/>
      <c r="AF197" s="285"/>
      <c r="AG197" s="240"/>
      <c r="AH197" s="242"/>
      <c r="AI197" s="242"/>
      <c r="AJ197" s="245"/>
      <c r="AK197" s="240"/>
      <c r="AL197" s="249"/>
      <c r="AM197" s="240"/>
      <c r="AN197" s="249"/>
      <c r="AO197" s="252"/>
      <c r="AP197" s="249"/>
    </row>
    <row r="198" spans="1:42" ht="17.100000000000001" customHeight="1" outlineLevel="4" x14ac:dyDescent="0.25">
      <c r="A198" s="222"/>
      <c r="B198" s="219"/>
      <c r="C198" s="229"/>
      <c r="D198" s="232"/>
      <c r="E198" s="235"/>
      <c r="F198" s="16">
        <v>39</v>
      </c>
      <c r="G198" s="34"/>
      <c r="H198" s="39"/>
      <c r="I198" s="39"/>
      <c r="J198" s="39"/>
      <c r="K198" s="39"/>
      <c r="L198" s="39"/>
      <c r="M198" s="39"/>
      <c r="N198" s="39"/>
      <c r="O198" s="39"/>
      <c r="P198" s="35"/>
      <c r="Q198" s="18"/>
      <c r="R198" s="34"/>
      <c r="S198" s="39"/>
      <c r="T198" s="39"/>
      <c r="U198" s="39"/>
      <c r="V198" s="39"/>
      <c r="W198" s="39"/>
      <c r="X198" s="39"/>
      <c r="Y198" s="39"/>
      <c r="Z198" s="39"/>
      <c r="AA198" s="35"/>
      <c r="AB198" s="50" t="e">
        <f t="shared" si="10"/>
        <v>#DIV/0!</v>
      </c>
      <c r="AC198" s="51" t="e">
        <f t="shared" si="11"/>
        <v>#DIV/0!</v>
      </c>
      <c r="AD198" s="19"/>
      <c r="AE198" s="19"/>
      <c r="AF198" s="285" t="s">
        <v>127</v>
      </c>
      <c r="AG198" s="240" t="e" cm="1">
        <f t="array" ref="AG198">bdRateExtend($G197:$G200,H197:H200,$R197:$R200,S197:S200)</f>
        <v>#VALUE!</v>
      </c>
      <c r="AH198" s="242"/>
      <c r="AI198" s="242"/>
      <c r="AJ198" s="245"/>
      <c r="AK198" s="240" t="e" cm="1">
        <f t="array" ref="AK198">bdRateExtend($G197:$G200,K197:K200,$R197:$R200,V197:V200)</f>
        <v>#VALUE!</v>
      </c>
      <c r="AL198" s="249"/>
      <c r="AM198" s="240" t="e" cm="1">
        <f t="array" ref="AM198">bdRateExtend($G197:$G200,L197:L200,$R197:$R200,W197:W200)</f>
        <v>#VALUE!</v>
      </c>
      <c r="AN198" s="249"/>
      <c r="AO198" s="252" t="e" cm="1">
        <f t="array" ref="AO198">bdRateExtend($G197:$G200,M197:M200,$R197:$R200,X197:X200)</f>
        <v>#VALUE!</v>
      </c>
      <c r="AP198" s="249"/>
    </row>
    <row r="199" spans="1:42" ht="17.100000000000001" customHeight="1" outlineLevel="4" x14ac:dyDescent="0.25">
      <c r="A199" s="222"/>
      <c r="B199" s="219"/>
      <c r="C199" s="229"/>
      <c r="D199" s="232"/>
      <c r="E199" s="235"/>
      <c r="F199" s="16">
        <v>47</v>
      </c>
      <c r="G199" s="34"/>
      <c r="H199" s="39"/>
      <c r="I199" s="39"/>
      <c r="J199" s="39"/>
      <c r="K199" s="39"/>
      <c r="L199" s="39"/>
      <c r="M199" s="39"/>
      <c r="N199" s="39"/>
      <c r="O199" s="39"/>
      <c r="P199" s="35"/>
      <c r="Q199" s="18"/>
      <c r="R199" s="34"/>
      <c r="S199" s="39"/>
      <c r="T199" s="39"/>
      <c r="U199" s="39"/>
      <c r="V199" s="39"/>
      <c r="W199" s="39"/>
      <c r="X199" s="39"/>
      <c r="Y199" s="39"/>
      <c r="Z199" s="39"/>
      <c r="AA199" s="35"/>
      <c r="AB199" s="50" t="e">
        <f t="shared" si="10"/>
        <v>#DIV/0!</v>
      </c>
      <c r="AC199" s="51" t="e">
        <f t="shared" si="11"/>
        <v>#DIV/0!</v>
      </c>
      <c r="AD199" s="19"/>
      <c r="AE199" s="19"/>
      <c r="AF199" s="285"/>
      <c r="AG199" s="240"/>
      <c r="AH199" s="242"/>
      <c r="AI199" s="242"/>
      <c r="AJ199" s="245"/>
      <c r="AK199" s="240"/>
      <c r="AL199" s="249"/>
      <c r="AM199" s="240"/>
      <c r="AN199" s="249"/>
      <c r="AO199" s="252"/>
      <c r="AP199" s="249"/>
    </row>
    <row r="200" spans="1:42" ht="17.100000000000001" customHeight="1" outlineLevel="4" x14ac:dyDescent="0.25">
      <c r="A200" s="222"/>
      <c r="B200" s="219"/>
      <c r="C200" s="229"/>
      <c r="D200" s="232"/>
      <c r="E200" s="235"/>
      <c r="F200" s="16">
        <v>55</v>
      </c>
      <c r="G200" s="34"/>
      <c r="H200" s="39"/>
      <c r="I200" s="39"/>
      <c r="J200" s="39"/>
      <c r="K200" s="39"/>
      <c r="L200" s="39"/>
      <c r="M200" s="39"/>
      <c r="N200" s="39"/>
      <c r="O200" s="39"/>
      <c r="P200" s="35"/>
      <c r="Q200" s="18"/>
      <c r="R200" s="34"/>
      <c r="S200" s="39"/>
      <c r="T200" s="39"/>
      <c r="U200" s="39"/>
      <c r="V200" s="39"/>
      <c r="W200" s="39"/>
      <c r="X200" s="39"/>
      <c r="Y200" s="39"/>
      <c r="Z200" s="39"/>
      <c r="AA200" s="35"/>
      <c r="AB200" s="50" t="e">
        <f t="shared" si="10"/>
        <v>#DIV/0!</v>
      </c>
      <c r="AC200" s="51" t="e">
        <f t="shared" si="11"/>
        <v>#DIV/0!</v>
      </c>
      <c r="AD200" s="19"/>
      <c r="AE200" s="19"/>
      <c r="AF200" s="285" t="s">
        <v>128</v>
      </c>
      <c r="AG200" s="240" t="e" cm="1">
        <f t="array" ref="AG200">bdRateExtend($G198:$G201,H198:H201,$R198:$R201,S198:S201)</f>
        <v>#VALUE!</v>
      </c>
      <c r="AH200" s="242"/>
      <c r="AI200" s="242"/>
      <c r="AJ200" s="245"/>
      <c r="AK200" s="240" t="e" cm="1">
        <f t="array" ref="AK200">bdRateExtend($G198:$G201,K198:K201,$R198:$R201,V198:V201)</f>
        <v>#VALUE!</v>
      </c>
      <c r="AL200" s="249"/>
      <c r="AM200" s="240" t="e" cm="1">
        <f t="array" ref="AM200">bdRateExtend($G198:$G201,L198:L201,$R198:$R201,W198:W201)</f>
        <v>#VALUE!</v>
      </c>
      <c r="AN200" s="249"/>
      <c r="AO200" s="252" t="e" cm="1">
        <f t="array" ref="AO200">bdRateExtend($G198:$G201,M198:M201,$R198:$R201,X198:X201)</f>
        <v>#VALUE!</v>
      </c>
      <c r="AP200" s="249"/>
    </row>
    <row r="201" spans="1:42" ht="17.100000000000001" customHeight="1" outlineLevel="4" thickBot="1" x14ac:dyDescent="0.3">
      <c r="A201" s="222"/>
      <c r="B201" s="220"/>
      <c r="C201" s="230"/>
      <c r="D201" s="233"/>
      <c r="E201" s="236"/>
      <c r="F201" s="9">
        <v>63</v>
      </c>
      <c r="G201" s="36"/>
      <c r="H201" s="37"/>
      <c r="I201" s="37"/>
      <c r="J201" s="37"/>
      <c r="K201" s="37"/>
      <c r="L201" s="37"/>
      <c r="M201" s="37"/>
      <c r="N201" s="37"/>
      <c r="O201" s="37"/>
      <c r="P201" s="38"/>
      <c r="Q201" s="18"/>
      <c r="R201" s="36"/>
      <c r="S201" s="37"/>
      <c r="T201" s="37"/>
      <c r="U201" s="37"/>
      <c r="V201" s="37"/>
      <c r="W201" s="37"/>
      <c r="X201" s="37"/>
      <c r="Y201" s="37"/>
      <c r="Z201" s="37"/>
      <c r="AA201" s="38"/>
      <c r="AB201" s="52" t="e">
        <f t="shared" si="10"/>
        <v>#DIV/0!</v>
      </c>
      <c r="AC201" s="53" t="e">
        <f t="shared" si="11"/>
        <v>#DIV/0!</v>
      </c>
      <c r="AD201" s="19"/>
      <c r="AE201" s="19"/>
      <c r="AF201" s="286"/>
      <c r="AG201" s="247"/>
      <c r="AH201" s="243"/>
      <c r="AI201" s="243"/>
      <c r="AJ201" s="246"/>
      <c r="AK201" s="247"/>
      <c r="AL201" s="250"/>
      <c r="AM201" s="247"/>
      <c r="AN201" s="250"/>
      <c r="AO201" s="253"/>
      <c r="AP201" s="250"/>
    </row>
    <row r="202" spans="1:42" ht="17.100000000000001" customHeight="1" outlineLevel="4" x14ac:dyDescent="0.25">
      <c r="A202" s="222"/>
      <c r="B202" s="218" t="s">
        <v>24</v>
      </c>
      <c r="C202" s="228" t="s">
        <v>62</v>
      </c>
      <c r="D202" s="231">
        <v>60</v>
      </c>
      <c r="E202" s="234">
        <v>8</v>
      </c>
      <c r="F202" s="7">
        <v>23</v>
      </c>
      <c r="G202" s="31"/>
      <c r="H202" s="32"/>
      <c r="I202" s="32"/>
      <c r="J202" s="32"/>
      <c r="K202" s="32"/>
      <c r="L202" s="32"/>
      <c r="M202" s="32"/>
      <c r="N202" s="32"/>
      <c r="O202" s="32"/>
      <c r="P202" s="33"/>
      <c r="Q202" s="18"/>
      <c r="R202" s="31"/>
      <c r="S202" s="32"/>
      <c r="T202" s="32"/>
      <c r="U202" s="32"/>
      <c r="V202" s="32"/>
      <c r="W202" s="32"/>
      <c r="X202" s="32"/>
      <c r="Y202" s="32"/>
      <c r="Z202" s="32"/>
      <c r="AA202" s="33"/>
      <c r="AB202" s="48" t="e">
        <f t="shared" si="10"/>
        <v>#DIV/0!</v>
      </c>
      <c r="AC202" s="49" t="e">
        <f t="shared" si="11"/>
        <v>#DIV/0!</v>
      </c>
      <c r="AD202" s="19"/>
      <c r="AE202" s="19"/>
      <c r="AF202" s="284" t="s">
        <v>126</v>
      </c>
      <c r="AG202" s="239" t="e" cm="1">
        <f t="array" ref="AG202">bdRateExtend($G202:$G205,H202:H205,$R202:$R205,S202:S205)</f>
        <v>#VALUE!</v>
      </c>
      <c r="AH202" s="241" t="e" cm="1">
        <f t="array" ref="AH202">bdRateExtend($G202:$G207,H202:H207,$R202:$R207,S202:S207)</f>
        <v>#VALUE!</v>
      </c>
      <c r="AI202" s="241" t="e" cm="1">
        <f t="array" ref="AI202">bdRateExtend($G202:$G207,I202:I207,$R202:$R207,T202:T207)</f>
        <v>#VALUE!</v>
      </c>
      <c r="AJ202" s="244" t="e" cm="1">
        <f t="array" ref="AJ202">bdRateExtend($G202:$G207,J202:J207,$R202:$R207,U202:U207)</f>
        <v>#VALUE!</v>
      </c>
      <c r="AK202" s="239" t="e" cm="1">
        <f t="array" ref="AK202">bdRateExtend($G202:$G205,K202:K205,$R202:$R205,V202:V205)</f>
        <v>#VALUE!</v>
      </c>
      <c r="AL202" s="248" t="e" cm="1">
        <f t="array" ref="AL202">bdRateExtend($G202:$G207,K202:K207,$R202:$R207,V202:V207)</f>
        <v>#VALUE!</v>
      </c>
      <c r="AM202" s="239" t="e" cm="1">
        <f t="array" ref="AM202">bdRateExtend($G202:$G205,L202:L205,$R202:$R205,W202:W205)</f>
        <v>#VALUE!</v>
      </c>
      <c r="AN202" s="248" t="e" cm="1">
        <f t="array" ref="AN202">bdRateExtend($G202:$G207,L202:L207,$R202:$R207,W202:W207)</f>
        <v>#VALUE!</v>
      </c>
      <c r="AO202" s="254" t="e" cm="1">
        <f t="array" ref="AO202">bdRateExtend($G202:$G205,M202:M205,$R202:$R205,X202:X205)</f>
        <v>#VALUE!</v>
      </c>
      <c r="AP202" s="248" t="e" cm="1">
        <f t="array" ref="AP202">bdRateExtend($G202:$G207,M202:M207,$R202:$R207,X202:X207)</f>
        <v>#VALUE!</v>
      </c>
    </row>
    <row r="203" spans="1:42" ht="17.100000000000001" customHeight="1" outlineLevel="4" x14ac:dyDescent="0.25">
      <c r="A203" s="222"/>
      <c r="B203" s="219"/>
      <c r="C203" s="229"/>
      <c r="D203" s="232"/>
      <c r="E203" s="235"/>
      <c r="F203" s="16">
        <v>31</v>
      </c>
      <c r="G203" s="34"/>
      <c r="H203" s="39"/>
      <c r="I203" s="39"/>
      <c r="J203" s="39"/>
      <c r="K203" s="39"/>
      <c r="L203" s="39"/>
      <c r="M203" s="39"/>
      <c r="N203" s="39"/>
      <c r="O203" s="39"/>
      <c r="P203" s="35"/>
      <c r="Q203" s="18"/>
      <c r="R203" s="34"/>
      <c r="S203" s="39"/>
      <c r="T203" s="39"/>
      <c r="U203" s="39"/>
      <c r="V203" s="39"/>
      <c r="W203" s="39"/>
      <c r="X203" s="39"/>
      <c r="Y203" s="39"/>
      <c r="Z203" s="39"/>
      <c r="AA203" s="35"/>
      <c r="AB203" s="50" t="e">
        <f t="shared" si="10"/>
        <v>#DIV/0!</v>
      </c>
      <c r="AC203" s="51" t="e">
        <f t="shared" si="11"/>
        <v>#DIV/0!</v>
      </c>
      <c r="AD203" s="19"/>
      <c r="AE203" s="19"/>
      <c r="AF203" s="285"/>
      <c r="AG203" s="240"/>
      <c r="AH203" s="242"/>
      <c r="AI203" s="242"/>
      <c r="AJ203" s="245"/>
      <c r="AK203" s="240"/>
      <c r="AL203" s="249"/>
      <c r="AM203" s="240"/>
      <c r="AN203" s="249"/>
      <c r="AO203" s="252"/>
      <c r="AP203" s="249"/>
    </row>
    <row r="204" spans="1:42" ht="17.100000000000001" customHeight="1" outlineLevel="4" x14ac:dyDescent="0.25">
      <c r="A204" s="222"/>
      <c r="B204" s="219"/>
      <c r="C204" s="229"/>
      <c r="D204" s="232"/>
      <c r="E204" s="235"/>
      <c r="F204" s="16">
        <v>39</v>
      </c>
      <c r="G204" s="34"/>
      <c r="H204" s="39"/>
      <c r="I204" s="39"/>
      <c r="J204" s="39"/>
      <c r="K204" s="39"/>
      <c r="L204" s="39"/>
      <c r="M204" s="39"/>
      <c r="N204" s="39"/>
      <c r="O204" s="39"/>
      <c r="P204" s="35"/>
      <c r="Q204" s="18"/>
      <c r="R204" s="34"/>
      <c r="S204" s="39"/>
      <c r="T204" s="39"/>
      <c r="U204" s="39"/>
      <c r="V204" s="39"/>
      <c r="W204" s="39"/>
      <c r="X204" s="39"/>
      <c r="Y204" s="39"/>
      <c r="Z204" s="39"/>
      <c r="AA204" s="35"/>
      <c r="AB204" s="50" t="e">
        <f t="shared" si="10"/>
        <v>#DIV/0!</v>
      </c>
      <c r="AC204" s="51" t="e">
        <f t="shared" si="11"/>
        <v>#DIV/0!</v>
      </c>
      <c r="AD204" s="19"/>
      <c r="AE204" s="19"/>
      <c r="AF204" s="285" t="s">
        <v>127</v>
      </c>
      <c r="AG204" s="240" t="e" cm="1">
        <f t="array" ref="AG204">bdRateExtend($G203:$G206,H203:H206,$R203:$R206,S203:S206)</f>
        <v>#VALUE!</v>
      </c>
      <c r="AH204" s="242"/>
      <c r="AI204" s="242"/>
      <c r="AJ204" s="245"/>
      <c r="AK204" s="240" t="e" cm="1">
        <f t="array" ref="AK204">bdRateExtend($G203:$G206,K203:K206,$R203:$R206,V203:V206)</f>
        <v>#VALUE!</v>
      </c>
      <c r="AL204" s="249"/>
      <c r="AM204" s="240" t="e" cm="1">
        <f t="array" ref="AM204">bdRateExtend($G203:$G206,L203:L206,$R203:$R206,W203:W206)</f>
        <v>#VALUE!</v>
      </c>
      <c r="AN204" s="249"/>
      <c r="AO204" s="252" t="e" cm="1">
        <f t="array" ref="AO204">bdRateExtend($G203:$G206,M203:M206,$R203:$R206,X203:X206)</f>
        <v>#VALUE!</v>
      </c>
      <c r="AP204" s="249"/>
    </row>
    <row r="205" spans="1:42" ht="17.100000000000001" customHeight="1" outlineLevel="4" x14ac:dyDescent="0.25">
      <c r="A205" s="222"/>
      <c r="B205" s="219"/>
      <c r="C205" s="229"/>
      <c r="D205" s="232"/>
      <c r="E205" s="235"/>
      <c r="F205" s="16">
        <v>47</v>
      </c>
      <c r="G205" s="34"/>
      <c r="H205" s="39"/>
      <c r="I205" s="39"/>
      <c r="J205" s="39"/>
      <c r="K205" s="39"/>
      <c r="L205" s="39"/>
      <c r="M205" s="39"/>
      <c r="N205" s="39"/>
      <c r="O205" s="39"/>
      <c r="P205" s="35"/>
      <c r="Q205" s="18"/>
      <c r="R205" s="34"/>
      <c r="S205" s="39"/>
      <c r="T205" s="39"/>
      <c r="U205" s="39"/>
      <c r="V205" s="39"/>
      <c r="W205" s="39"/>
      <c r="X205" s="39"/>
      <c r="Y205" s="39"/>
      <c r="Z205" s="39"/>
      <c r="AA205" s="35"/>
      <c r="AB205" s="50" t="e">
        <f t="shared" si="10"/>
        <v>#DIV/0!</v>
      </c>
      <c r="AC205" s="51" t="e">
        <f t="shared" si="11"/>
        <v>#DIV/0!</v>
      </c>
      <c r="AD205" s="19"/>
      <c r="AE205" s="19"/>
      <c r="AF205" s="285"/>
      <c r="AG205" s="240"/>
      <c r="AH205" s="242"/>
      <c r="AI205" s="242"/>
      <c r="AJ205" s="245"/>
      <c r="AK205" s="240"/>
      <c r="AL205" s="249"/>
      <c r="AM205" s="240"/>
      <c r="AN205" s="249"/>
      <c r="AO205" s="252"/>
      <c r="AP205" s="249"/>
    </row>
    <row r="206" spans="1:42" ht="17.100000000000001" customHeight="1" outlineLevel="4" x14ac:dyDescent="0.25">
      <c r="A206" s="222"/>
      <c r="B206" s="219"/>
      <c r="C206" s="229"/>
      <c r="D206" s="232"/>
      <c r="E206" s="235"/>
      <c r="F206" s="16">
        <v>55</v>
      </c>
      <c r="G206" s="34"/>
      <c r="H206" s="39"/>
      <c r="I206" s="39"/>
      <c r="J206" s="39"/>
      <c r="K206" s="39"/>
      <c r="L206" s="39"/>
      <c r="M206" s="39"/>
      <c r="N206" s="39"/>
      <c r="O206" s="39"/>
      <c r="P206" s="35"/>
      <c r="Q206" s="18"/>
      <c r="R206" s="34"/>
      <c r="S206" s="39"/>
      <c r="T206" s="39"/>
      <c r="U206" s="39"/>
      <c r="V206" s="39"/>
      <c r="W206" s="39"/>
      <c r="X206" s="39"/>
      <c r="Y206" s="39"/>
      <c r="Z206" s="39"/>
      <c r="AA206" s="35"/>
      <c r="AB206" s="50" t="e">
        <f t="shared" si="10"/>
        <v>#DIV/0!</v>
      </c>
      <c r="AC206" s="51" t="e">
        <f t="shared" si="11"/>
        <v>#DIV/0!</v>
      </c>
      <c r="AD206" s="19"/>
      <c r="AE206" s="19"/>
      <c r="AF206" s="285" t="s">
        <v>128</v>
      </c>
      <c r="AG206" s="240" t="e" cm="1">
        <f t="array" ref="AG206">bdRateExtend($G204:$G207,H204:H207,$R204:$R207,S204:S207)</f>
        <v>#VALUE!</v>
      </c>
      <c r="AH206" s="242"/>
      <c r="AI206" s="242"/>
      <c r="AJ206" s="245"/>
      <c r="AK206" s="240" t="e" cm="1">
        <f t="array" ref="AK206">bdRateExtend($G204:$G207,K204:K207,$R204:$R207,V204:V207)</f>
        <v>#VALUE!</v>
      </c>
      <c r="AL206" s="249"/>
      <c r="AM206" s="240" t="e" cm="1">
        <f t="array" ref="AM206">bdRateExtend($G204:$G207,L204:L207,$R204:$R207,W204:W207)</f>
        <v>#VALUE!</v>
      </c>
      <c r="AN206" s="249"/>
      <c r="AO206" s="252" t="e" cm="1">
        <f t="array" ref="AO206">bdRateExtend($G204:$G207,M204:M207,$R204:$R207,X204:X207)</f>
        <v>#VALUE!</v>
      </c>
      <c r="AP206" s="249"/>
    </row>
    <row r="207" spans="1:42" ht="17.100000000000001" customHeight="1" outlineLevel="4" thickBot="1" x14ac:dyDescent="0.3">
      <c r="A207" s="222"/>
      <c r="B207" s="220"/>
      <c r="C207" s="230"/>
      <c r="D207" s="233"/>
      <c r="E207" s="236"/>
      <c r="F207" s="9">
        <v>63</v>
      </c>
      <c r="G207" s="36"/>
      <c r="H207" s="37"/>
      <c r="I207" s="37"/>
      <c r="J207" s="37"/>
      <c r="K207" s="37"/>
      <c r="L207" s="37"/>
      <c r="M207" s="37"/>
      <c r="N207" s="37"/>
      <c r="O207" s="37"/>
      <c r="P207" s="38"/>
      <c r="Q207" s="18"/>
      <c r="R207" s="36"/>
      <c r="S207" s="37"/>
      <c r="T207" s="37"/>
      <c r="U207" s="37"/>
      <c r="V207" s="37"/>
      <c r="W207" s="37"/>
      <c r="X207" s="37"/>
      <c r="Y207" s="37"/>
      <c r="Z207" s="37"/>
      <c r="AA207" s="38"/>
      <c r="AB207" s="52" t="e">
        <f t="shared" si="10"/>
        <v>#DIV/0!</v>
      </c>
      <c r="AC207" s="53" t="e">
        <f t="shared" si="11"/>
        <v>#DIV/0!</v>
      </c>
      <c r="AD207" s="19"/>
      <c r="AE207" s="19"/>
      <c r="AF207" s="286"/>
      <c r="AG207" s="247"/>
      <c r="AH207" s="243"/>
      <c r="AI207" s="243"/>
      <c r="AJ207" s="246"/>
      <c r="AK207" s="247"/>
      <c r="AL207" s="250"/>
      <c r="AM207" s="247"/>
      <c r="AN207" s="250"/>
      <c r="AO207" s="253"/>
      <c r="AP207" s="250"/>
    </row>
    <row r="208" spans="1:42" ht="17.100000000000001" customHeight="1" outlineLevel="4" x14ac:dyDescent="0.25">
      <c r="A208" s="222"/>
      <c r="B208" s="218" t="s">
        <v>24</v>
      </c>
      <c r="C208" s="228" t="s">
        <v>63</v>
      </c>
      <c r="D208" s="231">
        <v>30</v>
      </c>
      <c r="E208" s="234" t="s">
        <v>23</v>
      </c>
      <c r="F208" s="7">
        <v>23</v>
      </c>
      <c r="G208" s="31"/>
      <c r="H208" s="32"/>
      <c r="I208" s="32"/>
      <c r="J208" s="32"/>
      <c r="K208" s="32"/>
      <c r="L208" s="32"/>
      <c r="M208" s="32"/>
      <c r="N208" s="32"/>
      <c r="O208" s="32"/>
      <c r="P208" s="33"/>
      <c r="Q208" s="18"/>
      <c r="R208" s="31"/>
      <c r="S208" s="32"/>
      <c r="T208" s="32"/>
      <c r="U208" s="32"/>
      <c r="V208" s="32"/>
      <c r="W208" s="32"/>
      <c r="X208" s="32"/>
      <c r="Y208" s="32"/>
      <c r="Z208" s="32"/>
      <c r="AA208" s="33"/>
      <c r="AB208" s="48" t="e">
        <f t="shared" si="10"/>
        <v>#DIV/0!</v>
      </c>
      <c r="AC208" s="49" t="e">
        <f t="shared" si="11"/>
        <v>#DIV/0!</v>
      </c>
      <c r="AD208" s="19"/>
      <c r="AE208" s="19"/>
      <c r="AF208" s="284" t="s">
        <v>126</v>
      </c>
      <c r="AG208" s="239" t="e" cm="1">
        <f t="array" ref="AG208">bdRateExtend($G208:$G211,H208:H211,$R208:$R211,S208:S211)</f>
        <v>#VALUE!</v>
      </c>
      <c r="AH208" s="241" t="e" cm="1">
        <f t="array" ref="AH208">bdRateExtend($G208:$G213,H208:H213,$R208:$R213,S208:S213)</f>
        <v>#VALUE!</v>
      </c>
      <c r="AI208" s="241" t="e" cm="1">
        <f t="array" ref="AI208">bdRateExtend($G208:$G213,I208:I213,$R208:$R213,T208:T213)</f>
        <v>#VALUE!</v>
      </c>
      <c r="AJ208" s="244" t="e" cm="1">
        <f t="array" ref="AJ208">bdRateExtend($G208:$G213,J208:J213,$R208:$R213,U208:U213)</f>
        <v>#VALUE!</v>
      </c>
      <c r="AK208" s="239" t="e" cm="1">
        <f t="array" ref="AK208">bdRateExtend($G208:$G211,K208:K211,$R208:$R211,V208:V211)</f>
        <v>#VALUE!</v>
      </c>
      <c r="AL208" s="248" t="e" cm="1">
        <f t="array" ref="AL208">bdRateExtend($G208:$G213,K208:K213,$R208:$R213,V208:V213)</f>
        <v>#VALUE!</v>
      </c>
      <c r="AM208" s="239" t="e" cm="1">
        <f t="array" ref="AM208">bdRateExtend($G208:$G211,L208:L211,$R208:$R211,W208:W211)</f>
        <v>#VALUE!</v>
      </c>
      <c r="AN208" s="248" t="e" cm="1">
        <f t="array" ref="AN208">bdRateExtend($G208:$G213,L208:L213,$R208:$R213,W208:W213)</f>
        <v>#VALUE!</v>
      </c>
      <c r="AO208" s="254" t="e" cm="1">
        <f t="array" ref="AO208">bdRateExtend($G208:$G211,M208:M211,$R208:$R211,X208:X211)</f>
        <v>#VALUE!</v>
      </c>
      <c r="AP208" s="248" t="e" cm="1">
        <f t="array" ref="AP208">bdRateExtend($G208:$G213,M208:M213,$R208:$R213,X208:X213)</f>
        <v>#VALUE!</v>
      </c>
    </row>
    <row r="209" spans="1:42" ht="17.100000000000001" customHeight="1" outlineLevel="4" x14ac:dyDescent="0.25">
      <c r="A209" s="222"/>
      <c r="B209" s="219"/>
      <c r="C209" s="229"/>
      <c r="D209" s="232"/>
      <c r="E209" s="235"/>
      <c r="F209" s="16">
        <v>31</v>
      </c>
      <c r="G209" s="34"/>
      <c r="H209" s="39"/>
      <c r="I209" s="39"/>
      <c r="J209" s="39"/>
      <c r="K209" s="39"/>
      <c r="L209" s="39"/>
      <c r="M209" s="39"/>
      <c r="N209" s="39"/>
      <c r="O209" s="39"/>
      <c r="P209" s="35"/>
      <c r="Q209" s="18"/>
      <c r="R209" s="34"/>
      <c r="S209" s="39"/>
      <c r="T209" s="39"/>
      <c r="U209" s="39"/>
      <c r="V209" s="39"/>
      <c r="W209" s="39"/>
      <c r="X209" s="39"/>
      <c r="Y209" s="39"/>
      <c r="Z209" s="39"/>
      <c r="AA209" s="35"/>
      <c r="AB209" s="50" t="e">
        <f t="shared" si="10"/>
        <v>#DIV/0!</v>
      </c>
      <c r="AC209" s="51" t="e">
        <f t="shared" si="11"/>
        <v>#DIV/0!</v>
      </c>
      <c r="AD209" s="19"/>
      <c r="AE209" s="19"/>
      <c r="AF209" s="285"/>
      <c r="AG209" s="240"/>
      <c r="AH209" s="242"/>
      <c r="AI209" s="242"/>
      <c r="AJ209" s="245"/>
      <c r="AK209" s="240"/>
      <c r="AL209" s="249"/>
      <c r="AM209" s="240"/>
      <c r="AN209" s="249"/>
      <c r="AO209" s="252"/>
      <c r="AP209" s="249"/>
    </row>
    <row r="210" spans="1:42" ht="17.100000000000001" customHeight="1" outlineLevel="4" x14ac:dyDescent="0.25">
      <c r="A210" s="222"/>
      <c r="B210" s="219"/>
      <c r="C210" s="229"/>
      <c r="D210" s="232"/>
      <c r="E210" s="235"/>
      <c r="F210" s="16">
        <v>39</v>
      </c>
      <c r="G210" s="34"/>
      <c r="H210" s="39"/>
      <c r="I210" s="39"/>
      <c r="J210" s="39"/>
      <c r="K210" s="39"/>
      <c r="L210" s="39"/>
      <c r="M210" s="39"/>
      <c r="N210" s="39"/>
      <c r="O210" s="39"/>
      <c r="P210" s="35"/>
      <c r="Q210" s="18"/>
      <c r="R210" s="34"/>
      <c r="S210" s="39"/>
      <c r="T210" s="39"/>
      <c r="U210" s="39"/>
      <c r="V210" s="39"/>
      <c r="W210" s="39"/>
      <c r="X210" s="39"/>
      <c r="Y210" s="39"/>
      <c r="Z210" s="39"/>
      <c r="AA210" s="35"/>
      <c r="AB210" s="50" t="e">
        <f t="shared" si="10"/>
        <v>#DIV/0!</v>
      </c>
      <c r="AC210" s="51" t="e">
        <f t="shared" si="11"/>
        <v>#DIV/0!</v>
      </c>
      <c r="AD210" s="19"/>
      <c r="AE210" s="19"/>
      <c r="AF210" s="285" t="s">
        <v>127</v>
      </c>
      <c r="AG210" s="240" t="e" cm="1">
        <f t="array" ref="AG210">bdRateExtend($G209:$G212,H209:H212,$R209:$R212,S209:S212)</f>
        <v>#VALUE!</v>
      </c>
      <c r="AH210" s="242"/>
      <c r="AI210" s="242"/>
      <c r="AJ210" s="245"/>
      <c r="AK210" s="240" t="e" cm="1">
        <f t="array" ref="AK210">bdRateExtend($G209:$G212,K209:K212,$R209:$R212,V209:V212)</f>
        <v>#VALUE!</v>
      </c>
      <c r="AL210" s="249"/>
      <c r="AM210" s="240" t="e" cm="1">
        <f t="array" ref="AM210">bdRateExtend($G209:$G212,L209:L212,$R209:$R212,W209:W212)</f>
        <v>#VALUE!</v>
      </c>
      <c r="AN210" s="249"/>
      <c r="AO210" s="252" t="e" cm="1">
        <f t="array" ref="AO210">bdRateExtend($G209:$G212,M209:M212,$R209:$R212,X209:X212)</f>
        <v>#VALUE!</v>
      </c>
      <c r="AP210" s="249"/>
    </row>
    <row r="211" spans="1:42" ht="17.100000000000001" customHeight="1" outlineLevel="4" x14ac:dyDescent="0.25">
      <c r="A211" s="222"/>
      <c r="B211" s="219"/>
      <c r="C211" s="229"/>
      <c r="D211" s="232"/>
      <c r="E211" s="235"/>
      <c r="F211" s="16">
        <v>47</v>
      </c>
      <c r="G211" s="34"/>
      <c r="H211" s="39"/>
      <c r="I211" s="39"/>
      <c r="J211" s="39"/>
      <c r="K211" s="39"/>
      <c r="L211" s="39"/>
      <c r="M211" s="39"/>
      <c r="N211" s="39"/>
      <c r="O211" s="39"/>
      <c r="P211" s="35"/>
      <c r="Q211" s="18"/>
      <c r="R211" s="34"/>
      <c r="S211" s="39"/>
      <c r="T211" s="39"/>
      <c r="U211" s="39"/>
      <c r="V211" s="39"/>
      <c r="W211" s="39"/>
      <c r="X211" s="39"/>
      <c r="Y211" s="39"/>
      <c r="Z211" s="39"/>
      <c r="AA211" s="35"/>
      <c r="AB211" s="50" t="e">
        <f t="shared" si="10"/>
        <v>#DIV/0!</v>
      </c>
      <c r="AC211" s="51" t="e">
        <f t="shared" si="11"/>
        <v>#DIV/0!</v>
      </c>
      <c r="AD211" s="19"/>
      <c r="AE211" s="19"/>
      <c r="AF211" s="285"/>
      <c r="AG211" s="240"/>
      <c r="AH211" s="242"/>
      <c r="AI211" s="242"/>
      <c r="AJ211" s="245"/>
      <c r="AK211" s="240"/>
      <c r="AL211" s="249"/>
      <c r="AM211" s="240"/>
      <c r="AN211" s="249"/>
      <c r="AO211" s="252"/>
      <c r="AP211" s="249"/>
    </row>
    <row r="212" spans="1:42" ht="17.100000000000001" customHeight="1" outlineLevel="4" x14ac:dyDescent="0.25">
      <c r="A212" s="222"/>
      <c r="B212" s="219"/>
      <c r="C212" s="229"/>
      <c r="D212" s="232"/>
      <c r="E212" s="235"/>
      <c r="F212" s="16">
        <v>55</v>
      </c>
      <c r="G212" s="34"/>
      <c r="H212" s="39"/>
      <c r="I212" s="39"/>
      <c r="J212" s="39"/>
      <c r="K212" s="39"/>
      <c r="L212" s="39"/>
      <c r="M212" s="39"/>
      <c r="N212" s="39"/>
      <c r="O212" s="39"/>
      <c r="P212" s="35"/>
      <c r="Q212" s="18"/>
      <c r="R212" s="34"/>
      <c r="S212" s="39"/>
      <c r="T212" s="39"/>
      <c r="U212" s="39"/>
      <c r="V212" s="39"/>
      <c r="W212" s="39"/>
      <c r="X212" s="39"/>
      <c r="Y212" s="39"/>
      <c r="Z212" s="39"/>
      <c r="AA212" s="35"/>
      <c r="AB212" s="50" t="e">
        <f t="shared" si="10"/>
        <v>#DIV/0!</v>
      </c>
      <c r="AC212" s="51" t="e">
        <f t="shared" si="11"/>
        <v>#DIV/0!</v>
      </c>
      <c r="AD212" s="19"/>
      <c r="AE212" s="19"/>
      <c r="AF212" s="285" t="s">
        <v>128</v>
      </c>
      <c r="AG212" s="240" t="e" cm="1">
        <f t="array" ref="AG212">bdRateExtend($G210:$G213,H210:H213,$R210:$R213,S210:S213)</f>
        <v>#VALUE!</v>
      </c>
      <c r="AH212" s="242"/>
      <c r="AI212" s="242"/>
      <c r="AJ212" s="245"/>
      <c r="AK212" s="240" t="e" cm="1">
        <f t="array" ref="AK212">bdRateExtend($G210:$G213,K210:K213,$R210:$R213,V210:V213)</f>
        <v>#VALUE!</v>
      </c>
      <c r="AL212" s="249"/>
      <c r="AM212" s="240" t="e" cm="1">
        <f t="array" ref="AM212">bdRateExtend($G210:$G213,L210:L213,$R210:$R213,W210:W213)</f>
        <v>#VALUE!</v>
      </c>
      <c r="AN212" s="249"/>
      <c r="AO212" s="252" t="e" cm="1">
        <f t="array" ref="AO212">bdRateExtend($G210:$G213,M210:M213,$R210:$R213,X210:X213)</f>
        <v>#VALUE!</v>
      </c>
      <c r="AP212" s="249"/>
    </row>
    <row r="213" spans="1:42" ht="17.100000000000001" customHeight="1" outlineLevel="4" thickBot="1" x14ac:dyDescent="0.3">
      <c r="A213" s="222"/>
      <c r="B213" s="220"/>
      <c r="C213" s="230"/>
      <c r="D213" s="233"/>
      <c r="E213" s="236"/>
      <c r="F213" s="9">
        <v>63</v>
      </c>
      <c r="G213" s="36"/>
      <c r="H213" s="37"/>
      <c r="I213" s="37"/>
      <c r="J213" s="37"/>
      <c r="K213" s="37"/>
      <c r="L213" s="37"/>
      <c r="M213" s="37"/>
      <c r="N213" s="37"/>
      <c r="O213" s="37"/>
      <c r="P213" s="38"/>
      <c r="Q213" s="18"/>
      <c r="R213" s="36"/>
      <c r="S213" s="37"/>
      <c r="T213" s="37"/>
      <c r="U213" s="37"/>
      <c r="V213" s="37"/>
      <c r="W213" s="37"/>
      <c r="X213" s="37"/>
      <c r="Y213" s="37"/>
      <c r="Z213" s="37"/>
      <c r="AA213" s="38"/>
      <c r="AB213" s="52" t="e">
        <f t="shared" si="10"/>
        <v>#DIV/0!</v>
      </c>
      <c r="AC213" s="53" t="e">
        <f t="shared" si="11"/>
        <v>#DIV/0!</v>
      </c>
      <c r="AD213" s="19"/>
      <c r="AE213" s="19"/>
      <c r="AF213" s="286"/>
      <c r="AG213" s="247"/>
      <c r="AH213" s="243"/>
      <c r="AI213" s="243"/>
      <c r="AJ213" s="246"/>
      <c r="AK213" s="247"/>
      <c r="AL213" s="250"/>
      <c r="AM213" s="247"/>
      <c r="AN213" s="250"/>
      <c r="AO213" s="253"/>
      <c r="AP213" s="250"/>
    </row>
    <row r="214" spans="1:42" ht="17.100000000000001" customHeight="1" outlineLevel="4" x14ac:dyDescent="0.25">
      <c r="A214" s="221" t="s">
        <v>110</v>
      </c>
      <c r="B214" s="218" t="s">
        <v>25</v>
      </c>
      <c r="C214" s="228" t="s">
        <v>64</v>
      </c>
      <c r="D214" s="231">
        <v>25</v>
      </c>
      <c r="E214" s="234"/>
      <c r="F214" s="7">
        <v>23</v>
      </c>
      <c r="G214" s="31"/>
      <c r="H214" s="32"/>
      <c r="I214" s="32"/>
      <c r="J214" s="32"/>
      <c r="K214" s="32"/>
      <c r="L214" s="32"/>
      <c r="M214" s="32"/>
      <c r="N214" s="32"/>
      <c r="O214" s="32"/>
      <c r="P214" s="33"/>
      <c r="Q214" s="18"/>
      <c r="R214" s="31"/>
      <c r="S214" s="32"/>
      <c r="T214" s="32"/>
      <c r="U214" s="32"/>
      <c r="V214" s="32"/>
      <c r="W214" s="32"/>
      <c r="X214" s="32"/>
      <c r="Y214" s="32"/>
      <c r="Z214" s="32"/>
      <c r="AA214" s="33"/>
      <c r="AB214" s="48" t="e">
        <f t="shared" si="10"/>
        <v>#DIV/0!</v>
      </c>
      <c r="AC214" s="49" t="e">
        <f t="shared" si="11"/>
        <v>#DIV/0!</v>
      </c>
      <c r="AD214" s="19"/>
      <c r="AE214" s="19"/>
      <c r="AF214" s="284" t="s">
        <v>126</v>
      </c>
      <c r="AG214" s="239" t="e" cm="1">
        <f t="array" ref="AG214">bdRateExtend($G214:$G217,H214:H217,$R214:$R217,S214:S217)</f>
        <v>#VALUE!</v>
      </c>
      <c r="AH214" s="241" t="e" cm="1">
        <f t="array" ref="AH214">bdRateExtend($G214:$G219,H214:H219,$R214:$R219,S214:S219)</f>
        <v>#VALUE!</v>
      </c>
      <c r="AI214" s="241" t="e" cm="1">
        <f t="array" ref="AI214">bdRateExtend($G214:$G219,I214:I219,$R214:$R219,T214:T219)</f>
        <v>#VALUE!</v>
      </c>
      <c r="AJ214" s="244" t="e" cm="1">
        <f t="array" ref="AJ214">bdRateExtend($G214:$G219,J214:J219,$R214:$R219,U214:U219)</f>
        <v>#VALUE!</v>
      </c>
      <c r="AK214" s="239" t="e" cm="1">
        <f t="array" ref="AK214">bdRateExtend($G214:$G217,K214:K217,$R214:$R217,V214:V217)</f>
        <v>#VALUE!</v>
      </c>
      <c r="AL214" s="248" t="e" cm="1">
        <f t="array" ref="AL214">bdRateExtend($G214:$G219,K214:K219,$R214:$R219,V214:V219)</f>
        <v>#VALUE!</v>
      </c>
      <c r="AM214" s="239" t="e" cm="1">
        <f t="array" ref="AM214">bdRateExtend($G214:$G217,L214:L217,$R214:$R217,W214:W217)</f>
        <v>#VALUE!</v>
      </c>
      <c r="AN214" s="248" t="e" cm="1">
        <f t="array" ref="AN214">bdRateExtend($G214:$G219,L214:L219,$R214:$R219,W214:W219)</f>
        <v>#VALUE!</v>
      </c>
      <c r="AO214" s="254" t="e" cm="1">
        <f t="array" ref="AO214">bdRateExtend($G214:$G217,M214:M217,$R214:$R217,X214:X217)</f>
        <v>#VALUE!</v>
      </c>
      <c r="AP214" s="248" t="e" cm="1">
        <f t="array" ref="AP214">bdRateExtend($G214:$G219,M214:M219,$R214:$R219,X214:X219)</f>
        <v>#VALUE!</v>
      </c>
    </row>
    <row r="215" spans="1:42" ht="17.100000000000001" customHeight="1" outlineLevel="4" x14ac:dyDescent="0.25">
      <c r="A215" s="222"/>
      <c r="B215" s="219"/>
      <c r="C215" s="229"/>
      <c r="D215" s="232"/>
      <c r="E215" s="235"/>
      <c r="F215" s="16">
        <v>31</v>
      </c>
      <c r="G215" s="34"/>
      <c r="H215" s="39"/>
      <c r="I215" s="39"/>
      <c r="J215" s="39"/>
      <c r="K215" s="39"/>
      <c r="L215" s="39"/>
      <c r="M215" s="39"/>
      <c r="N215" s="39"/>
      <c r="O215" s="39"/>
      <c r="P215" s="35"/>
      <c r="Q215" s="18"/>
      <c r="R215" s="34"/>
      <c r="S215" s="39"/>
      <c r="T215" s="39"/>
      <c r="U215" s="39"/>
      <c r="V215" s="39"/>
      <c r="W215" s="39"/>
      <c r="X215" s="39"/>
      <c r="Y215" s="39"/>
      <c r="Z215" s="39"/>
      <c r="AA215" s="35"/>
      <c r="AB215" s="50" t="e">
        <f t="shared" si="10"/>
        <v>#DIV/0!</v>
      </c>
      <c r="AC215" s="51" t="e">
        <f t="shared" si="11"/>
        <v>#DIV/0!</v>
      </c>
      <c r="AD215" s="19"/>
      <c r="AE215" s="19"/>
      <c r="AF215" s="285"/>
      <c r="AG215" s="240"/>
      <c r="AH215" s="242"/>
      <c r="AI215" s="242"/>
      <c r="AJ215" s="245"/>
      <c r="AK215" s="240"/>
      <c r="AL215" s="249"/>
      <c r="AM215" s="240"/>
      <c r="AN215" s="249"/>
      <c r="AO215" s="252"/>
      <c r="AP215" s="249"/>
    </row>
    <row r="216" spans="1:42" ht="17.100000000000001" customHeight="1" outlineLevel="4" x14ac:dyDescent="0.25">
      <c r="A216" s="222"/>
      <c r="B216" s="219"/>
      <c r="C216" s="229"/>
      <c r="D216" s="232"/>
      <c r="E216" s="235"/>
      <c r="F216" s="16">
        <v>39</v>
      </c>
      <c r="G216" s="34"/>
      <c r="H216" s="39"/>
      <c r="I216" s="39"/>
      <c r="J216" s="39"/>
      <c r="K216" s="39"/>
      <c r="L216" s="39"/>
      <c r="M216" s="39"/>
      <c r="N216" s="39"/>
      <c r="O216" s="39"/>
      <c r="P216" s="35"/>
      <c r="Q216" s="18"/>
      <c r="R216" s="34"/>
      <c r="S216" s="39"/>
      <c r="T216" s="39"/>
      <c r="U216" s="39"/>
      <c r="V216" s="39"/>
      <c r="W216" s="39"/>
      <c r="X216" s="39"/>
      <c r="Y216" s="39"/>
      <c r="Z216" s="39"/>
      <c r="AA216" s="35"/>
      <c r="AB216" s="50" t="e">
        <f t="shared" si="10"/>
        <v>#DIV/0!</v>
      </c>
      <c r="AC216" s="51" t="e">
        <f t="shared" si="11"/>
        <v>#DIV/0!</v>
      </c>
      <c r="AD216" s="19"/>
      <c r="AE216" s="19"/>
      <c r="AF216" s="285" t="s">
        <v>127</v>
      </c>
      <c r="AG216" s="240" t="e" cm="1">
        <f t="array" ref="AG216">bdRateExtend($G215:$G218,H215:H218,$R215:$R218,S215:S218)</f>
        <v>#VALUE!</v>
      </c>
      <c r="AH216" s="242"/>
      <c r="AI216" s="242"/>
      <c r="AJ216" s="245"/>
      <c r="AK216" s="240" t="e" cm="1">
        <f t="array" ref="AK216">bdRateExtend($G215:$G218,K215:K218,$R215:$R218,V215:V218)</f>
        <v>#VALUE!</v>
      </c>
      <c r="AL216" s="249"/>
      <c r="AM216" s="240" t="e" cm="1">
        <f t="array" ref="AM216">bdRateExtend($G215:$G218,L215:L218,$R215:$R218,W215:W218)</f>
        <v>#VALUE!</v>
      </c>
      <c r="AN216" s="249"/>
      <c r="AO216" s="252" t="e" cm="1">
        <f t="array" ref="AO216">bdRateExtend($G215:$G218,M215:M218,$R215:$R218,X215:X218)</f>
        <v>#VALUE!</v>
      </c>
      <c r="AP216" s="249"/>
    </row>
    <row r="217" spans="1:42" ht="17.100000000000001" customHeight="1" outlineLevel="4" x14ac:dyDescent="0.25">
      <c r="A217" s="222"/>
      <c r="B217" s="219"/>
      <c r="C217" s="229"/>
      <c r="D217" s="232"/>
      <c r="E217" s="235"/>
      <c r="F217" s="16">
        <v>47</v>
      </c>
      <c r="G217" s="34"/>
      <c r="H217" s="39"/>
      <c r="I217" s="39"/>
      <c r="J217" s="39"/>
      <c r="K217" s="39"/>
      <c r="L217" s="39"/>
      <c r="M217" s="39"/>
      <c r="N217" s="39"/>
      <c r="O217" s="39"/>
      <c r="P217" s="35"/>
      <c r="Q217" s="18"/>
      <c r="R217" s="34"/>
      <c r="S217" s="39"/>
      <c r="T217" s="39"/>
      <c r="U217" s="39"/>
      <c r="V217" s="39"/>
      <c r="W217" s="39"/>
      <c r="X217" s="39"/>
      <c r="Y217" s="39"/>
      <c r="Z217" s="39"/>
      <c r="AA217" s="35"/>
      <c r="AB217" s="50" t="e">
        <f t="shared" si="10"/>
        <v>#DIV/0!</v>
      </c>
      <c r="AC217" s="51" t="e">
        <f t="shared" si="11"/>
        <v>#DIV/0!</v>
      </c>
      <c r="AD217" s="19"/>
      <c r="AE217" s="19"/>
      <c r="AF217" s="285"/>
      <c r="AG217" s="240"/>
      <c r="AH217" s="242"/>
      <c r="AI217" s="242"/>
      <c r="AJ217" s="245"/>
      <c r="AK217" s="240"/>
      <c r="AL217" s="249"/>
      <c r="AM217" s="240"/>
      <c r="AN217" s="249"/>
      <c r="AO217" s="252"/>
      <c r="AP217" s="249"/>
    </row>
    <row r="218" spans="1:42" ht="17.100000000000001" customHeight="1" outlineLevel="4" x14ac:dyDescent="0.25">
      <c r="A218" s="222"/>
      <c r="B218" s="219"/>
      <c r="C218" s="229"/>
      <c r="D218" s="232"/>
      <c r="E218" s="235"/>
      <c r="F218" s="16">
        <v>55</v>
      </c>
      <c r="G218" s="34"/>
      <c r="H218" s="39"/>
      <c r="I218" s="39"/>
      <c r="J218" s="39"/>
      <c r="K218" s="39"/>
      <c r="L218" s="39"/>
      <c r="M218" s="39"/>
      <c r="N218" s="39"/>
      <c r="O218" s="39"/>
      <c r="P218" s="35"/>
      <c r="Q218" s="18"/>
      <c r="R218" s="34"/>
      <c r="S218" s="39"/>
      <c r="T218" s="39"/>
      <c r="U218" s="39"/>
      <c r="V218" s="39"/>
      <c r="W218" s="39"/>
      <c r="X218" s="39"/>
      <c r="Y218" s="39"/>
      <c r="Z218" s="39"/>
      <c r="AA218" s="35"/>
      <c r="AB218" s="50" t="e">
        <f t="shared" si="10"/>
        <v>#DIV/0!</v>
      </c>
      <c r="AC218" s="51" t="e">
        <f t="shared" si="11"/>
        <v>#DIV/0!</v>
      </c>
      <c r="AD218" s="19"/>
      <c r="AE218" s="19"/>
      <c r="AF218" s="285" t="s">
        <v>128</v>
      </c>
      <c r="AG218" s="240" t="e" cm="1">
        <f t="array" ref="AG218">bdRateExtend($G216:$G219,H216:H219,$R216:$R219,S216:S219)</f>
        <v>#VALUE!</v>
      </c>
      <c r="AH218" s="242"/>
      <c r="AI218" s="242"/>
      <c r="AJ218" s="245"/>
      <c r="AK218" s="240" t="e" cm="1">
        <f t="array" ref="AK218">bdRateExtend($G216:$G219,K216:K219,$R216:$R219,V216:V219)</f>
        <v>#VALUE!</v>
      </c>
      <c r="AL218" s="249"/>
      <c r="AM218" s="240" t="e" cm="1">
        <f t="array" ref="AM218">bdRateExtend($G216:$G219,L216:L219,$R216:$R219,W216:W219)</f>
        <v>#VALUE!</v>
      </c>
      <c r="AN218" s="249"/>
      <c r="AO218" s="252" t="e" cm="1">
        <f t="array" ref="AO218">bdRateExtend($G216:$G219,M216:M219,$R216:$R219,X216:X219)</f>
        <v>#VALUE!</v>
      </c>
      <c r="AP218" s="249"/>
    </row>
    <row r="219" spans="1:42" ht="17.100000000000001" customHeight="1" outlineLevel="4" thickBot="1" x14ac:dyDescent="0.3">
      <c r="A219" s="222"/>
      <c r="B219" s="220"/>
      <c r="C219" s="230"/>
      <c r="D219" s="233"/>
      <c r="E219" s="236"/>
      <c r="F219" s="9">
        <v>63</v>
      </c>
      <c r="G219" s="36"/>
      <c r="H219" s="37"/>
      <c r="I219" s="37"/>
      <c r="J219" s="37"/>
      <c r="K219" s="37"/>
      <c r="L219" s="37"/>
      <c r="M219" s="37"/>
      <c r="N219" s="37"/>
      <c r="O219" s="37"/>
      <c r="P219" s="38"/>
      <c r="Q219" s="18"/>
      <c r="R219" s="36"/>
      <c r="S219" s="37"/>
      <c r="T219" s="37"/>
      <c r="U219" s="37"/>
      <c r="V219" s="37"/>
      <c r="W219" s="37"/>
      <c r="X219" s="37"/>
      <c r="Y219" s="37"/>
      <c r="Z219" s="37"/>
      <c r="AA219" s="38"/>
      <c r="AB219" s="52" t="e">
        <f t="shared" si="10"/>
        <v>#DIV/0!</v>
      </c>
      <c r="AC219" s="53" t="e">
        <f t="shared" si="11"/>
        <v>#DIV/0!</v>
      </c>
      <c r="AD219" s="19"/>
      <c r="AE219" s="19"/>
      <c r="AF219" s="286"/>
      <c r="AG219" s="247"/>
      <c r="AH219" s="243"/>
      <c r="AI219" s="243"/>
      <c r="AJ219" s="246"/>
      <c r="AK219" s="247"/>
      <c r="AL219" s="250"/>
      <c r="AM219" s="247"/>
      <c r="AN219" s="250"/>
      <c r="AO219" s="253"/>
      <c r="AP219" s="250"/>
    </row>
    <row r="220" spans="1:42" ht="17.100000000000001" customHeight="1" outlineLevel="4" x14ac:dyDescent="0.25">
      <c r="A220" s="222"/>
      <c r="B220" s="218" t="s">
        <v>25</v>
      </c>
      <c r="C220" s="228" t="s">
        <v>65</v>
      </c>
      <c r="D220" s="231">
        <v>29.97</v>
      </c>
      <c r="E220" s="234" t="s">
        <v>23</v>
      </c>
      <c r="F220" s="7">
        <v>23</v>
      </c>
      <c r="G220" s="31"/>
      <c r="H220" s="32"/>
      <c r="I220" s="32"/>
      <c r="J220" s="32"/>
      <c r="K220" s="32"/>
      <c r="L220" s="32"/>
      <c r="M220" s="32"/>
      <c r="N220" s="32"/>
      <c r="O220" s="32"/>
      <c r="P220" s="33"/>
      <c r="Q220" s="18"/>
      <c r="R220" s="31"/>
      <c r="S220" s="32"/>
      <c r="T220" s="32"/>
      <c r="U220" s="32"/>
      <c r="V220" s="32"/>
      <c r="W220" s="32"/>
      <c r="X220" s="32"/>
      <c r="Y220" s="32"/>
      <c r="Z220" s="32"/>
      <c r="AA220" s="33"/>
      <c r="AB220" s="48" t="e">
        <f t="shared" si="10"/>
        <v>#DIV/0!</v>
      </c>
      <c r="AC220" s="49" t="e">
        <f t="shared" si="11"/>
        <v>#DIV/0!</v>
      </c>
      <c r="AD220" s="19"/>
      <c r="AE220" s="19"/>
      <c r="AF220" s="284" t="s">
        <v>126</v>
      </c>
      <c r="AG220" s="239" t="e" cm="1">
        <f t="array" ref="AG220">bdRateExtend($G220:$G223,H220:H223,$R220:$R223,S220:S223)</f>
        <v>#VALUE!</v>
      </c>
      <c r="AH220" s="241" t="e" cm="1">
        <f t="array" ref="AH220">bdRateExtend($G220:$G225,H220:H225,$R220:$R225,S220:S225)</f>
        <v>#VALUE!</v>
      </c>
      <c r="AI220" s="241" t="e" cm="1">
        <f t="array" ref="AI220">bdRateExtend($G220:$G225,I220:I225,$R220:$R225,T220:T225)</f>
        <v>#VALUE!</v>
      </c>
      <c r="AJ220" s="244" t="e" cm="1">
        <f t="array" ref="AJ220">bdRateExtend($G220:$G225,J220:J225,$R220:$R225,U220:U225)</f>
        <v>#VALUE!</v>
      </c>
      <c r="AK220" s="239" t="e" cm="1">
        <f t="array" ref="AK220">bdRateExtend($G220:$G223,K220:K223,$R220:$R223,V220:V223)</f>
        <v>#VALUE!</v>
      </c>
      <c r="AL220" s="248" t="e" cm="1">
        <f t="array" ref="AL220">bdRateExtend($G220:$G225,K220:K225,$R220:$R225,V220:V225)</f>
        <v>#VALUE!</v>
      </c>
      <c r="AM220" s="239" t="e" cm="1">
        <f t="array" ref="AM220">bdRateExtend($G220:$G223,L220:L223,$R220:$R223,W220:W223)</f>
        <v>#VALUE!</v>
      </c>
      <c r="AN220" s="248" t="e" cm="1">
        <f t="array" ref="AN220">bdRateExtend($G220:$G225,L220:L225,$R220:$R225,W220:W225)</f>
        <v>#VALUE!</v>
      </c>
      <c r="AO220" s="254" t="e" cm="1">
        <f t="array" ref="AO220">bdRateExtend($G220:$G223,M220:M223,$R220:$R223,X220:X223)</f>
        <v>#VALUE!</v>
      </c>
      <c r="AP220" s="248" t="e" cm="1">
        <f t="array" ref="AP220">bdRateExtend($G220:$G225,M220:M225,$R220:$R225,X220:X225)</f>
        <v>#VALUE!</v>
      </c>
    </row>
    <row r="221" spans="1:42" ht="17.100000000000001" customHeight="1" outlineLevel="4" x14ac:dyDescent="0.25">
      <c r="A221" s="222"/>
      <c r="B221" s="219"/>
      <c r="C221" s="229"/>
      <c r="D221" s="232"/>
      <c r="E221" s="235"/>
      <c r="F221" s="16">
        <v>31</v>
      </c>
      <c r="G221" s="34"/>
      <c r="H221" s="39"/>
      <c r="I221" s="39"/>
      <c r="J221" s="39"/>
      <c r="K221" s="39"/>
      <c r="L221" s="39"/>
      <c r="M221" s="39"/>
      <c r="N221" s="39"/>
      <c r="O221" s="39"/>
      <c r="P221" s="35"/>
      <c r="Q221" s="18"/>
      <c r="R221" s="34"/>
      <c r="S221" s="39"/>
      <c r="T221" s="39"/>
      <c r="U221" s="39"/>
      <c r="V221" s="39"/>
      <c r="W221" s="39"/>
      <c r="X221" s="39"/>
      <c r="Y221" s="39"/>
      <c r="Z221" s="39"/>
      <c r="AA221" s="35"/>
      <c r="AB221" s="50" t="e">
        <f t="shared" si="10"/>
        <v>#DIV/0!</v>
      </c>
      <c r="AC221" s="51" t="e">
        <f t="shared" si="11"/>
        <v>#DIV/0!</v>
      </c>
      <c r="AD221" s="19"/>
      <c r="AE221" s="19"/>
      <c r="AF221" s="285"/>
      <c r="AG221" s="240"/>
      <c r="AH221" s="242"/>
      <c r="AI221" s="242"/>
      <c r="AJ221" s="245"/>
      <c r="AK221" s="240"/>
      <c r="AL221" s="249"/>
      <c r="AM221" s="240"/>
      <c r="AN221" s="249"/>
      <c r="AO221" s="252"/>
      <c r="AP221" s="249"/>
    </row>
    <row r="222" spans="1:42" ht="17.100000000000001" customHeight="1" outlineLevel="4" x14ac:dyDescent="0.25">
      <c r="A222" s="222"/>
      <c r="B222" s="219"/>
      <c r="C222" s="229"/>
      <c r="D222" s="232"/>
      <c r="E222" s="235"/>
      <c r="F222" s="16">
        <v>39</v>
      </c>
      <c r="G222" s="34"/>
      <c r="H222" s="39"/>
      <c r="I222" s="39"/>
      <c r="J222" s="39"/>
      <c r="K222" s="39"/>
      <c r="L222" s="39"/>
      <c r="M222" s="39"/>
      <c r="N222" s="39"/>
      <c r="O222" s="39"/>
      <c r="P222" s="35"/>
      <c r="Q222" s="18"/>
      <c r="R222" s="34"/>
      <c r="S222" s="39"/>
      <c r="T222" s="39"/>
      <c r="U222" s="39"/>
      <c r="V222" s="39"/>
      <c r="W222" s="39"/>
      <c r="X222" s="39"/>
      <c r="Y222" s="39"/>
      <c r="Z222" s="39"/>
      <c r="AA222" s="35"/>
      <c r="AB222" s="50" t="e">
        <f t="shared" si="10"/>
        <v>#DIV/0!</v>
      </c>
      <c r="AC222" s="51" t="e">
        <f t="shared" si="11"/>
        <v>#DIV/0!</v>
      </c>
      <c r="AD222" s="19"/>
      <c r="AE222" s="19"/>
      <c r="AF222" s="285" t="s">
        <v>127</v>
      </c>
      <c r="AG222" s="240" t="e" cm="1">
        <f t="array" ref="AG222">bdRateExtend($G221:$G224,H221:H224,$R221:$R224,S221:S224)</f>
        <v>#VALUE!</v>
      </c>
      <c r="AH222" s="242"/>
      <c r="AI222" s="242"/>
      <c r="AJ222" s="245"/>
      <c r="AK222" s="240" t="e" cm="1">
        <f t="array" ref="AK222">bdRateExtend($G221:$G224,K221:K224,$R221:$R224,V221:V224)</f>
        <v>#VALUE!</v>
      </c>
      <c r="AL222" s="249"/>
      <c r="AM222" s="240" t="e" cm="1">
        <f t="array" ref="AM222">bdRateExtend($G221:$G224,L221:L224,$R221:$R224,W221:W224)</f>
        <v>#VALUE!</v>
      </c>
      <c r="AN222" s="249"/>
      <c r="AO222" s="252" t="e" cm="1">
        <f t="array" ref="AO222">bdRateExtend($G221:$G224,M221:M224,$R221:$R224,X221:X224)</f>
        <v>#VALUE!</v>
      </c>
      <c r="AP222" s="249"/>
    </row>
    <row r="223" spans="1:42" ht="17.100000000000001" customHeight="1" outlineLevel="4" x14ac:dyDescent="0.25">
      <c r="A223" s="222"/>
      <c r="B223" s="219"/>
      <c r="C223" s="229"/>
      <c r="D223" s="232"/>
      <c r="E223" s="235"/>
      <c r="F223" s="16">
        <v>47</v>
      </c>
      <c r="G223" s="34"/>
      <c r="H223" s="39"/>
      <c r="I223" s="39"/>
      <c r="J223" s="39"/>
      <c r="K223" s="39"/>
      <c r="L223" s="39"/>
      <c r="M223" s="39"/>
      <c r="N223" s="39"/>
      <c r="O223" s="39"/>
      <c r="P223" s="35"/>
      <c r="Q223" s="18"/>
      <c r="R223" s="34"/>
      <c r="S223" s="39"/>
      <c r="T223" s="39"/>
      <c r="U223" s="39"/>
      <c r="V223" s="39"/>
      <c r="W223" s="39"/>
      <c r="X223" s="39"/>
      <c r="Y223" s="39"/>
      <c r="Z223" s="39"/>
      <c r="AA223" s="35"/>
      <c r="AB223" s="50" t="e">
        <f t="shared" si="10"/>
        <v>#DIV/0!</v>
      </c>
      <c r="AC223" s="51" t="e">
        <f t="shared" si="11"/>
        <v>#DIV/0!</v>
      </c>
      <c r="AD223" s="19"/>
      <c r="AE223" s="19"/>
      <c r="AF223" s="285"/>
      <c r="AG223" s="240"/>
      <c r="AH223" s="242"/>
      <c r="AI223" s="242"/>
      <c r="AJ223" s="245"/>
      <c r="AK223" s="240"/>
      <c r="AL223" s="249"/>
      <c r="AM223" s="240"/>
      <c r="AN223" s="249"/>
      <c r="AO223" s="252"/>
      <c r="AP223" s="249"/>
    </row>
    <row r="224" spans="1:42" ht="17.100000000000001" customHeight="1" outlineLevel="4" x14ac:dyDescent="0.25">
      <c r="A224" s="222"/>
      <c r="B224" s="219"/>
      <c r="C224" s="229"/>
      <c r="D224" s="232"/>
      <c r="E224" s="235"/>
      <c r="F224" s="16">
        <v>55</v>
      </c>
      <c r="G224" s="34"/>
      <c r="H224" s="39"/>
      <c r="I224" s="39"/>
      <c r="J224" s="39"/>
      <c r="K224" s="39"/>
      <c r="L224" s="39"/>
      <c r="M224" s="39"/>
      <c r="N224" s="39"/>
      <c r="O224" s="39"/>
      <c r="P224" s="35"/>
      <c r="Q224" s="18"/>
      <c r="R224" s="34"/>
      <c r="S224" s="39"/>
      <c r="T224" s="39"/>
      <c r="U224" s="39"/>
      <c r="V224" s="39"/>
      <c r="W224" s="39"/>
      <c r="X224" s="39"/>
      <c r="Y224" s="39"/>
      <c r="Z224" s="39"/>
      <c r="AA224" s="35"/>
      <c r="AB224" s="50" t="e">
        <f t="shared" si="10"/>
        <v>#DIV/0!</v>
      </c>
      <c r="AC224" s="51" t="e">
        <f t="shared" si="11"/>
        <v>#DIV/0!</v>
      </c>
      <c r="AD224" s="19"/>
      <c r="AE224" s="19"/>
      <c r="AF224" s="285" t="s">
        <v>128</v>
      </c>
      <c r="AG224" s="240" t="e" cm="1">
        <f t="array" ref="AG224">bdRateExtend($G222:$G225,H222:H225,$R222:$R225,S222:S225)</f>
        <v>#VALUE!</v>
      </c>
      <c r="AH224" s="242"/>
      <c r="AI224" s="242"/>
      <c r="AJ224" s="245"/>
      <c r="AK224" s="240" t="e" cm="1">
        <f t="array" ref="AK224">bdRateExtend($G222:$G225,K222:K225,$R222:$R225,V222:V225)</f>
        <v>#VALUE!</v>
      </c>
      <c r="AL224" s="249"/>
      <c r="AM224" s="240" t="e" cm="1">
        <f t="array" ref="AM224">bdRateExtend($G222:$G225,L222:L225,$R222:$R225,W222:W225)</f>
        <v>#VALUE!</v>
      </c>
      <c r="AN224" s="249"/>
      <c r="AO224" s="252" t="e" cm="1">
        <f t="array" ref="AO224">bdRateExtend($G222:$G225,M222:M225,$R222:$R225,X222:X225)</f>
        <v>#VALUE!</v>
      </c>
      <c r="AP224" s="249"/>
    </row>
    <row r="225" spans="1:42" ht="17.100000000000001" customHeight="1" outlineLevel="4" thickBot="1" x14ac:dyDescent="0.3">
      <c r="A225" s="222"/>
      <c r="B225" s="220"/>
      <c r="C225" s="230"/>
      <c r="D225" s="233"/>
      <c r="E225" s="236"/>
      <c r="F225" s="9">
        <v>63</v>
      </c>
      <c r="G225" s="36"/>
      <c r="H225" s="37"/>
      <c r="I225" s="37"/>
      <c r="J225" s="37"/>
      <c r="K225" s="37"/>
      <c r="L225" s="37"/>
      <c r="M225" s="37"/>
      <c r="N225" s="37"/>
      <c r="O225" s="37"/>
      <c r="P225" s="38"/>
      <c r="Q225" s="18"/>
      <c r="R225" s="36"/>
      <c r="S225" s="37"/>
      <c r="T225" s="37"/>
      <c r="U225" s="37"/>
      <c r="V225" s="37"/>
      <c r="W225" s="37"/>
      <c r="X225" s="37"/>
      <c r="Y225" s="37"/>
      <c r="Z225" s="37"/>
      <c r="AA225" s="38"/>
      <c r="AB225" s="52" t="e">
        <f t="shared" si="10"/>
        <v>#DIV/0!</v>
      </c>
      <c r="AC225" s="53" t="e">
        <f t="shared" si="11"/>
        <v>#DIV/0!</v>
      </c>
      <c r="AD225" s="19"/>
      <c r="AE225" s="19"/>
      <c r="AF225" s="286"/>
      <c r="AG225" s="247"/>
      <c r="AH225" s="243"/>
      <c r="AI225" s="243"/>
      <c r="AJ225" s="246"/>
      <c r="AK225" s="247"/>
      <c r="AL225" s="250"/>
      <c r="AM225" s="247"/>
      <c r="AN225" s="250"/>
      <c r="AO225" s="253"/>
      <c r="AP225" s="250"/>
    </row>
    <row r="226" spans="1:42" ht="17.100000000000001" customHeight="1" outlineLevel="4" x14ac:dyDescent="0.25">
      <c r="A226" s="222"/>
      <c r="B226" s="218" t="s">
        <v>25</v>
      </c>
      <c r="C226" s="228" t="s">
        <v>66</v>
      </c>
      <c r="D226" s="231">
        <v>29.97</v>
      </c>
      <c r="E226" s="234" t="s">
        <v>23</v>
      </c>
      <c r="F226" s="7">
        <v>23</v>
      </c>
      <c r="G226" s="31"/>
      <c r="H226" s="32"/>
      <c r="I226" s="32"/>
      <c r="J226" s="32"/>
      <c r="K226" s="32"/>
      <c r="L226" s="32"/>
      <c r="M226" s="32"/>
      <c r="N226" s="32"/>
      <c r="O226" s="32"/>
      <c r="P226" s="33"/>
      <c r="Q226" s="18"/>
      <c r="R226" s="31"/>
      <c r="S226" s="32"/>
      <c r="T226" s="32"/>
      <c r="U226" s="32"/>
      <c r="V226" s="32"/>
      <c r="W226" s="32"/>
      <c r="X226" s="32"/>
      <c r="Y226" s="32"/>
      <c r="Z226" s="32"/>
      <c r="AA226" s="33"/>
      <c r="AB226" s="48" t="e">
        <f t="shared" si="10"/>
        <v>#DIV/0!</v>
      </c>
      <c r="AC226" s="49" t="e">
        <f t="shared" si="11"/>
        <v>#DIV/0!</v>
      </c>
      <c r="AD226" s="19"/>
      <c r="AE226" s="19"/>
      <c r="AF226" s="284" t="s">
        <v>126</v>
      </c>
      <c r="AG226" s="239" t="e" cm="1">
        <f t="array" ref="AG226">bdRateExtend($G226:$G229,H226:H229,$R226:$R229,S226:S229)</f>
        <v>#VALUE!</v>
      </c>
      <c r="AH226" s="241" t="e" cm="1">
        <f t="array" ref="AH226">bdRateExtend($G226:$G231,H226:H231,$R226:$R231,S226:S231)</f>
        <v>#VALUE!</v>
      </c>
      <c r="AI226" s="241" t="e" cm="1">
        <f t="array" ref="AI226">bdRateExtend($G226:$G231,I226:I231,$R226:$R231,T226:T231)</f>
        <v>#VALUE!</v>
      </c>
      <c r="AJ226" s="244" t="e" cm="1">
        <f t="array" ref="AJ226">bdRateExtend($G226:$G231,J226:J231,$R226:$R231,U226:U231)</f>
        <v>#VALUE!</v>
      </c>
      <c r="AK226" s="239" t="e" cm="1">
        <f t="array" ref="AK226">bdRateExtend($G226:$G229,K226:K229,$R226:$R229,V226:V229)</f>
        <v>#VALUE!</v>
      </c>
      <c r="AL226" s="248" t="e" cm="1">
        <f t="array" ref="AL226">bdRateExtend($G226:$G231,K226:K231,$R226:$R231,V226:V231)</f>
        <v>#VALUE!</v>
      </c>
      <c r="AM226" s="239" t="e" cm="1">
        <f t="array" ref="AM226">bdRateExtend($G226:$G229,L226:L229,$R226:$R229,W226:W229)</f>
        <v>#VALUE!</v>
      </c>
      <c r="AN226" s="248" t="e" cm="1">
        <f t="array" ref="AN226">bdRateExtend($G226:$G231,L226:L231,$R226:$R231,W226:W231)</f>
        <v>#VALUE!</v>
      </c>
      <c r="AO226" s="254" t="e" cm="1">
        <f t="array" ref="AO226">bdRateExtend($G226:$G229,M226:M229,$R226:$R229,X226:X229)</f>
        <v>#VALUE!</v>
      </c>
      <c r="AP226" s="248" t="e" cm="1">
        <f t="array" ref="AP226">bdRateExtend($G226:$G231,M226:M231,$R226:$R231,X226:X231)</f>
        <v>#VALUE!</v>
      </c>
    </row>
    <row r="227" spans="1:42" ht="17.100000000000001" customHeight="1" outlineLevel="4" x14ac:dyDescent="0.25">
      <c r="A227" s="222"/>
      <c r="B227" s="219"/>
      <c r="C227" s="229"/>
      <c r="D227" s="232"/>
      <c r="E227" s="235"/>
      <c r="F227" s="16">
        <v>31</v>
      </c>
      <c r="G227" s="34"/>
      <c r="H227" s="39"/>
      <c r="I227" s="39"/>
      <c r="J227" s="39"/>
      <c r="K227" s="39"/>
      <c r="L227" s="39"/>
      <c r="M227" s="39"/>
      <c r="N227" s="39"/>
      <c r="O227" s="39"/>
      <c r="P227" s="35"/>
      <c r="Q227" s="18"/>
      <c r="R227" s="34"/>
      <c r="S227" s="39"/>
      <c r="T227" s="39"/>
      <c r="U227" s="39"/>
      <c r="V227" s="39"/>
      <c r="W227" s="39"/>
      <c r="X227" s="39"/>
      <c r="Y227" s="39"/>
      <c r="Z227" s="39"/>
      <c r="AA227" s="35"/>
      <c r="AB227" s="50" t="e">
        <f t="shared" si="10"/>
        <v>#DIV/0!</v>
      </c>
      <c r="AC227" s="51" t="e">
        <f t="shared" si="11"/>
        <v>#DIV/0!</v>
      </c>
      <c r="AD227" s="19"/>
      <c r="AE227" s="19"/>
      <c r="AF227" s="285"/>
      <c r="AG227" s="240"/>
      <c r="AH227" s="242"/>
      <c r="AI227" s="242"/>
      <c r="AJ227" s="245"/>
      <c r="AK227" s="240"/>
      <c r="AL227" s="249"/>
      <c r="AM227" s="240"/>
      <c r="AN227" s="249"/>
      <c r="AO227" s="252"/>
      <c r="AP227" s="249"/>
    </row>
    <row r="228" spans="1:42" ht="17.100000000000001" customHeight="1" outlineLevel="4" x14ac:dyDescent="0.25">
      <c r="A228" s="222"/>
      <c r="B228" s="219"/>
      <c r="C228" s="229"/>
      <c r="D228" s="232"/>
      <c r="E228" s="235"/>
      <c r="F228" s="16">
        <v>39</v>
      </c>
      <c r="G228" s="34"/>
      <c r="H228" s="39"/>
      <c r="I228" s="39"/>
      <c r="J228" s="39"/>
      <c r="K228" s="39"/>
      <c r="L228" s="39"/>
      <c r="M228" s="39"/>
      <c r="N228" s="39"/>
      <c r="O228" s="39"/>
      <c r="P228" s="35"/>
      <c r="Q228" s="18"/>
      <c r="R228" s="34"/>
      <c r="S228" s="39"/>
      <c r="T228" s="39"/>
      <c r="U228" s="39"/>
      <c r="V228" s="39"/>
      <c r="W228" s="39"/>
      <c r="X228" s="39"/>
      <c r="Y228" s="39"/>
      <c r="Z228" s="39"/>
      <c r="AA228" s="35"/>
      <c r="AB228" s="50" t="e">
        <f t="shared" si="10"/>
        <v>#DIV/0!</v>
      </c>
      <c r="AC228" s="51" t="e">
        <f t="shared" si="11"/>
        <v>#DIV/0!</v>
      </c>
      <c r="AD228" s="19"/>
      <c r="AE228" s="19"/>
      <c r="AF228" s="285" t="s">
        <v>127</v>
      </c>
      <c r="AG228" s="240" t="e" cm="1">
        <f t="array" ref="AG228">bdRateExtend($G227:$G230,H227:H230,$R227:$R230,S227:S230)</f>
        <v>#VALUE!</v>
      </c>
      <c r="AH228" s="242"/>
      <c r="AI228" s="242"/>
      <c r="AJ228" s="245"/>
      <c r="AK228" s="240" t="e" cm="1">
        <f t="array" ref="AK228">bdRateExtend($G227:$G230,K227:K230,$R227:$R230,V227:V230)</f>
        <v>#VALUE!</v>
      </c>
      <c r="AL228" s="249"/>
      <c r="AM228" s="240" t="e" cm="1">
        <f t="array" ref="AM228">bdRateExtend($G227:$G230,L227:L230,$R227:$R230,W227:W230)</f>
        <v>#VALUE!</v>
      </c>
      <c r="AN228" s="249"/>
      <c r="AO228" s="252" t="e" cm="1">
        <f t="array" ref="AO228">bdRateExtend($G227:$G230,M227:M230,$R227:$R230,X227:X230)</f>
        <v>#VALUE!</v>
      </c>
      <c r="AP228" s="249"/>
    </row>
    <row r="229" spans="1:42" ht="17.100000000000001" customHeight="1" outlineLevel="4" x14ac:dyDescent="0.25">
      <c r="A229" s="222"/>
      <c r="B229" s="219"/>
      <c r="C229" s="229"/>
      <c r="D229" s="232"/>
      <c r="E229" s="235"/>
      <c r="F229" s="16">
        <v>47</v>
      </c>
      <c r="G229" s="34"/>
      <c r="H229" s="39"/>
      <c r="I229" s="39"/>
      <c r="J229" s="39"/>
      <c r="K229" s="39"/>
      <c r="L229" s="39"/>
      <c r="M229" s="39"/>
      <c r="N229" s="39"/>
      <c r="O229" s="39"/>
      <c r="P229" s="35"/>
      <c r="Q229" s="18"/>
      <c r="R229" s="34"/>
      <c r="S229" s="39"/>
      <c r="T229" s="39"/>
      <c r="U229" s="39"/>
      <c r="V229" s="39"/>
      <c r="W229" s="39"/>
      <c r="X229" s="39"/>
      <c r="Y229" s="39"/>
      <c r="Z229" s="39"/>
      <c r="AA229" s="35"/>
      <c r="AB229" s="50" t="e">
        <f t="shared" si="10"/>
        <v>#DIV/0!</v>
      </c>
      <c r="AC229" s="51" t="e">
        <f t="shared" si="11"/>
        <v>#DIV/0!</v>
      </c>
      <c r="AD229" s="19"/>
      <c r="AE229" s="19"/>
      <c r="AF229" s="285"/>
      <c r="AG229" s="240"/>
      <c r="AH229" s="242"/>
      <c r="AI229" s="242"/>
      <c r="AJ229" s="245"/>
      <c r="AK229" s="240"/>
      <c r="AL229" s="249"/>
      <c r="AM229" s="240"/>
      <c r="AN229" s="249"/>
      <c r="AO229" s="252"/>
      <c r="AP229" s="249"/>
    </row>
    <row r="230" spans="1:42" ht="17.100000000000001" customHeight="1" outlineLevel="4" x14ac:dyDescent="0.25">
      <c r="A230" s="222"/>
      <c r="B230" s="219"/>
      <c r="C230" s="229"/>
      <c r="D230" s="232"/>
      <c r="E230" s="235"/>
      <c r="F230" s="16">
        <v>55</v>
      </c>
      <c r="G230" s="34"/>
      <c r="H230" s="39"/>
      <c r="I230" s="39"/>
      <c r="J230" s="39"/>
      <c r="K230" s="39"/>
      <c r="L230" s="39"/>
      <c r="M230" s="39"/>
      <c r="N230" s="39"/>
      <c r="O230" s="39"/>
      <c r="P230" s="35"/>
      <c r="Q230" s="18"/>
      <c r="R230" s="34"/>
      <c r="S230" s="39"/>
      <c r="T230" s="39"/>
      <c r="U230" s="39"/>
      <c r="V230" s="39"/>
      <c r="W230" s="39"/>
      <c r="X230" s="39"/>
      <c r="Y230" s="39"/>
      <c r="Z230" s="39"/>
      <c r="AA230" s="35"/>
      <c r="AB230" s="50" t="e">
        <f t="shared" ref="AB230:AB293" si="12">Y230/N230</f>
        <v>#DIV/0!</v>
      </c>
      <c r="AC230" s="51" t="e">
        <f t="shared" ref="AC230:AC293" si="13">Z230/O230</f>
        <v>#DIV/0!</v>
      </c>
      <c r="AD230" s="19"/>
      <c r="AE230" s="19"/>
      <c r="AF230" s="285" t="s">
        <v>128</v>
      </c>
      <c r="AG230" s="240" t="e" cm="1">
        <f t="array" ref="AG230">bdRateExtend($G228:$G231,H228:H231,$R228:$R231,S228:S231)</f>
        <v>#VALUE!</v>
      </c>
      <c r="AH230" s="242"/>
      <c r="AI230" s="242"/>
      <c r="AJ230" s="245"/>
      <c r="AK230" s="240" t="e" cm="1">
        <f t="array" ref="AK230">bdRateExtend($G228:$G231,K228:K231,$R228:$R231,V228:V231)</f>
        <v>#VALUE!</v>
      </c>
      <c r="AL230" s="249"/>
      <c r="AM230" s="240" t="e" cm="1">
        <f t="array" ref="AM230">bdRateExtend($G228:$G231,L228:L231,$R228:$R231,W228:W231)</f>
        <v>#VALUE!</v>
      </c>
      <c r="AN230" s="249"/>
      <c r="AO230" s="252" t="e" cm="1">
        <f t="array" ref="AO230">bdRateExtend($G228:$G231,M228:M231,$R228:$R231,X228:X231)</f>
        <v>#VALUE!</v>
      </c>
      <c r="AP230" s="249"/>
    </row>
    <row r="231" spans="1:42" ht="17.100000000000001" customHeight="1" outlineLevel="4" thickBot="1" x14ac:dyDescent="0.3">
      <c r="A231" s="222"/>
      <c r="B231" s="220"/>
      <c r="C231" s="230"/>
      <c r="D231" s="233"/>
      <c r="E231" s="236"/>
      <c r="F231" s="9">
        <v>63</v>
      </c>
      <c r="G231" s="36"/>
      <c r="H231" s="37"/>
      <c r="I231" s="37"/>
      <c r="J231" s="37"/>
      <c r="K231" s="37"/>
      <c r="L231" s="37"/>
      <c r="M231" s="37"/>
      <c r="N231" s="37"/>
      <c r="O231" s="37"/>
      <c r="P231" s="38"/>
      <c r="Q231" s="18"/>
      <c r="R231" s="36"/>
      <c r="S231" s="37"/>
      <c r="T231" s="37"/>
      <c r="U231" s="37"/>
      <c r="V231" s="37"/>
      <c r="W231" s="37"/>
      <c r="X231" s="37"/>
      <c r="Y231" s="37"/>
      <c r="Z231" s="37"/>
      <c r="AA231" s="38"/>
      <c r="AB231" s="52" t="e">
        <f t="shared" si="12"/>
        <v>#DIV/0!</v>
      </c>
      <c r="AC231" s="53" t="e">
        <f t="shared" si="13"/>
        <v>#DIV/0!</v>
      </c>
      <c r="AD231" s="19"/>
      <c r="AE231" s="19"/>
      <c r="AF231" s="286"/>
      <c r="AG231" s="247"/>
      <c r="AH231" s="243"/>
      <c r="AI231" s="243"/>
      <c r="AJ231" s="246"/>
      <c r="AK231" s="247"/>
      <c r="AL231" s="250"/>
      <c r="AM231" s="247"/>
      <c r="AN231" s="250"/>
      <c r="AO231" s="253"/>
      <c r="AP231" s="250"/>
    </row>
    <row r="232" spans="1:42" ht="17.100000000000001" customHeight="1" outlineLevel="4" x14ac:dyDescent="0.25">
      <c r="A232" s="222"/>
      <c r="B232" s="218" t="s">
        <v>25</v>
      </c>
      <c r="C232" s="228" t="s">
        <v>67</v>
      </c>
      <c r="D232" s="231">
        <v>29.97</v>
      </c>
      <c r="E232" s="234"/>
      <c r="F232" s="7">
        <v>23</v>
      </c>
      <c r="G232" s="31"/>
      <c r="H232" s="32"/>
      <c r="I232" s="32"/>
      <c r="J232" s="32"/>
      <c r="K232" s="32"/>
      <c r="L232" s="32"/>
      <c r="M232" s="32"/>
      <c r="N232" s="32"/>
      <c r="O232" s="32"/>
      <c r="P232" s="33"/>
      <c r="Q232" s="18"/>
      <c r="R232" s="31"/>
      <c r="S232" s="32"/>
      <c r="T232" s="32"/>
      <c r="U232" s="32"/>
      <c r="V232" s="32"/>
      <c r="W232" s="32"/>
      <c r="X232" s="32"/>
      <c r="Y232" s="32"/>
      <c r="Z232" s="32"/>
      <c r="AA232" s="33"/>
      <c r="AB232" s="48" t="e">
        <f t="shared" si="12"/>
        <v>#DIV/0!</v>
      </c>
      <c r="AC232" s="49" t="e">
        <f t="shared" si="13"/>
        <v>#DIV/0!</v>
      </c>
      <c r="AD232" s="19"/>
      <c r="AE232" s="19"/>
      <c r="AF232" s="284" t="s">
        <v>126</v>
      </c>
      <c r="AG232" s="239" t="e" cm="1">
        <f t="array" ref="AG232">bdRateExtend($G232:$G235,H232:H235,$R232:$R235,S232:S235)</f>
        <v>#VALUE!</v>
      </c>
      <c r="AH232" s="241" t="e" cm="1">
        <f t="array" ref="AH232">bdRateExtend($G232:$G237,H232:H237,$R232:$R237,S232:S237)</f>
        <v>#VALUE!</v>
      </c>
      <c r="AI232" s="241" t="e" cm="1">
        <f t="array" ref="AI232">bdRateExtend($G232:$G237,I232:I237,$R232:$R237,T232:T237)</f>
        <v>#VALUE!</v>
      </c>
      <c r="AJ232" s="244" t="e" cm="1">
        <f t="array" ref="AJ232">bdRateExtend($G232:$G237,J232:J237,$R232:$R237,U232:U237)</f>
        <v>#VALUE!</v>
      </c>
      <c r="AK232" s="239" t="e" cm="1">
        <f t="array" ref="AK232">bdRateExtend($G232:$G235,K232:K235,$R232:$R235,V232:V235)</f>
        <v>#VALUE!</v>
      </c>
      <c r="AL232" s="248" t="e" cm="1">
        <f t="array" ref="AL232">bdRateExtend($G232:$G237,K232:K237,$R232:$R237,V232:V237)</f>
        <v>#VALUE!</v>
      </c>
      <c r="AM232" s="239" t="e" cm="1">
        <f t="array" ref="AM232">bdRateExtend($G232:$G235,L232:L235,$R232:$R235,W232:W235)</f>
        <v>#VALUE!</v>
      </c>
      <c r="AN232" s="248" t="e" cm="1">
        <f t="array" ref="AN232">bdRateExtend($G232:$G237,L232:L237,$R232:$R237,W232:W237)</f>
        <v>#VALUE!</v>
      </c>
      <c r="AO232" s="254" t="e" cm="1">
        <f t="array" ref="AO232">bdRateExtend($G232:$G235,M232:M235,$R232:$R235,X232:X235)</f>
        <v>#VALUE!</v>
      </c>
      <c r="AP232" s="248" t="e" cm="1">
        <f t="array" ref="AP232">bdRateExtend($G232:$G237,M232:M237,$R232:$R237,X232:X237)</f>
        <v>#VALUE!</v>
      </c>
    </row>
    <row r="233" spans="1:42" ht="17.100000000000001" customHeight="1" outlineLevel="4" x14ac:dyDescent="0.25">
      <c r="A233" s="222"/>
      <c r="B233" s="219"/>
      <c r="C233" s="229"/>
      <c r="D233" s="232"/>
      <c r="E233" s="235"/>
      <c r="F233" s="16">
        <v>31</v>
      </c>
      <c r="G233" s="34"/>
      <c r="H233" s="39"/>
      <c r="I233" s="39"/>
      <c r="J233" s="39"/>
      <c r="K233" s="39"/>
      <c r="L233" s="39"/>
      <c r="M233" s="39"/>
      <c r="N233" s="39"/>
      <c r="O233" s="39"/>
      <c r="P233" s="35"/>
      <c r="Q233" s="18"/>
      <c r="R233" s="34"/>
      <c r="S233" s="39"/>
      <c r="T233" s="39"/>
      <c r="U233" s="39"/>
      <c r="V233" s="39"/>
      <c r="W233" s="39"/>
      <c r="X233" s="39"/>
      <c r="Y233" s="39"/>
      <c r="Z233" s="39"/>
      <c r="AA233" s="35"/>
      <c r="AB233" s="50" t="e">
        <f t="shared" si="12"/>
        <v>#DIV/0!</v>
      </c>
      <c r="AC233" s="51" t="e">
        <f t="shared" si="13"/>
        <v>#DIV/0!</v>
      </c>
      <c r="AD233" s="19"/>
      <c r="AE233" s="19"/>
      <c r="AF233" s="285"/>
      <c r="AG233" s="240"/>
      <c r="AH233" s="242"/>
      <c r="AI233" s="242"/>
      <c r="AJ233" s="245"/>
      <c r="AK233" s="240"/>
      <c r="AL233" s="249"/>
      <c r="AM233" s="240"/>
      <c r="AN233" s="249"/>
      <c r="AO233" s="252"/>
      <c r="AP233" s="249"/>
    </row>
    <row r="234" spans="1:42" ht="17.100000000000001" customHeight="1" outlineLevel="4" x14ac:dyDescent="0.25">
      <c r="A234" s="222"/>
      <c r="B234" s="219"/>
      <c r="C234" s="229"/>
      <c r="D234" s="232"/>
      <c r="E234" s="235"/>
      <c r="F234" s="16">
        <v>39</v>
      </c>
      <c r="G234" s="34"/>
      <c r="H234" s="39"/>
      <c r="I234" s="39"/>
      <c r="J234" s="39"/>
      <c r="K234" s="39"/>
      <c r="L234" s="39"/>
      <c r="M234" s="39"/>
      <c r="N234" s="39"/>
      <c r="O234" s="39"/>
      <c r="P234" s="35"/>
      <c r="Q234" s="18"/>
      <c r="R234" s="34"/>
      <c r="S234" s="39"/>
      <c r="T234" s="39"/>
      <c r="U234" s="39"/>
      <c r="V234" s="39"/>
      <c r="W234" s="39"/>
      <c r="X234" s="39"/>
      <c r="Y234" s="39"/>
      <c r="Z234" s="39"/>
      <c r="AA234" s="35"/>
      <c r="AB234" s="50" t="e">
        <f t="shared" si="12"/>
        <v>#DIV/0!</v>
      </c>
      <c r="AC234" s="51" t="e">
        <f t="shared" si="13"/>
        <v>#DIV/0!</v>
      </c>
      <c r="AD234" s="19"/>
      <c r="AE234" s="19"/>
      <c r="AF234" s="285" t="s">
        <v>127</v>
      </c>
      <c r="AG234" s="240" t="e" cm="1">
        <f t="array" ref="AG234">bdRateExtend($G233:$G236,H233:H236,$R233:$R236,S233:S236)</f>
        <v>#VALUE!</v>
      </c>
      <c r="AH234" s="242"/>
      <c r="AI234" s="242"/>
      <c r="AJ234" s="245"/>
      <c r="AK234" s="240" t="e" cm="1">
        <f t="array" ref="AK234">bdRateExtend($G233:$G236,K233:K236,$R233:$R236,V233:V236)</f>
        <v>#VALUE!</v>
      </c>
      <c r="AL234" s="249"/>
      <c r="AM234" s="240" t="e" cm="1">
        <f t="array" ref="AM234">bdRateExtend($G233:$G236,L233:L236,$R233:$R236,W233:W236)</f>
        <v>#VALUE!</v>
      </c>
      <c r="AN234" s="249"/>
      <c r="AO234" s="252" t="e" cm="1">
        <f t="array" ref="AO234">bdRateExtend($G233:$G236,M233:M236,$R233:$R236,X233:X236)</f>
        <v>#VALUE!</v>
      </c>
      <c r="AP234" s="249"/>
    </row>
    <row r="235" spans="1:42" ht="17.100000000000001" customHeight="1" outlineLevel="4" x14ac:dyDescent="0.25">
      <c r="A235" s="222"/>
      <c r="B235" s="219"/>
      <c r="C235" s="229"/>
      <c r="D235" s="232"/>
      <c r="E235" s="235"/>
      <c r="F235" s="16">
        <v>47</v>
      </c>
      <c r="G235" s="34"/>
      <c r="H235" s="39"/>
      <c r="I235" s="39"/>
      <c r="J235" s="39"/>
      <c r="K235" s="39"/>
      <c r="L235" s="39"/>
      <c r="M235" s="39"/>
      <c r="N235" s="39"/>
      <c r="O235" s="39"/>
      <c r="P235" s="35"/>
      <c r="Q235" s="18"/>
      <c r="R235" s="34"/>
      <c r="S235" s="39"/>
      <c r="T235" s="39"/>
      <c r="U235" s="39"/>
      <c r="V235" s="39"/>
      <c r="W235" s="39"/>
      <c r="X235" s="39"/>
      <c r="Y235" s="39"/>
      <c r="Z235" s="39"/>
      <c r="AA235" s="35"/>
      <c r="AB235" s="50" t="e">
        <f t="shared" si="12"/>
        <v>#DIV/0!</v>
      </c>
      <c r="AC235" s="51" t="e">
        <f t="shared" si="13"/>
        <v>#DIV/0!</v>
      </c>
      <c r="AD235" s="19"/>
      <c r="AE235" s="19"/>
      <c r="AF235" s="285"/>
      <c r="AG235" s="240"/>
      <c r="AH235" s="242"/>
      <c r="AI235" s="242"/>
      <c r="AJ235" s="245"/>
      <c r="AK235" s="240"/>
      <c r="AL235" s="249"/>
      <c r="AM235" s="240"/>
      <c r="AN235" s="249"/>
      <c r="AO235" s="252"/>
      <c r="AP235" s="249"/>
    </row>
    <row r="236" spans="1:42" ht="17.100000000000001" customHeight="1" outlineLevel="4" x14ac:dyDescent="0.25">
      <c r="A236" s="222"/>
      <c r="B236" s="219"/>
      <c r="C236" s="229"/>
      <c r="D236" s="232"/>
      <c r="E236" s="235"/>
      <c r="F236" s="16">
        <v>55</v>
      </c>
      <c r="G236" s="34"/>
      <c r="H236" s="39"/>
      <c r="I236" s="39"/>
      <c r="J236" s="39"/>
      <c r="K236" s="39"/>
      <c r="L236" s="39"/>
      <c r="M236" s="39"/>
      <c r="N236" s="39"/>
      <c r="O236" s="39"/>
      <c r="P236" s="35"/>
      <c r="Q236" s="18"/>
      <c r="R236" s="34"/>
      <c r="S236" s="39"/>
      <c r="T236" s="39"/>
      <c r="U236" s="39"/>
      <c r="V236" s="39"/>
      <c r="W236" s="39"/>
      <c r="X236" s="39"/>
      <c r="Y236" s="39"/>
      <c r="Z236" s="39"/>
      <c r="AA236" s="35"/>
      <c r="AB236" s="50" t="e">
        <f t="shared" si="12"/>
        <v>#DIV/0!</v>
      </c>
      <c r="AC236" s="51" t="e">
        <f t="shared" si="13"/>
        <v>#DIV/0!</v>
      </c>
      <c r="AD236" s="19"/>
      <c r="AE236" s="19"/>
      <c r="AF236" s="285" t="s">
        <v>128</v>
      </c>
      <c r="AG236" s="240" t="e" cm="1">
        <f t="array" ref="AG236">bdRateExtend($G234:$G237,H234:H237,$R234:$R237,S234:S237)</f>
        <v>#VALUE!</v>
      </c>
      <c r="AH236" s="242"/>
      <c r="AI236" s="242"/>
      <c r="AJ236" s="245"/>
      <c r="AK236" s="240" t="e" cm="1">
        <f t="array" ref="AK236">bdRateExtend($G234:$G237,K234:K237,$R234:$R237,V234:V237)</f>
        <v>#VALUE!</v>
      </c>
      <c r="AL236" s="249"/>
      <c r="AM236" s="240" t="e" cm="1">
        <f t="array" ref="AM236">bdRateExtend($G234:$G237,L234:L237,$R234:$R237,W234:W237)</f>
        <v>#VALUE!</v>
      </c>
      <c r="AN236" s="249"/>
      <c r="AO236" s="252" t="e" cm="1">
        <f t="array" ref="AO236">bdRateExtend($G234:$G237,M234:M237,$R234:$R237,X234:X237)</f>
        <v>#VALUE!</v>
      </c>
      <c r="AP236" s="249"/>
    </row>
    <row r="237" spans="1:42" ht="17.100000000000001" customHeight="1" outlineLevel="4" thickBot="1" x14ac:dyDescent="0.3">
      <c r="A237" s="222"/>
      <c r="B237" s="220"/>
      <c r="C237" s="230"/>
      <c r="D237" s="233"/>
      <c r="E237" s="236"/>
      <c r="F237" s="9">
        <v>63</v>
      </c>
      <c r="G237" s="36"/>
      <c r="H237" s="37"/>
      <c r="I237" s="37"/>
      <c r="J237" s="37"/>
      <c r="K237" s="37"/>
      <c r="L237" s="37"/>
      <c r="M237" s="37"/>
      <c r="N237" s="37"/>
      <c r="O237" s="37"/>
      <c r="P237" s="38"/>
      <c r="Q237" s="18"/>
      <c r="R237" s="36"/>
      <c r="S237" s="37"/>
      <c r="T237" s="37"/>
      <c r="U237" s="37"/>
      <c r="V237" s="37"/>
      <c r="W237" s="37"/>
      <c r="X237" s="37"/>
      <c r="Y237" s="37"/>
      <c r="Z237" s="37"/>
      <c r="AA237" s="38"/>
      <c r="AB237" s="52" t="e">
        <f t="shared" si="12"/>
        <v>#DIV/0!</v>
      </c>
      <c r="AC237" s="53" t="e">
        <f t="shared" si="13"/>
        <v>#DIV/0!</v>
      </c>
      <c r="AD237" s="19"/>
      <c r="AE237" s="19"/>
      <c r="AF237" s="286"/>
      <c r="AG237" s="247"/>
      <c r="AH237" s="243"/>
      <c r="AI237" s="243"/>
      <c r="AJ237" s="246"/>
      <c r="AK237" s="247"/>
      <c r="AL237" s="250"/>
      <c r="AM237" s="247"/>
      <c r="AN237" s="250"/>
      <c r="AO237" s="253"/>
      <c r="AP237" s="250"/>
    </row>
    <row r="238" spans="1:42" ht="17.100000000000001" customHeight="1" outlineLevel="4" x14ac:dyDescent="0.25">
      <c r="A238" s="222"/>
      <c r="B238" s="218" t="s">
        <v>25</v>
      </c>
      <c r="C238" s="228" t="s">
        <v>68</v>
      </c>
      <c r="D238" s="231">
        <v>59.94</v>
      </c>
      <c r="E238" s="234"/>
      <c r="F238" s="7">
        <v>23</v>
      </c>
      <c r="G238" s="31"/>
      <c r="H238" s="32"/>
      <c r="I238" s="32"/>
      <c r="J238" s="32"/>
      <c r="K238" s="32"/>
      <c r="L238" s="32"/>
      <c r="M238" s="32"/>
      <c r="N238" s="32"/>
      <c r="O238" s="32"/>
      <c r="P238" s="33"/>
      <c r="Q238" s="18"/>
      <c r="R238" s="31"/>
      <c r="S238" s="32"/>
      <c r="T238" s="32"/>
      <c r="U238" s="32"/>
      <c r="V238" s="32"/>
      <c r="W238" s="32"/>
      <c r="X238" s="32"/>
      <c r="Y238" s="32"/>
      <c r="Z238" s="32"/>
      <c r="AA238" s="33"/>
      <c r="AB238" s="48" t="e">
        <f t="shared" si="12"/>
        <v>#DIV/0!</v>
      </c>
      <c r="AC238" s="49" t="e">
        <f t="shared" si="13"/>
        <v>#DIV/0!</v>
      </c>
      <c r="AD238" s="19"/>
      <c r="AE238" s="19"/>
      <c r="AF238" s="284" t="s">
        <v>126</v>
      </c>
      <c r="AG238" s="239" t="e" cm="1">
        <f t="array" ref="AG238">bdRateExtend($G238:$G241,H238:H241,$R238:$R241,S238:S241)</f>
        <v>#VALUE!</v>
      </c>
      <c r="AH238" s="241" t="e" cm="1">
        <f t="array" ref="AH238">bdRateExtend($G238:$G243,H238:H243,$R238:$R243,S238:S243)</f>
        <v>#VALUE!</v>
      </c>
      <c r="AI238" s="241" t="e" cm="1">
        <f t="array" ref="AI238">bdRateExtend($G238:$G243,I238:I243,$R238:$R243,T238:T243)</f>
        <v>#VALUE!</v>
      </c>
      <c r="AJ238" s="244" t="e" cm="1">
        <f t="array" ref="AJ238">bdRateExtend($G238:$G243,J238:J243,$R238:$R243,U238:U243)</f>
        <v>#VALUE!</v>
      </c>
      <c r="AK238" s="239" t="e" cm="1">
        <f t="array" ref="AK238">bdRateExtend($G238:$G241,K238:K241,$R238:$R241,V238:V241)</f>
        <v>#VALUE!</v>
      </c>
      <c r="AL238" s="248" t="e" cm="1">
        <f t="array" ref="AL238">bdRateExtend($G238:$G243,K238:K243,$R238:$R243,V238:V243)</f>
        <v>#VALUE!</v>
      </c>
      <c r="AM238" s="239" t="e" cm="1">
        <f t="array" ref="AM238">bdRateExtend($G238:$G241,L238:L241,$R238:$R241,W238:W241)</f>
        <v>#VALUE!</v>
      </c>
      <c r="AN238" s="248" t="e" cm="1">
        <f t="array" ref="AN238">bdRateExtend($G238:$G243,L238:L243,$R238:$R243,W238:W243)</f>
        <v>#VALUE!</v>
      </c>
      <c r="AO238" s="254" t="e" cm="1">
        <f t="array" ref="AO238">bdRateExtend($G238:$G241,M238:M241,$R238:$R241,X238:X241)</f>
        <v>#VALUE!</v>
      </c>
      <c r="AP238" s="248" t="e" cm="1">
        <f t="array" ref="AP238">bdRateExtend($G238:$G243,M238:M243,$R238:$R243,X238:X243)</f>
        <v>#VALUE!</v>
      </c>
    </row>
    <row r="239" spans="1:42" ht="17.100000000000001" customHeight="1" outlineLevel="4" x14ac:dyDescent="0.25">
      <c r="A239" s="222"/>
      <c r="B239" s="219"/>
      <c r="C239" s="229"/>
      <c r="D239" s="232"/>
      <c r="E239" s="235"/>
      <c r="F239" s="16">
        <v>31</v>
      </c>
      <c r="G239" s="34"/>
      <c r="H239" s="39"/>
      <c r="I239" s="39"/>
      <c r="J239" s="39"/>
      <c r="K239" s="39"/>
      <c r="L239" s="39"/>
      <c r="M239" s="39"/>
      <c r="N239" s="39"/>
      <c r="O239" s="39"/>
      <c r="P239" s="35"/>
      <c r="Q239" s="18"/>
      <c r="R239" s="34"/>
      <c r="S239" s="39"/>
      <c r="T239" s="39"/>
      <c r="U239" s="39"/>
      <c r="V239" s="39"/>
      <c r="W239" s="39"/>
      <c r="X239" s="39"/>
      <c r="Y239" s="39"/>
      <c r="Z239" s="39"/>
      <c r="AA239" s="35"/>
      <c r="AB239" s="50" t="e">
        <f t="shared" si="12"/>
        <v>#DIV/0!</v>
      </c>
      <c r="AC239" s="51" t="e">
        <f t="shared" si="13"/>
        <v>#DIV/0!</v>
      </c>
      <c r="AD239" s="19"/>
      <c r="AE239" s="19"/>
      <c r="AF239" s="285"/>
      <c r="AG239" s="240"/>
      <c r="AH239" s="242"/>
      <c r="AI239" s="242"/>
      <c r="AJ239" s="245"/>
      <c r="AK239" s="240"/>
      <c r="AL239" s="249"/>
      <c r="AM239" s="240"/>
      <c r="AN239" s="249"/>
      <c r="AO239" s="252"/>
      <c r="AP239" s="249"/>
    </row>
    <row r="240" spans="1:42" ht="17.100000000000001" customHeight="1" outlineLevel="4" x14ac:dyDescent="0.25">
      <c r="A240" s="222"/>
      <c r="B240" s="219"/>
      <c r="C240" s="229"/>
      <c r="D240" s="232"/>
      <c r="E240" s="235"/>
      <c r="F240" s="16">
        <v>39</v>
      </c>
      <c r="G240" s="34"/>
      <c r="H240" s="39"/>
      <c r="I240" s="39"/>
      <c r="J240" s="39"/>
      <c r="K240" s="39"/>
      <c r="L240" s="39"/>
      <c r="M240" s="39"/>
      <c r="N240" s="39"/>
      <c r="O240" s="39"/>
      <c r="P240" s="35"/>
      <c r="Q240" s="18"/>
      <c r="R240" s="34"/>
      <c r="S240" s="39"/>
      <c r="T240" s="39"/>
      <c r="U240" s="39"/>
      <c r="V240" s="39"/>
      <c r="W240" s="39"/>
      <c r="X240" s="39"/>
      <c r="Y240" s="39"/>
      <c r="Z240" s="39"/>
      <c r="AA240" s="35"/>
      <c r="AB240" s="50" t="e">
        <f t="shared" si="12"/>
        <v>#DIV/0!</v>
      </c>
      <c r="AC240" s="51" t="e">
        <f t="shared" si="13"/>
        <v>#DIV/0!</v>
      </c>
      <c r="AD240" s="19"/>
      <c r="AE240" s="19"/>
      <c r="AF240" s="285" t="s">
        <v>127</v>
      </c>
      <c r="AG240" s="240" t="e" cm="1">
        <f t="array" ref="AG240">bdRateExtend($G239:$G242,H239:H242,$R239:$R242,S239:S242)</f>
        <v>#VALUE!</v>
      </c>
      <c r="AH240" s="242"/>
      <c r="AI240" s="242"/>
      <c r="AJ240" s="245"/>
      <c r="AK240" s="240" t="e" cm="1">
        <f t="array" ref="AK240">bdRateExtend($G239:$G242,K239:K242,$R239:$R242,V239:V242)</f>
        <v>#VALUE!</v>
      </c>
      <c r="AL240" s="249"/>
      <c r="AM240" s="240" t="e" cm="1">
        <f t="array" ref="AM240">bdRateExtend($G239:$G242,L239:L242,$R239:$R242,W239:W242)</f>
        <v>#VALUE!</v>
      </c>
      <c r="AN240" s="249"/>
      <c r="AO240" s="252" t="e" cm="1">
        <f t="array" ref="AO240">bdRateExtend($G239:$G242,M239:M242,$R239:$R242,X239:X242)</f>
        <v>#VALUE!</v>
      </c>
      <c r="AP240" s="249"/>
    </row>
    <row r="241" spans="1:42" ht="17.100000000000001" customHeight="1" outlineLevel="4" x14ac:dyDescent="0.25">
      <c r="A241" s="222"/>
      <c r="B241" s="219"/>
      <c r="C241" s="229"/>
      <c r="D241" s="232"/>
      <c r="E241" s="235"/>
      <c r="F241" s="16">
        <v>47</v>
      </c>
      <c r="G241" s="34"/>
      <c r="H241" s="39"/>
      <c r="I241" s="39"/>
      <c r="J241" s="39"/>
      <c r="K241" s="39"/>
      <c r="L241" s="39"/>
      <c r="M241" s="39"/>
      <c r="N241" s="39"/>
      <c r="O241" s="39"/>
      <c r="P241" s="35"/>
      <c r="Q241" s="18"/>
      <c r="R241" s="34"/>
      <c r="S241" s="39"/>
      <c r="T241" s="39"/>
      <c r="U241" s="39"/>
      <c r="V241" s="39"/>
      <c r="W241" s="39"/>
      <c r="X241" s="39"/>
      <c r="Y241" s="39"/>
      <c r="Z241" s="39"/>
      <c r="AA241" s="35"/>
      <c r="AB241" s="50" t="e">
        <f t="shared" si="12"/>
        <v>#DIV/0!</v>
      </c>
      <c r="AC241" s="51" t="e">
        <f t="shared" si="13"/>
        <v>#DIV/0!</v>
      </c>
      <c r="AD241" s="19"/>
      <c r="AE241" s="19"/>
      <c r="AF241" s="285"/>
      <c r="AG241" s="240"/>
      <c r="AH241" s="242"/>
      <c r="AI241" s="242"/>
      <c r="AJ241" s="245"/>
      <c r="AK241" s="240"/>
      <c r="AL241" s="249"/>
      <c r="AM241" s="240"/>
      <c r="AN241" s="249"/>
      <c r="AO241" s="252"/>
      <c r="AP241" s="249"/>
    </row>
    <row r="242" spans="1:42" ht="17.100000000000001" customHeight="1" outlineLevel="4" x14ac:dyDescent="0.25">
      <c r="A242" s="222"/>
      <c r="B242" s="219"/>
      <c r="C242" s="229"/>
      <c r="D242" s="232"/>
      <c r="E242" s="235"/>
      <c r="F242" s="16">
        <v>55</v>
      </c>
      <c r="G242" s="34"/>
      <c r="H242" s="39"/>
      <c r="I242" s="39"/>
      <c r="J242" s="39"/>
      <c r="K242" s="39"/>
      <c r="L242" s="39"/>
      <c r="M242" s="39"/>
      <c r="N242" s="39"/>
      <c r="O242" s="39"/>
      <c r="P242" s="35"/>
      <c r="Q242" s="18"/>
      <c r="R242" s="34"/>
      <c r="S242" s="39"/>
      <c r="T242" s="39"/>
      <c r="U242" s="39"/>
      <c r="V242" s="39"/>
      <c r="W242" s="39"/>
      <c r="X242" s="39"/>
      <c r="Y242" s="39"/>
      <c r="Z242" s="39"/>
      <c r="AA242" s="35"/>
      <c r="AB242" s="50" t="e">
        <f t="shared" si="12"/>
        <v>#DIV/0!</v>
      </c>
      <c r="AC242" s="51" t="e">
        <f t="shared" si="13"/>
        <v>#DIV/0!</v>
      </c>
      <c r="AD242" s="19"/>
      <c r="AE242" s="19"/>
      <c r="AF242" s="285" t="s">
        <v>128</v>
      </c>
      <c r="AG242" s="240" t="e" cm="1">
        <f t="array" ref="AG242">bdRateExtend($G240:$G243,H240:H243,$R240:$R243,S240:S243)</f>
        <v>#VALUE!</v>
      </c>
      <c r="AH242" s="242"/>
      <c r="AI242" s="242"/>
      <c r="AJ242" s="245"/>
      <c r="AK242" s="240" t="e" cm="1">
        <f t="array" ref="AK242">bdRateExtend($G240:$G243,K240:K243,$R240:$R243,V240:V243)</f>
        <v>#VALUE!</v>
      </c>
      <c r="AL242" s="249"/>
      <c r="AM242" s="240" t="e" cm="1">
        <f t="array" ref="AM242">bdRateExtend($G240:$G243,L240:L243,$R240:$R243,W240:W243)</f>
        <v>#VALUE!</v>
      </c>
      <c r="AN242" s="249"/>
      <c r="AO242" s="252" t="e" cm="1">
        <f t="array" ref="AO242">bdRateExtend($G240:$G243,M240:M243,$R240:$R243,X240:X243)</f>
        <v>#VALUE!</v>
      </c>
      <c r="AP242" s="249"/>
    </row>
    <row r="243" spans="1:42" ht="17.100000000000001" customHeight="1" outlineLevel="4" thickBot="1" x14ac:dyDescent="0.3">
      <c r="A243" s="222"/>
      <c r="B243" s="220"/>
      <c r="C243" s="230"/>
      <c r="D243" s="233"/>
      <c r="E243" s="236"/>
      <c r="F243" s="9">
        <v>63</v>
      </c>
      <c r="G243" s="36"/>
      <c r="H243" s="37"/>
      <c r="I243" s="37"/>
      <c r="J243" s="37"/>
      <c r="K243" s="37"/>
      <c r="L243" s="37"/>
      <c r="M243" s="37"/>
      <c r="N243" s="37"/>
      <c r="O243" s="37"/>
      <c r="P243" s="38"/>
      <c r="Q243" s="18"/>
      <c r="R243" s="36"/>
      <c r="S243" s="37"/>
      <c r="T243" s="37"/>
      <c r="U243" s="37"/>
      <c r="V243" s="37"/>
      <c r="W243" s="37"/>
      <c r="X243" s="37"/>
      <c r="Y243" s="37"/>
      <c r="Z243" s="37"/>
      <c r="AA243" s="38"/>
      <c r="AB243" s="52" t="e">
        <f t="shared" si="12"/>
        <v>#DIV/0!</v>
      </c>
      <c r="AC243" s="53" t="e">
        <f t="shared" si="13"/>
        <v>#DIV/0!</v>
      </c>
      <c r="AD243" s="19"/>
      <c r="AE243" s="19"/>
      <c r="AF243" s="286"/>
      <c r="AG243" s="247"/>
      <c r="AH243" s="243"/>
      <c r="AI243" s="243"/>
      <c r="AJ243" s="246"/>
      <c r="AK243" s="247"/>
      <c r="AL243" s="250"/>
      <c r="AM243" s="247"/>
      <c r="AN243" s="250"/>
      <c r="AO243" s="253"/>
      <c r="AP243" s="250"/>
    </row>
    <row r="244" spans="1:42" ht="17.100000000000001" customHeight="1" outlineLevel="4" x14ac:dyDescent="0.25">
      <c r="A244" s="222"/>
      <c r="B244" s="218" t="s">
        <v>25</v>
      </c>
      <c r="C244" s="228" t="s">
        <v>69</v>
      </c>
      <c r="D244" s="231">
        <v>29.97</v>
      </c>
      <c r="E244" s="234" t="s">
        <v>23</v>
      </c>
      <c r="F244" s="7">
        <v>23</v>
      </c>
      <c r="G244" s="31"/>
      <c r="H244" s="32"/>
      <c r="I244" s="32"/>
      <c r="J244" s="32"/>
      <c r="K244" s="32"/>
      <c r="L244" s="32"/>
      <c r="M244" s="32"/>
      <c r="N244" s="32"/>
      <c r="O244" s="32"/>
      <c r="P244" s="33"/>
      <c r="Q244" s="18"/>
      <c r="R244" s="31"/>
      <c r="S244" s="32"/>
      <c r="T244" s="32"/>
      <c r="U244" s="32"/>
      <c r="V244" s="32"/>
      <c r="W244" s="32"/>
      <c r="X244" s="32"/>
      <c r="Y244" s="32"/>
      <c r="Z244" s="32"/>
      <c r="AA244" s="33"/>
      <c r="AB244" s="48" t="e">
        <f t="shared" si="12"/>
        <v>#DIV/0!</v>
      </c>
      <c r="AC244" s="49" t="e">
        <f t="shared" si="13"/>
        <v>#DIV/0!</v>
      </c>
      <c r="AD244" s="19"/>
      <c r="AE244" s="19"/>
      <c r="AF244" s="284" t="s">
        <v>126</v>
      </c>
      <c r="AG244" s="239" t="e" cm="1">
        <f t="array" ref="AG244">bdRateExtend($G244:$G247,H244:H247,$R244:$R247,S244:S247)</f>
        <v>#VALUE!</v>
      </c>
      <c r="AH244" s="241" t="e" cm="1">
        <f t="array" ref="AH244">bdRateExtend($G244:$G249,H244:H249,$R244:$R249,S244:S249)</f>
        <v>#VALUE!</v>
      </c>
      <c r="AI244" s="241" t="e" cm="1">
        <f t="array" ref="AI244">bdRateExtend($G244:$G249,I244:I249,$R244:$R249,T244:T249)</f>
        <v>#VALUE!</v>
      </c>
      <c r="AJ244" s="244" t="e" cm="1">
        <f t="array" ref="AJ244">bdRateExtend($G244:$G249,J244:J249,$R244:$R249,U244:U249)</f>
        <v>#VALUE!</v>
      </c>
      <c r="AK244" s="239" t="e" cm="1">
        <f t="array" ref="AK244">bdRateExtend($G244:$G247,K244:K247,$R244:$R247,V244:V247)</f>
        <v>#VALUE!</v>
      </c>
      <c r="AL244" s="248" t="e" cm="1">
        <f t="array" ref="AL244">bdRateExtend($G244:$G249,K244:K249,$R244:$R249,V244:V249)</f>
        <v>#VALUE!</v>
      </c>
      <c r="AM244" s="239" t="e" cm="1">
        <f t="array" ref="AM244">bdRateExtend($G244:$G247,L244:L247,$R244:$R247,W244:W247)</f>
        <v>#VALUE!</v>
      </c>
      <c r="AN244" s="248" t="e" cm="1">
        <f t="array" ref="AN244">bdRateExtend($G244:$G249,L244:L249,$R244:$R249,W244:W249)</f>
        <v>#VALUE!</v>
      </c>
      <c r="AO244" s="254" t="e" cm="1">
        <f t="array" ref="AO244">bdRateExtend($G244:$G247,M244:M247,$R244:$R247,X244:X247)</f>
        <v>#VALUE!</v>
      </c>
      <c r="AP244" s="248" t="e" cm="1">
        <f t="array" ref="AP244">bdRateExtend($G244:$G249,M244:M249,$R244:$R249,X244:X249)</f>
        <v>#VALUE!</v>
      </c>
    </row>
    <row r="245" spans="1:42" ht="17.100000000000001" customHeight="1" outlineLevel="4" x14ac:dyDescent="0.25">
      <c r="A245" s="222"/>
      <c r="B245" s="219"/>
      <c r="C245" s="229"/>
      <c r="D245" s="232"/>
      <c r="E245" s="235"/>
      <c r="F245" s="16">
        <v>31</v>
      </c>
      <c r="G245" s="34"/>
      <c r="H245" s="39"/>
      <c r="I245" s="39"/>
      <c r="J245" s="39"/>
      <c r="K245" s="39"/>
      <c r="L245" s="39"/>
      <c r="M245" s="39"/>
      <c r="N245" s="39"/>
      <c r="O245" s="39"/>
      <c r="P245" s="35"/>
      <c r="Q245" s="18"/>
      <c r="R245" s="34"/>
      <c r="S245" s="39"/>
      <c r="T245" s="39"/>
      <c r="U245" s="39"/>
      <c r="V245" s="39"/>
      <c r="W245" s="39"/>
      <c r="X245" s="39"/>
      <c r="Y245" s="39"/>
      <c r="Z245" s="39"/>
      <c r="AA245" s="35"/>
      <c r="AB245" s="50" t="e">
        <f t="shared" si="12"/>
        <v>#DIV/0!</v>
      </c>
      <c r="AC245" s="51" t="e">
        <f t="shared" si="13"/>
        <v>#DIV/0!</v>
      </c>
      <c r="AD245" s="19"/>
      <c r="AE245" s="19"/>
      <c r="AF245" s="285"/>
      <c r="AG245" s="240"/>
      <c r="AH245" s="242"/>
      <c r="AI245" s="242"/>
      <c r="AJ245" s="245"/>
      <c r="AK245" s="240"/>
      <c r="AL245" s="249"/>
      <c r="AM245" s="240"/>
      <c r="AN245" s="249"/>
      <c r="AO245" s="252"/>
      <c r="AP245" s="249"/>
    </row>
    <row r="246" spans="1:42" ht="17.100000000000001" customHeight="1" outlineLevel="4" x14ac:dyDescent="0.25">
      <c r="A246" s="222"/>
      <c r="B246" s="219"/>
      <c r="C246" s="229"/>
      <c r="D246" s="232"/>
      <c r="E246" s="235"/>
      <c r="F246" s="16">
        <v>39</v>
      </c>
      <c r="G246" s="34"/>
      <c r="H246" s="39"/>
      <c r="I246" s="39"/>
      <c r="J246" s="39"/>
      <c r="K246" s="39"/>
      <c r="L246" s="39"/>
      <c r="M246" s="39"/>
      <c r="N246" s="39"/>
      <c r="O246" s="39"/>
      <c r="P246" s="35"/>
      <c r="Q246" s="18"/>
      <c r="R246" s="34"/>
      <c r="S246" s="39"/>
      <c r="T246" s="39"/>
      <c r="U246" s="39"/>
      <c r="V246" s="39"/>
      <c r="W246" s="39"/>
      <c r="X246" s="39"/>
      <c r="Y246" s="39"/>
      <c r="Z246" s="39"/>
      <c r="AA246" s="35"/>
      <c r="AB246" s="50" t="e">
        <f t="shared" si="12"/>
        <v>#DIV/0!</v>
      </c>
      <c r="AC246" s="51" t="e">
        <f t="shared" si="13"/>
        <v>#DIV/0!</v>
      </c>
      <c r="AD246" s="19"/>
      <c r="AE246" s="19"/>
      <c r="AF246" s="285" t="s">
        <v>127</v>
      </c>
      <c r="AG246" s="240" t="e" cm="1">
        <f t="array" ref="AG246">bdRateExtend($G245:$G248,H245:H248,$R245:$R248,S245:S248)</f>
        <v>#VALUE!</v>
      </c>
      <c r="AH246" s="242"/>
      <c r="AI246" s="242"/>
      <c r="AJ246" s="245"/>
      <c r="AK246" s="240" t="e" cm="1">
        <f t="array" ref="AK246">bdRateExtend($G245:$G248,K245:K248,$R245:$R248,V245:V248)</f>
        <v>#VALUE!</v>
      </c>
      <c r="AL246" s="249"/>
      <c r="AM246" s="240" t="e" cm="1">
        <f t="array" ref="AM246">bdRateExtend($G245:$G248,L245:L248,$R245:$R248,W245:W248)</f>
        <v>#VALUE!</v>
      </c>
      <c r="AN246" s="249"/>
      <c r="AO246" s="252" t="e" cm="1">
        <f t="array" ref="AO246">bdRateExtend($G245:$G248,M245:M248,$R245:$R248,X245:X248)</f>
        <v>#VALUE!</v>
      </c>
      <c r="AP246" s="249"/>
    </row>
    <row r="247" spans="1:42" ht="17.100000000000001" customHeight="1" outlineLevel="4" x14ac:dyDescent="0.25">
      <c r="A247" s="222"/>
      <c r="B247" s="219"/>
      <c r="C247" s="229"/>
      <c r="D247" s="232"/>
      <c r="E247" s="235"/>
      <c r="F247" s="16">
        <v>47</v>
      </c>
      <c r="G247" s="34"/>
      <c r="H247" s="39"/>
      <c r="I247" s="39"/>
      <c r="J247" s="39"/>
      <c r="K247" s="39"/>
      <c r="L247" s="39"/>
      <c r="M247" s="39"/>
      <c r="N247" s="39"/>
      <c r="O247" s="39"/>
      <c r="P247" s="35"/>
      <c r="Q247" s="18"/>
      <c r="R247" s="34"/>
      <c r="S247" s="39"/>
      <c r="T247" s="39"/>
      <c r="U247" s="39"/>
      <c r="V247" s="39"/>
      <c r="W247" s="39"/>
      <c r="X247" s="39"/>
      <c r="Y247" s="39"/>
      <c r="Z247" s="39"/>
      <c r="AA247" s="35"/>
      <c r="AB247" s="50" t="e">
        <f t="shared" si="12"/>
        <v>#DIV/0!</v>
      </c>
      <c r="AC247" s="51" t="e">
        <f t="shared" si="13"/>
        <v>#DIV/0!</v>
      </c>
      <c r="AD247" s="19"/>
      <c r="AE247" s="19"/>
      <c r="AF247" s="285"/>
      <c r="AG247" s="240"/>
      <c r="AH247" s="242"/>
      <c r="AI247" s="242"/>
      <c r="AJ247" s="245"/>
      <c r="AK247" s="240"/>
      <c r="AL247" s="249"/>
      <c r="AM247" s="240"/>
      <c r="AN247" s="249"/>
      <c r="AO247" s="252"/>
      <c r="AP247" s="249"/>
    </row>
    <row r="248" spans="1:42" ht="17.100000000000001" customHeight="1" outlineLevel="4" x14ac:dyDescent="0.25">
      <c r="A248" s="222"/>
      <c r="B248" s="219"/>
      <c r="C248" s="229"/>
      <c r="D248" s="232"/>
      <c r="E248" s="235"/>
      <c r="F248" s="16">
        <v>55</v>
      </c>
      <c r="G248" s="34"/>
      <c r="H248" s="39"/>
      <c r="I248" s="39"/>
      <c r="J248" s="39"/>
      <c r="K248" s="39"/>
      <c r="L248" s="39"/>
      <c r="M248" s="39"/>
      <c r="N248" s="39"/>
      <c r="O248" s="39"/>
      <c r="P248" s="35"/>
      <c r="Q248" s="18"/>
      <c r="R248" s="34"/>
      <c r="S248" s="39"/>
      <c r="T248" s="39"/>
      <c r="U248" s="39"/>
      <c r="V248" s="39"/>
      <c r="W248" s="39"/>
      <c r="X248" s="39"/>
      <c r="Y248" s="39"/>
      <c r="Z248" s="39"/>
      <c r="AA248" s="35"/>
      <c r="AB248" s="50" t="e">
        <f t="shared" si="12"/>
        <v>#DIV/0!</v>
      </c>
      <c r="AC248" s="51" t="e">
        <f t="shared" si="13"/>
        <v>#DIV/0!</v>
      </c>
      <c r="AD248" s="19"/>
      <c r="AE248" s="19"/>
      <c r="AF248" s="285" t="s">
        <v>128</v>
      </c>
      <c r="AG248" s="240" t="e" cm="1">
        <f t="array" ref="AG248">bdRateExtend($G246:$G249,H246:H249,$R246:$R249,S246:S249)</f>
        <v>#VALUE!</v>
      </c>
      <c r="AH248" s="242"/>
      <c r="AI248" s="242"/>
      <c r="AJ248" s="245"/>
      <c r="AK248" s="240" t="e" cm="1">
        <f t="array" ref="AK248">bdRateExtend($G246:$G249,K246:K249,$R246:$R249,V246:V249)</f>
        <v>#VALUE!</v>
      </c>
      <c r="AL248" s="249"/>
      <c r="AM248" s="240" t="e" cm="1">
        <f t="array" ref="AM248">bdRateExtend($G246:$G249,L246:L249,$R246:$R249,W246:W249)</f>
        <v>#VALUE!</v>
      </c>
      <c r="AN248" s="249"/>
      <c r="AO248" s="252" t="e" cm="1">
        <f t="array" ref="AO248">bdRateExtend($G246:$G249,M246:M249,$R246:$R249,X246:X249)</f>
        <v>#VALUE!</v>
      </c>
      <c r="AP248" s="249"/>
    </row>
    <row r="249" spans="1:42" ht="17.100000000000001" customHeight="1" outlineLevel="4" thickBot="1" x14ac:dyDescent="0.3">
      <c r="A249" s="223"/>
      <c r="B249" s="220"/>
      <c r="C249" s="230"/>
      <c r="D249" s="233"/>
      <c r="E249" s="236"/>
      <c r="F249" s="9">
        <v>63</v>
      </c>
      <c r="G249" s="36"/>
      <c r="H249" s="37"/>
      <c r="I249" s="37"/>
      <c r="J249" s="37"/>
      <c r="K249" s="37"/>
      <c r="L249" s="37"/>
      <c r="M249" s="37"/>
      <c r="N249" s="37"/>
      <c r="O249" s="37"/>
      <c r="P249" s="38"/>
      <c r="Q249" s="18"/>
      <c r="R249" s="36"/>
      <c r="S249" s="37"/>
      <c r="T249" s="37"/>
      <c r="U249" s="37"/>
      <c r="V249" s="37"/>
      <c r="W249" s="37"/>
      <c r="X249" s="37"/>
      <c r="Y249" s="37"/>
      <c r="Z249" s="37"/>
      <c r="AA249" s="38"/>
      <c r="AB249" s="52" t="e">
        <f t="shared" si="12"/>
        <v>#DIV/0!</v>
      </c>
      <c r="AC249" s="53" t="e">
        <f t="shared" si="13"/>
        <v>#DIV/0!</v>
      </c>
      <c r="AD249" s="19"/>
      <c r="AE249" s="19"/>
      <c r="AF249" s="286"/>
      <c r="AG249" s="247"/>
      <c r="AH249" s="243"/>
      <c r="AI249" s="243"/>
      <c r="AJ249" s="246"/>
      <c r="AK249" s="247"/>
      <c r="AL249" s="250"/>
      <c r="AM249" s="247"/>
      <c r="AN249" s="250"/>
      <c r="AO249" s="253"/>
      <c r="AP249" s="250"/>
    </row>
    <row r="250" spans="1:42" ht="17.100000000000001" customHeight="1" outlineLevel="4" x14ac:dyDescent="0.25">
      <c r="A250" s="221" t="s">
        <v>109</v>
      </c>
      <c r="B250" s="218" t="s">
        <v>4</v>
      </c>
      <c r="C250" s="228" t="s">
        <v>70</v>
      </c>
      <c r="D250" s="231">
        <v>60</v>
      </c>
      <c r="E250" s="234" t="s">
        <v>23</v>
      </c>
      <c r="F250" s="7">
        <v>23</v>
      </c>
      <c r="G250" s="31">
        <v>9269.5311000000002</v>
      </c>
      <c r="H250" s="32">
        <v>42.308999999999997</v>
      </c>
      <c r="I250" s="32">
        <v>44.381300000000003</v>
      </c>
      <c r="J250" s="32">
        <v>45.340899999999998</v>
      </c>
      <c r="K250" s="32">
        <v>18.618600000000001</v>
      </c>
      <c r="L250" s="32">
        <v>26.8626</v>
      </c>
      <c r="M250" s="32">
        <v>96.225899999999996</v>
      </c>
      <c r="N250" s="32"/>
      <c r="O250" s="32"/>
      <c r="P250" s="33"/>
      <c r="Q250" s="18"/>
      <c r="R250" s="31">
        <v>8950.6486000000004</v>
      </c>
      <c r="S250" s="32">
        <v>42.584200000000003</v>
      </c>
      <c r="T250" s="32">
        <v>44.657200000000003</v>
      </c>
      <c r="U250" s="32">
        <v>45.654800000000002</v>
      </c>
      <c r="V250" s="32">
        <v>18.8583</v>
      </c>
      <c r="W250" s="32">
        <v>27.1677</v>
      </c>
      <c r="X250" s="32">
        <v>96.348699999999994</v>
      </c>
      <c r="Y250" s="32"/>
      <c r="Z250" s="32"/>
      <c r="AA250" s="33"/>
      <c r="AB250" s="48" t="e">
        <f t="shared" si="12"/>
        <v>#DIV/0!</v>
      </c>
      <c r="AC250" s="49" t="e">
        <f t="shared" si="13"/>
        <v>#DIV/0!</v>
      </c>
      <c r="AD250" s="19"/>
      <c r="AE250" s="19"/>
      <c r="AF250" s="284" t="s">
        <v>126</v>
      </c>
      <c r="AG250" s="239" cm="1">
        <f t="array" ref="AG250">bdRateExtend($G250:$G253,H250:H253,$R250:$R253,S250:S253)</f>
        <v>-8.0526742535477758E-2</v>
      </c>
      <c r="AH250" s="241" cm="1">
        <f t="array" ref="AH250">bdRateExtend($G250:$G255,H250:H255,$R250:$R255,S250:S255)</f>
        <v>-9.7608489394063858E-2</v>
      </c>
      <c r="AI250" s="241" cm="1">
        <f t="array" ref="AI250">bdRateExtend($G250:$G255,I250:I255,$R250:$R255,T250:T255)</f>
        <v>-3.08547948107597E-2</v>
      </c>
      <c r="AJ250" s="244" cm="1">
        <f t="array" ref="AJ250">bdRateExtend($G250:$G255,J250:J255,$R250:$R255,U250:U255)</f>
        <v>-1.9824482108532715E-2</v>
      </c>
      <c r="AK250" s="239" cm="1">
        <f t="array" ref="AK250">bdRateExtend($G250:$G253,K250:K253,$R250:$R253,V250:V253)</f>
        <v>-8.6890412976565634E-2</v>
      </c>
      <c r="AL250" s="248" cm="1">
        <f t="array" ref="AL250">bdRateExtend($G250:$G255,K250:K255,$R250:$R255,V250:V255)</f>
        <v>-0.10573882734717366</v>
      </c>
      <c r="AM250" s="239" cm="1">
        <f t="array" ref="AM250">bdRateExtend($G250:$G253,L250:L253,$R250:$R253,W250:W253)</f>
        <v>-8.3273170562645604E-2</v>
      </c>
      <c r="AN250" s="248" cm="1">
        <f t="array" ref="AN250">bdRateExtend($G250:$G255,L250:L255,$R250:$R255,W250:W255)</f>
        <v>-9.7997435608529471E-2</v>
      </c>
      <c r="AO250" s="254" cm="1">
        <f t="array" ref="AO250">bdRateExtend($G250:$G253,M250:M253,$R250:$R253,X250:X253)</f>
        <v>-0.10587329434227877</v>
      </c>
      <c r="AP250" s="248" cm="1">
        <f t="array" ref="AP250">bdRateExtend($G250:$G255,M250:M255,$R250:$R255,X250:X255)</f>
        <v>-0.12304605200292607</v>
      </c>
    </row>
    <row r="251" spans="1:42" ht="17.100000000000001" customHeight="1" outlineLevel="4" x14ac:dyDescent="0.25">
      <c r="A251" s="222"/>
      <c r="B251" s="219"/>
      <c r="C251" s="229"/>
      <c r="D251" s="232"/>
      <c r="E251" s="235"/>
      <c r="F251" s="16">
        <v>31</v>
      </c>
      <c r="G251" s="34">
        <v>6670.3014999999996</v>
      </c>
      <c r="H251" s="39">
        <v>39.085900000000002</v>
      </c>
      <c r="I251" s="39">
        <v>42.368899999999996</v>
      </c>
      <c r="J251" s="39">
        <v>43.267400000000002</v>
      </c>
      <c r="K251" s="39">
        <v>16.319299999999998</v>
      </c>
      <c r="L251" s="39">
        <v>24.1937</v>
      </c>
      <c r="M251" s="39">
        <v>94.165999999999997</v>
      </c>
      <c r="N251" s="39"/>
      <c r="O251" s="39"/>
      <c r="P251" s="35"/>
      <c r="Q251" s="18"/>
      <c r="R251" s="34">
        <v>6430.6043</v>
      </c>
      <c r="S251" s="39">
        <v>39.430599999999998</v>
      </c>
      <c r="T251" s="39">
        <v>42.684399999999997</v>
      </c>
      <c r="U251" s="39">
        <v>43.593200000000003</v>
      </c>
      <c r="V251" s="39">
        <v>16.621500000000001</v>
      </c>
      <c r="W251" s="39">
        <v>24.5228</v>
      </c>
      <c r="X251" s="39">
        <v>94.615200000000002</v>
      </c>
      <c r="Y251" s="39"/>
      <c r="Z251" s="39"/>
      <c r="AA251" s="35"/>
      <c r="AB251" s="50" t="e">
        <f t="shared" si="12"/>
        <v>#DIV/0!</v>
      </c>
      <c r="AC251" s="51" t="e">
        <f t="shared" si="13"/>
        <v>#DIV/0!</v>
      </c>
      <c r="AD251" s="19"/>
      <c r="AE251" s="19"/>
      <c r="AF251" s="285"/>
      <c r="AG251" s="240"/>
      <c r="AH251" s="242"/>
      <c r="AI251" s="242"/>
      <c r="AJ251" s="245"/>
      <c r="AK251" s="240"/>
      <c r="AL251" s="249"/>
      <c r="AM251" s="240"/>
      <c r="AN251" s="249"/>
      <c r="AO251" s="252"/>
      <c r="AP251" s="249"/>
    </row>
    <row r="252" spans="1:42" ht="17.100000000000001" customHeight="1" outlineLevel="4" x14ac:dyDescent="0.25">
      <c r="A252" s="222"/>
      <c r="B252" s="219"/>
      <c r="C252" s="229"/>
      <c r="D252" s="232"/>
      <c r="E252" s="235"/>
      <c r="F252" s="16">
        <v>39</v>
      </c>
      <c r="G252" s="34">
        <v>4252.9883</v>
      </c>
      <c r="H252" s="39">
        <v>35.201900000000002</v>
      </c>
      <c r="I252" s="39">
        <v>40.073799999999999</v>
      </c>
      <c r="J252" s="39">
        <v>40.867699999999999</v>
      </c>
      <c r="K252" s="39">
        <v>13.3072</v>
      </c>
      <c r="L252" s="39">
        <v>20.639600000000002</v>
      </c>
      <c r="M252" s="39">
        <v>89.304900000000004</v>
      </c>
      <c r="N252" s="39"/>
      <c r="O252" s="39"/>
      <c r="P252" s="35"/>
      <c r="Q252" s="18"/>
      <c r="R252" s="34">
        <v>4117.2591000000002</v>
      </c>
      <c r="S252" s="39">
        <v>35.666600000000003</v>
      </c>
      <c r="T252" s="39">
        <v>40.4651</v>
      </c>
      <c r="U252" s="39">
        <v>41.166699999999999</v>
      </c>
      <c r="V252" s="39">
        <v>13.7113</v>
      </c>
      <c r="W252" s="39">
        <v>21.091799999999999</v>
      </c>
      <c r="X252" s="39">
        <v>90.386600000000001</v>
      </c>
      <c r="Y252" s="39"/>
      <c r="Z252" s="39"/>
      <c r="AA252" s="35"/>
      <c r="AB252" s="50" t="e">
        <f t="shared" si="12"/>
        <v>#DIV/0!</v>
      </c>
      <c r="AC252" s="51" t="e">
        <f t="shared" si="13"/>
        <v>#DIV/0!</v>
      </c>
      <c r="AD252" s="19"/>
      <c r="AE252" s="19"/>
      <c r="AF252" s="285" t="s">
        <v>127</v>
      </c>
      <c r="AG252" s="240" cm="1">
        <f t="array" ref="AG252">bdRateExtend($G251:$G254,H251:H254,$R251:$R254,S251:S254)</f>
        <v>-9.3791351757519403E-2</v>
      </c>
      <c r="AH252" s="242"/>
      <c r="AI252" s="242"/>
      <c r="AJ252" s="245"/>
      <c r="AK252" s="240" cm="1">
        <f t="array" ref="AK252">bdRateExtend($G251:$G254,K251:K254,$R251:$R254,V251:V254)</f>
        <v>-9.8889241505802028E-2</v>
      </c>
      <c r="AL252" s="249"/>
      <c r="AM252" s="240" cm="1">
        <f t="array" ref="AM252">bdRateExtend($G251:$G254,L251:L254,$R251:$R254,W251:W254)</f>
        <v>-9.3016279279496294E-2</v>
      </c>
      <c r="AN252" s="249"/>
      <c r="AO252" s="252" cm="1">
        <f t="array" ref="AO252">bdRateExtend($G251:$G254,M251:M254,$R251:$R254,X251:X254)</f>
        <v>-0.11380102202464715</v>
      </c>
      <c r="AP252" s="249"/>
    </row>
    <row r="253" spans="1:42" ht="17.100000000000001" customHeight="1" outlineLevel="4" x14ac:dyDescent="0.25">
      <c r="A253" s="222"/>
      <c r="B253" s="219"/>
      <c r="C253" s="229"/>
      <c r="D253" s="232"/>
      <c r="E253" s="235"/>
      <c r="F253" s="16">
        <v>47</v>
      </c>
      <c r="G253" s="34">
        <v>2423.2800000000002</v>
      </c>
      <c r="H253" s="39">
        <v>31.282</v>
      </c>
      <c r="I253" s="39">
        <v>37.618099999999998</v>
      </c>
      <c r="J253" s="39">
        <v>38.314500000000002</v>
      </c>
      <c r="K253" s="39">
        <v>10.234400000000001</v>
      </c>
      <c r="L253" s="39">
        <v>16.730599999999999</v>
      </c>
      <c r="M253" s="39">
        <v>79.406300000000002</v>
      </c>
      <c r="N253" s="39"/>
      <c r="O253" s="39"/>
      <c r="P253" s="35"/>
      <c r="Q253" s="18"/>
      <c r="R253" s="34">
        <v>2424.3544999999999</v>
      </c>
      <c r="S253" s="39">
        <v>31.9527</v>
      </c>
      <c r="T253" s="39">
        <v>37.954099999999997</v>
      </c>
      <c r="U253" s="39">
        <v>38.588999999999999</v>
      </c>
      <c r="V253" s="39">
        <v>10.7852</v>
      </c>
      <c r="W253" s="39">
        <v>17.3873</v>
      </c>
      <c r="X253" s="39">
        <v>81.823899999999995</v>
      </c>
      <c r="Y253" s="39"/>
      <c r="Z253" s="39"/>
      <c r="AA253" s="35"/>
      <c r="AB253" s="50" t="e">
        <f t="shared" si="12"/>
        <v>#DIV/0!</v>
      </c>
      <c r="AC253" s="51" t="e">
        <f t="shared" si="13"/>
        <v>#DIV/0!</v>
      </c>
      <c r="AD253" s="19"/>
      <c r="AE253" s="19"/>
      <c r="AF253" s="285"/>
      <c r="AG253" s="240"/>
      <c r="AH253" s="242"/>
      <c r="AI253" s="242"/>
      <c r="AJ253" s="245"/>
      <c r="AK253" s="240"/>
      <c r="AL253" s="249"/>
      <c r="AM253" s="240"/>
      <c r="AN253" s="249"/>
      <c r="AO253" s="252"/>
      <c r="AP253" s="249"/>
    </row>
    <row r="254" spans="1:42" ht="17.100000000000001" customHeight="1" outlineLevel="4" x14ac:dyDescent="0.25">
      <c r="A254" s="222"/>
      <c r="B254" s="219"/>
      <c r="C254" s="229"/>
      <c r="D254" s="232"/>
      <c r="E254" s="235"/>
      <c r="F254" s="16">
        <v>55</v>
      </c>
      <c r="G254" s="34">
        <v>1241.4350999999999</v>
      </c>
      <c r="H254" s="39">
        <v>27.827400000000001</v>
      </c>
      <c r="I254" s="39">
        <v>35.2592</v>
      </c>
      <c r="J254" s="39">
        <v>36.319499999999998</v>
      </c>
      <c r="K254" s="39">
        <v>7.5523999999999996</v>
      </c>
      <c r="L254" s="39">
        <v>13.0893</v>
      </c>
      <c r="M254" s="39">
        <v>63.682099999999998</v>
      </c>
      <c r="N254" s="39"/>
      <c r="O254" s="39"/>
      <c r="P254" s="35"/>
      <c r="Q254" s="18"/>
      <c r="R254" s="34">
        <v>1299.4818</v>
      </c>
      <c r="S254" s="39">
        <v>28.575700000000001</v>
      </c>
      <c r="T254" s="39">
        <v>35.331099999999999</v>
      </c>
      <c r="U254" s="39">
        <v>36.245199999999997</v>
      </c>
      <c r="V254" s="39">
        <v>8.1396999999999995</v>
      </c>
      <c r="W254" s="39">
        <v>13.870799999999999</v>
      </c>
      <c r="X254" s="39">
        <v>68.159000000000006</v>
      </c>
      <c r="Y254" s="39"/>
      <c r="Z254" s="39"/>
      <c r="AA254" s="35"/>
      <c r="AB254" s="50" t="e">
        <f t="shared" si="12"/>
        <v>#DIV/0!</v>
      </c>
      <c r="AC254" s="51" t="e">
        <f t="shared" si="13"/>
        <v>#DIV/0!</v>
      </c>
      <c r="AD254" s="19"/>
      <c r="AE254" s="19"/>
      <c r="AF254" s="285" t="s">
        <v>128</v>
      </c>
      <c r="AG254" s="240" cm="1">
        <f t="array" ref="AG254">bdRateExtend($G252:$G255,H252:H255,$R252:$R255,S252:S255)</f>
        <v>-0.11277457557724502</v>
      </c>
      <c r="AH254" s="242"/>
      <c r="AI254" s="242"/>
      <c r="AJ254" s="245"/>
      <c r="AK254" s="240" cm="1">
        <f t="array" ref="AK254">bdRateExtend($G252:$G255,K252:K255,$R252:$R255,V252:V255)</f>
        <v>-0.12179972611569567</v>
      </c>
      <c r="AL254" s="249"/>
      <c r="AM254" s="240" cm="1">
        <f t="array" ref="AM254">bdRateExtend($G252:$G255,L252:L255,$R252:$R255,W252:W255)</f>
        <v>-0.10840896129010902</v>
      </c>
      <c r="AN254" s="249"/>
      <c r="AO254" s="252" cm="1">
        <f t="array" ref="AO254">bdRateExtend($G252:$G255,M252:M255,$R252:$R255,X252:X255)</f>
        <v>-0.12633970838678621</v>
      </c>
      <c r="AP254" s="249"/>
    </row>
    <row r="255" spans="1:42" ht="17.100000000000001" customHeight="1" outlineLevel="4" thickBot="1" x14ac:dyDescent="0.3">
      <c r="A255" s="222"/>
      <c r="B255" s="220"/>
      <c r="C255" s="230"/>
      <c r="D255" s="233"/>
      <c r="E255" s="236"/>
      <c r="F255" s="9">
        <v>63</v>
      </c>
      <c r="G255" s="36">
        <v>328.10579999999999</v>
      </c>
      <c r="H255" s="37">
        <v>23.609300000000001</v>
      </c>
      <c r="I255" s="37">
        <v>32.4315</v>
      </c>
      <c r="J255" s="37">
        <v>33.027999999999999</v>
      </c>
      <c r="K255" s="37">
        <v>4.5358000000000001</v>
      </c>
      <c r="L255" s="37">
        <v>8.15</v>
      </c>
      <c r="M255" s="37">
        <v>29.506</v>
      </c>
      <c r="N255" s="37"/>
      <c r="O255" s="37"/>
      <c r="P255" s="38"/>
      <c r="Q255" s="18"/>
      <c r="R255" s="36">
        <v>341.58280000000002</v>
      </c>
      <c r="S255" s="37">
        <v>24.073799999999999</v>
      </c>
      <c r="T255" s="37">
        <v>31.998200000000001</v>
      </c>
      <c r="U255" s="37">
        <v>32.859099999999998</v>
      </c>
      <c r="V255" s="37">
        <v>4.9283999999999999</v>
      </c>
      <c r="W255" s="37">
        <v>8.7036999999999995</v>
      </c>
      <c r="X255" s="37">
        <v>33.926400000000001</v>
      </c>
      <c r="Y255" s="37"/>
      <c r="Z255" s="37"/>
      <c r="AA255" s="38"/>
      <c r="AB255" s="52" t="e">
        <f t="shared" si="12"/>
        <v>#DIV/0!</v>
      </c>
      <c r="AC255" s="53" t="e">
        <f t="shared" si="13"/>
        <v>#DIV/0!</v>
      </c>
      <c r="AD255" s="19"/>
      <c r="AE255" s="19"/>
      <c r="AF255" s="286"/>
      <c r="AG255" s="247"/>
      <c r="AH255" s="243"/>
      <c r="AI255" s="243"/>
      <c r="AJ255" s="246"/>
      <c r="AK255" s="247"/>
      <c r="AL255" s="250"/>
      <c r="AM255" s="247"/>
      <c r="AN255" s="250"/>
      <c r="AO255" s="253"/>
      <c r="AP255" s="250"/>
    </row>
    <row r="256" spans="1:42" ht="17.100000000000001" customHeight="1" outlineLevel="4" x14ac:dyDescent="0.25">
      <c r="A256" s="222"/>
      <c r="B256" s="218" t="s">
        <v>4</v>
      </c>
      <c r="C256" s="228" t="s">
        <v>71</v>
      </c>
      <c r="D256" s="231">
        <v>50</v>
      </c>
      <c r="E256" s="234"/>
      <c r="F256" s="7">
        <v>23</v>
      </c>
      <c r="G256" s="31">
        <v>16593.3138</v>
      </c>
      <c r="H256" s="32">
        <v>40.311199999999999</v>
      </c>
      <c r="I256" s="32">
        <v>41.078899999999997</v>
      </c>
      <c r="J256" s="32">
        <v>41.905900000000003</v>
      </c>
      <c r="K256" s="32">
        <v>16.802700000000002</v>
      </c>
      <c r="L256" s="32">
        <v>24.521799999999999</v>
      </c>
      <c r="M256" s="32">
        <v>99.741600000000005</v>
      </c>
      <c r="N256" s="32"/>
      <c r="O256" s="32"/>
      <c r="P256" s="33"/>
      <c r="Q256" s="18"/>
      <c r="R256" s="31">
        <v>16385.738499999999</v>
      </c>
      <c r="S256" s="32">
        <v>40.587899999999998</v>
      </c>
      <c r="T256" s="32">
        <v>41.189900000000002</v>
      </c>
      <c r="U256" s="32">
        <v>42.031700000000001</v>
      </c>
      <c r="V256" s="32">
        <v>16.9712</v>
      </c>
      <c r="W256" s="32">
        <v>24.7166</v>
      </c>
      <c r="X256" s="32">
        <v>99.790599999999998</v>
      </c>
      <c r="Y256" s="32"/>
      <c r="Z256" s="32"/>
      <c r="AA256" s="33"/>
      <c r="AB256" s="48" t="e">
        <f t="shared" si="12"/>
        <v>#DIV/0!</v>
      </c>
      <c r="AC256" s="49" t="e">
        <f t="shared" si="13"/>
        <v>#DIV/0!</v>
      </c>
      <c r="AD256" s="19"/>
      <c r="AE256" s="19"/>
      <c r="AF256" s="284" t="s">
        <v>126</v>
      </c>
      <c r="AG256" s="239" cm="1">
        <f t="array" ref="AG256">bdRateExtend($G256:$G259,H256:H259,$R256:$R259,S256:S259)</f>
        <v>-5.0057608315304147E-2</v>
      </c>
      <c r="AH256" s="241" cm="1">
        <f t="array" ref="AH256">bdRateExtend($G256:$G261,H256:H261,$R256:$R261,S256:S261)</f>
        <v>-6.610831167013731E-2</v>
      </c>
      <c r="AI256" s="241" cm="1">
        <f t="array" ref="AI256">bdRateExtend($G256:$G261,I256:I261,$R256:$R261,T256:T261)</f>
        <v>-1.0901960641568009E-2</v>
      </c>
      <c r="AJ256" s="244" cm="1">
        <f t="array" ref="AJ256">bdRateExtend($G256:$G261,J256:J261,$R256:$R261,U256:U261)</f>
        <v>7.8086385477103892E-2</v>
      </c>
      <c r="AK256" s="239" cm="1">
        <f t="array" ref="AK256">bdRateExtend($G256:$G259,K256:K259,$R256:$R259,V256:V259)</f>
        <v>-4.3235679095155688E-2</v>
      </c>
      <c r="AL256" s="248" cm="1">
        <f t="array" ref="AL256">bdRateExtend($G256:$G261,K256:K261,$R256:$R261,V256:V261)</f>
        <v>-4.6884411825971917E-2</v>
      </c>
      <c r="AM256" s="239" cm="1">
        <f t="array" ref="AM256">bdRateExtend($G256:$G259,L256:L259,$R256:$R259,W256:W259)</f>
        <v>-4.2850437018783216E-2</v>
      </c>
      <c r="AN256" s="248" cm="1">
        <f t="array" ref="AN256">bdRateExtend($G256:$G261,L256:L261,$R256:$R261,W256:W261)</f>
        <v>-4.5113968811542504E-2</v>
      </c>
      <c r="AO256" s="254" cm="1">
        <f t="array" ref="AO256">bdRateExtend($G256:$G259,M256:M259,$R256:$R259,X256:X259)</f>
        <v>-4.3144974382790968E-2</v>
      </c>
      <c r="AP256" s="248" cm="1">
        <f t="array" ref="AP256">bdRateExtend($G256:$G261,M256:M261,$R256:$R261,X256:X261)</f>
        <v>-4.4208777976435742E-2</v>
      </c>
    </row>
    <row r="257" spans="1:42" ht="17.100000000000001" customHeight="1" outlineLevel="4" x14ac:dyDescent="0.25">
      <c r="A257" s="222"/>
      <c r="B257" s="219"/>
      <c r="C257" s="229"/>
      <c r="D257" s="232"/>
      <c r="E257" s="235"/>
      <c r="F257" s="16">
        <v>31</v>
      </c>
      <c r="G257" s="34">
        <v>11703.4185</v>
      </c>
      <c r="H257" s="39">
        <v>36.424700000000001</v>
      </c>
      <c r="I257" s="39">
        <v>37.923400000000001</v>
      </c>
      <c r="J257" s="39">
        <v>40.0137</v>
      </c>
      <c r="K257" s="39">
        <v>13.444800000000001</v>
      </c>
      <c r="L257" s="39">
        <v>20.905799999999999</v>
      </c>
      <c r="M257" s="39">
        <v>98.2376</v>
      </c>
      <c r="N257" s="39"/>
      <c r="O257" s="39"/>
      <c r="P257" s="35"/>
      <c r="Q257" s="18"/>
      <c r="R257" s="34">
        <v>11534.6338</v>
      </c>
      <c r="S257" s="39">
        <v>36.721899999999998</v>
      </c>
      <c r="T257" s="39">
        <v>38.115299999999998</v>
      </c>
      <c r="U257" s="39">
        <v>40.137999999999998</v>
      </c>
      <c r="V257" s="39">
        <v>13.652200000000001</v>
      </c>
      <c r="W257" s="39">
        <v>21.1373</v>
      </c>
      <c r="X257" s="39">
        <v>98.453299999999999</v>
      </c>
      <c r="Y257" s="39"/>
      <c r="Z257" s="39"/>
      <c r="AA257" s="35"/>
      <c r="AB257" s="50" t="e">
        <f t="shared" si="12"/>
        <v>#DIV/0!</v>
      </c>
      <c r="AC257" s="51" t="e">
        <f t="shared" si="13"/>
        <v>#DIV/0!</v>
      </c>
      <c r="AD257" s="19"/>
      <c r="AE257" s="19"/>
      <c r="AF257" s="285"/>
      <c r="AG257" s="240"/>
      <c r="AH257" s="242"/>
      <c r="AI257" s="242"/>
      <c r="AJ257" s="245"/>
      <c r="AK257" s="240"/>
      <c r="AL257" s="249"/>
      <c r="AM257" s="240"/>
      <c r="AN257" s="249"/>
      <c r="AO257" s="252"/>
      <c r="AP257" s="249"/>
    </row>
    <row r="258" spans="1:42" ht="17.100000000000001" customHeight="1" outlineLevel="4" x14ac:dyDescent="0.25">
      <c r="A258" s="222"/>
      <c r="B258" s="219"/>
      <c r="C258" s="229"/>
      <c r="D258" s="232"/>
      <c r="E258" s="235"/>
      <c r="F258" s="16">
        <v>39</v>
      </c>
      <c r="G258" s="34">
        <v>7110.7446</v>
      </c>
      <c r="H258" s="39">
        <v>32.0518</v>
      </c>
      <c r="I258" s="39">
        <v>35.408999999999999</v>
      </c>
      <c r="J258" s="39">
        <v>38.535899999999998</v>
      </c>
      <c r="K258" s="39">
        <v>9.9319000000000006</v>
      </c>
      <c r="L258" s="39">
        <v>16.822199999999999</v>
      </c>
      <c r="M258" s="39">
        <v>91.630300000000005</v>
      </c>
      <c r="N258" s="39"/>
      <c r="O258" s="39"/>
      <c r="P258" s="35"/>
      <c r="Q258" s="18"/>
      <c r="R258" s="34">
        <v>7041.6307999999999</v>
      </c>
      <c r="S258" s="39">
        <v>32.4069</v>
      </c>
      <c r="T258" s="39">
        <v>35.6128</v>
      </c>
      <c r="U258" s="39">
        <v>38.645099999999999</v>
      </c>
      <c r="V258" s="39">
        <v>10.1707</v>
      </c>
      <c r="W258" s="39">
        <v>17.0869</v>
      </c>
      <c r="X258" s="39">
        <v>92.2517</v>
      </c>
      <c r="Y258" s="39"/>
      <c r="Z258" s="39"/>
      <c r="AA258" s="35"/>
      <c r="AB258" s="50" t="e">
        <f t="shared" si="12"/>
        <v>#DIV/0!</v>
      </c>
      <c r="AC258" s="51" t="e">
        <f t="shared" si="13"/>
        <v>#DIV/0!</v>
      </c>
      <c r="AD258" s="19"/>
      <c r="AE258" s="19"/>
      <c r="AF258" s="285" t="s">
        <v>127</v>
      </c>
      <c r="AG258" s="240" cm="1">
        <f t="array" ref="AG258">bdRateExtend($G257:$G260,H257:H260,$R257:$R260,S257:S260)</f>
        <v>-6.3900522581783248E-2</v>
      </c>
      <c r="AH258" s="242"/>
      <c r="AI258" s="242"/>
      <c r="AJ258" s="245"/>
      <c r="AK258" s="240" cm="1">
        <f t="array" ref="AK258">bdRateExtend($G257:$G260,K257:K260,$R257:$R260,V257:V260)</f>
        <v>-4.991350216970003E-2</v>
      </c>
      <c r="AL258" s="249"/>
      <c r="AM258" s="240" cm="1">
        <f t="array" ref="AM258">bdRateExtend($G257:$G260,L257:L260,$R257:$R260,W257:W260)</f>
        <v>-5.0048607816908897E-2</v>
      </c>
      <c r="AN258" s="249"/>
      <c r="AO258" s="252" cm="1">
        <f t="array" ref="AO258">bdRateExtend($G257:$G260,M257:M260,$R257:$R260,X257:X260)</f>
        <v>-3.8587011403237503E-2</v>
      </c>
      <c r="AP258" s="249"/>
    </row>
    <row r="259" spans="1:42" ht="17.100000000000001" customHeight="1" outlineLevel="4" x14ac:dyDescent="0.25">
      <c r="A259" s="222"/>
      <c r="B259" s="219"/>
      <c r="C259" s="229"/>
      <c r="D259" s="232"/>
      <c r="E259" s="235"/>
      <c r="F259" s="16">
        <v>47</v>
      </c>
      <c r="G259" s="34">
        <v>3656.4553999999998</v>
      </c>
      <c r="H259" s="39">
        <v>27.849599999999999</v>
      </c>
      <c r="I259" s="39">
        <v>33.805799999999998</v>
      </c>
      <c r="J259" s="39">
        <v>37.270400000000002</v>
      </c>
      <c r="K259" s="39">
        <v>6.9451000000000001</v>
      </c>
      <c r="L259" s="39">
        <v>13.077</v>
      </c>
      <c r="M259" s="39">
        <v>77.565299999999993</v>
      </c>
      <c r="N259" s="39"/>
      <c r="O259" s="39"/>
      <c r="P259" s="35"/>
      <c r="Q259" s="18"/>
      <c r="R259" s="34">
        <v>3723.1138000000001</v>
      </c>
      <c r="S259" s="39">
        <v>28.337399999999999</v>
      </c>
      <c r="T259" s="39">
        <v>34.036900000000003</v>
      </c>
      <c r="U259" s="39">
        <v>37.385399999999997</v>
      </c>
      <c r="V259" s="39">
        <v>7.2214</v>
      </c>
      <c r="W259" s="39">
        <v>13.442399999999999</v>
      </c>
      <c r="X259" s="39">
        <v>78.8964</v>
      </c>
      <c r="Y259" s="39"/>
      <c r="Z259" s="39"/>
      <c r="AA259" s="35"/>
      <c r="AB259" s="50" t="e">
        <f t="shared" si="12"/>
        <v>#DIV/0!</v>
      </c>
      <c r="AC259" s="51" t="e">
        <f t="shared" si="13"/>
        <v>#DIV/0!</v>
      </c>
      <c r="AD259" s="19"/>
      <c r="AE259" s="19"/>
      <c r="AF259" s="285"/>
      <c r="AG259" s="240"/>
      <c r="AH259" s="242"/>
      <c r="AI259" s="242"/>
      <c r="AJ259" s="245"/>
      <c r="AK259" s="240"/>
      <c r="AL259" s="249"/>
      <c r="AM259" s="240"/>
      <c r="AN259" s="249"/>
      <c r="AO259" s="252"/>
      <c r="AP259" s="249"/>
    </row>
    <row r="260" spans="1:42" ht="17.100000000000001" customHeight="1" outlineLevel="4" x14ac:dyDescent="0.25">
      <c r="A260" s="222"/>
      <c r="B260" s="219"/>
      <c r="C260" s="229"/>
      <c r="D260" s="232"/>
      <c r="E260" s="235"/>
      <c r="F260" s="16">
        <v>55</v>
      </c>
      <c r="G260" s="34">
        <v>1398.2708</v>
      </c>
      <c r="H260" s="39">
        <v>24.4282</v>
      </c>
      <c r="I260" s="39">
        <v>32.249600000000001</v>
      </c>
      <c r="J260" s="39">
        <v>36.152099999999997</v>
      </c>
      <c r="K260" s="39">
        <v>4.4935</v>
      </c>
      <c r="L260" s="39">
        <v>9.6158000000000001</v>
      </c>
      <c r="M260" s="39">
        <v>53.593899999999998</v>
      </c>
      <c r="N260" s="39"/>
      <c r="O260" s="39"/>
      <c r="P260" s="35"/>
      <c r="Q260" s="18"/>
      <c r="R260" s="34">
        <v>1538.1631</v>
      </c>
      <c r="S260" s="39">
        <v>24.9436</v>
      </c>
      <c r="T260" s="39">
        <v>32.262099999999997</v>
      </c>
      <c r="U260" s="39">
        <v>35.9251</v>
      </c>
      <c r="V260" s="39">
        <v>4.7606000000000002</v>
      </c>
      <c r="W260" s="39">
        <v>10.047700000000001</v>
      </c>
      <c r="X260" s="39">
        <v>56.967799999999997</v>
      </c>
      <c r="Y260" s="39"/>
      <c r="Z260" s="39"/>
      <c r="AA260" s="35"/>
      <c r="AB260" s="50" t="e">
        <f t="shared" si="12"/>
        <v>#DIV/0!</v>
      </c>
      <c r="AC260" s="51" t="e">
        <f t="shared" si="13"/>
        <v>#DIV/0!</v>
      </c>
      <c r="AD260" s="19"/>
      <c r="AE260" s="19"/>
      <c r="AF260" s="285" t="s">
        <v>128</v>
      </c>
      <c r="AG260" s="240" cm="1">
        <f t="array" ref="AG260">bdRateExtend($G258:$G261,H258:H261,$R258:$R261,S258:S261)</f>
        <v>-8.4595170708073986E-2</v>
      </c>
      <c r="AH260" s="242"/>
      <c r="AI260" s="242"/>
      <c r="AJ260" s="245"/>
      <c r="AK260" s="240" cm="1">
        <f t="array" ref="AK260">bdRateExtend($G258:$G261,K258:K261,$R258:$R261,V258:V261)</f>
        <v>-5.5258535833950129E-2</v>
      </c>
      <c r="AL260" s="249"/>
      <c r="AM260" s="240" cm="1">
        <f t="array" ref="AM260">bdRateExtend($G258:$G261,L258:L261,$R258:$R261,W258:W261)</f>
        <v>-5.023860287051507E-2</v>
      </c>
      <c r="AN260" s="249"/>
      <c r="AO260" s="252" cm="1">
        <f t="array" ref="AO260">bdRateExtend($G258:$G261,M258:M261,$R258:$R261,X258:X261)</f>
        <v>-4.4271397436177917E-2</v>
      </c>
      <c r="AP260" s="249"/>
    </row>
    <row r="261" spans="1:42" ht="17.100000000000001" customHeight="1" outlineLevel="4" thickBot="1" x14ac:dyDescent="0.3">
      <c r="A261" s="222"/>
      <c r="B261" s="220"/>
      <c r="C261" s="230"/>
      <c r="D261" s="233"/>
      <c r="E261" s="236"/>
      <c r="F261" s="9">
        <v>63</v>
      </c>
      <c r="G261" s="36">
        <v>218.27080000000001</v>
      </c>
      <c r="H261" s="37">
        <v>21.537199999999999</v>
      </c>
      <c r="I261" s="37">
        <v>30.000299999999999</v>
      </c>
      <c r="J261" s="37">
        <v>34.630299999999998</v>
      </c>
      <c r="K261" s="37">
        <v>2.5253999999999999</v>
      </c>
      <c r="L261" s="37">
        <v>5.7408000000000001</v>
      </c>
      <c r="M261" s="37">
        <v>14.04</v>
      </c>
      <c r="N261" s="37"/>
      <c r="O261" s="37"/>
      <c r="P261" s="38"/>
      <c r="Q261" s="18"/>
      <c r="R261" s="36">
        <v>232.16919999999999</v>
      </c>
      <c r="S261" s="37">
        <v>21.690200000000001</v>
      </c>
      <c r="T261" s="37">
        <v>29.957100000000001</v>
      </c>
      <c r="U261" s="37">
        <v>34.256399999999999</v>
      </c>
      <c r="V261" s="37">
        <v>2.5943999999999998</v>
      </c>
      <c r="W261" s="37">
        <v>5.8708</v>
      </c>
      <c r="X261" s="37">
        <v>16.148099999999999</v>
      </c>
      <c r="Y261" s="37"/>
      <c r="Z261" s="37"/>
      <c r="AA261" s="38"/>
      <c r="AB261" s="52" t="e">
        <f t="shared" si="12"/>
        <v>#DIV/0!</v>
      </c>
      <c r="AC261" s="53" t="e">
        <f t="shared" si="13"/>
        <v>#DIV/0!</v>
      </c>
      <c r="AD261" s="19"/>
      <c r="AE261" s="19"/>
      <c r="AF261" s="286"/>
      <c r="AG261" s="247"/>
      <c r="AH261" s="243"/>
      <c r="AI261" s="243"/>
      <c r="AJ261" s="246"/>
      <c r="AK261" s="247"/>
      <c r="AL261" s="250"/>
      <c r="AM261" s="247"/>
      <c r="AN261" s="250"/>
      <c r="AO261" s="253"/>
      <c r="AP261" s="250"/>
    </row>
    <row r="262" spans="1:42" ht="17.100000000000001" customHeight="1" outlineLevel="4" x14ac:dyDescent="0.25">
      <c r="A262" s="222"/>
      <c r="B262" s="218" t="s">
        <v>4</v>
      </c>
      <c r="C262" s="228" t="s">
        <v>72</v>
      </c>
      <c r="D262" s="231">
        <v>59.94</v>
      </c>
      <c r="E262" s="234">
        <v>10</v>
      </c>
      <c r="F262" s="7">
        <v>23</v>
      </c>
      <c r="G262" s="31">
        <v>9998.1237000000001</v>
      </c>
      <c r="H262" s="32">
        <v>40.777099999999997</v>
      </c>
      <c r="I262" s="32">
        <v>47.535800000000002</v>
      </c>
      <c r="J262" s="32">
        <v>45.636000000000003</v>
      </c>
      <c r="K262" s="32">
        <v>15.3299</v>
      </c>
      <c r="L262" s="32">
        <v>22.839400000000001</v>
      </c>
      <c r="M262" s="32">
        <v>96.597200000000001</v>
      </c>
      <c r="N262" s="32"/>
      <c r="O262" s="32"/>
      <c r="P262" s="33"/>
      <c r="Q262" s="18"/>
      <c r="R262" s="31">
        <v>9776.7585999999992</v>
      </c>
      <c r="S262" s="32">
        <v>40.985199999999999</v>
      </c>
      <c r="T262" s="32">
        <v>47.7224</v>
      </c>
      <c r="U262" s="32">
        <v>45.817100000000003</v>
      </c>
      <c r="V262" s="32">
        <v>15.5291</v>
      </c>
      <c r="W262" s="32">
        <v>23.0504</v>
      </c>
      <c r="X262" s="32">
        <v>96.683499999999995</v>
      </c>
      <c r="Y262" s="32"/>
      <c r="Z262" s="32"/>
      <c r="AA262" s="33"/>
      <c r="AB262" s="48" t="e">
        <f t="shared" si="12"/>
        <v>#DIV/0!</v>
      </c>
      <c r="AC262" s="49" t="e">
        <f t="shared" si="13"/>
        <v>#DIV/0!</v>
      </c>
      <c r="AD262" s="19"/>
      <c r="AE262" s="19"/>
      <c r="AF262" s="284" t="s">
        <v>126</v>
      </c>
      <c r="AG262" s="239" cm="1">
        <f t="array" ref="AG262">bdRateExtend($G262:$G265,H262:H265,$R262:$R265,S262:S265)</f>
        <v>-7.075652185791903E-2</v>
      </c>
      <c r="AH262" s="241" cm="1">
        <f t="array" ref="AH262">bdRateExtend($G262:$G267,H262:H267,$R262:$R267,S262:S267)</f>
        <v>-8.2753887605499066E-2</v>
      </c>
      <c r="AI262" s="241" cm="1">
        <f t="array" ref="AI262">bdRateExtend($G262:$G267,I262:I267,$R262:$R267,T262:T267)</f>
        <v>4.1690321712228862E-3</v>
      </c>
      <c r="AJ262" s="244" cm="1">
        <f t="array" ref="AJ262">bdRateExtend($G262:$G267,J262:J267,$R262:$R267,U262:U267)</f>
        <v>-4.8009358524211176E-2</v>
      </c>
      <c r="AK262" s="239" cm="1">
        <f t="array" ref="AK262">bdRateExtend($G262:$G265,K262:K265,$R262:$R265,V262:V265)</f>
        <v>-6.7554894062615389E-2</v>
      </c>
      <c r="AL262" s="248" cm="1">
        <f t="array" ref="AL262">bdRateExtend($G262:$G267,K262:K267,$R262:$R267,V262:V267)</f>
        <v>-6.8875658874193779E-2</v>
      </c>
      <c r="AM262" s="239" cm="1">
        <f t="array" ref="AM262">bdRateExtend($G262:$G265,L262:L265,$R262:$R265,W262:W265)</f>
        <v>-5.9404478677819172E-2</v>
      </c>
      <c r="AN262" s="248" cm="1">
        <f t="array" ref="AN262">bdRateExtend($G262:$G267,L262:L267,$R262:$R267,W262:W267)</f>
        <v>-6.8642531738595025E-2</v>
      </c>
      <c r="AO262" s="254" cm="1">
        <f t="array" ref="AO262">bdRateExtend($G262:$G265,M262:M265,$R262:$R265,X262:X265)</f>
        <v>-2.4543782772069589E-2</v>
      </c>
      <c r="AP262" s="248" cm="1">
        <f t="array" ref="AP262">bdRateExtend($G262:$G267,M262:M267,$R262:$R267,X262:X267)</f>
        <v>-5.7156232477439617E-2</v>
      </c>
    </row>
    <row r="263" spans="1:42" ht="17.100000000000001" customHeight="1" outlineLevel="4" x14ac:dyDescent="0.25">
      <c r="A263" s="222"/>
      <c r="B263" s="219"/>
      <c r="C263" s="229"/>
      <c r="D263" s="232"/>
      <c r="E263" s="235"/>
      <c r="F263" s="16">
        <v>31</v>
      </c>
      <c r="G263" s="34">
        <v>6151.5469000000003</v>
      </c>
      <c r="H263" s="39">
        <v>37.2866</v>
      </c>
      <c r="I263" s="39">
        <v>45.745800000000003</v>
      </c>
      <c r="J263" s="39">
        <v>43.610799999999998</v>
      </c>
      <c r="K263" s="39">
        <v>12.4061</v>
      </c>
      <c r="L263" s="39">
        <v>19.235099999999999</v>
      </c>
      <c r="M263" s="39">
        <v>93.210599999999999</v>
      </c>
      <c r="N263" s="39"/>
      <c r="O263" s="39"/>
      <c r="P263" s="35"/>
      <c r="Q263" s="18"/>
      <c r="R263" s="34">
        <v>6009.9260999999997</v>
      </c>
      <c r="S263" s="39">
        <v>37.549900000000001</v>
      </c>
      <c r="T263" s="39">
        <v>45.953699999999998</v>
      </c>
      <c r="U263" s="39">
        <v>43.814399999999999</v>
      </c>
      <c r="V263" s="39">
        <v>12.605</v>
      </c>
      <c r="W263" s="39">
        <v>19.442699999999999</v>
      </c>
      <c r="X263" s="39">
        <v>93.120099999999994</v>
      </c>
      <c r="Y263" s="39"/>
      <c r="Z263" s="39"/>
      <c r="AA263" s="35"/>
      <c r="AB263" s="50" t="e">
        <f t="shared" si="12"/>
        <v>#DIV/0!</v>
      </c>
      <c r="AC263" s="51" t="e">
        <f t="shared" si="13"/>
        <v>#DIV/0!</v>
      </c>
      <c r="AD263" s="19"/>
      <c r="AE263" s="19"/>
      <c r="AF263" s="285"/>
      <c r="AG263" s="240"/>
      <c r="AH263" s="242"/>
      <c r="AI263" s="242"/>
      <c r="AJ263" s="245"/>
      <c r="AK263" s="240"/>
      <c r="AL263" s="249"/>
      <c r="AM263" s="240"/>
      <c r="AN263" s="249"/>
      <c r="AO263" s="252"/>
      <c r="AP263" s="249"/>
    </row>
    <row r="264" spans="1:42" ht="17.100000000000001" customHeight="1" outlineLevel="4" x14ac:dyDescent="0.25">
      <c r="A264" s="222"/>
      <c r="B264" s="219"/>
      <c r="C264" s="229"/>
      <c r="D264" s="232"/>
      <c r="E264" s="235"/>
      <c r="F264" s="16">
        <v>39</v>
      </c>
      <c r="G264" s="34">
        <v>3325.0061000000001</v>
      </c>
      <c r="H264" s="39">
        <v>33.938000000000002</v>
      </c>
      <c r="I264" s="39">
        <v>43.813000000000002</v>
      </c>
      <c r="J264" s="39">
        <v>41.5336</v>
      </c>
      <c r="K264" s="39">
        <v>10.003500000000001</v>
      </c>
      <c r="L264" s="39">
        <v>16.009399999999999</v>
      </c>
      <c r="M264" s="39">
        <v>85.792900000000003</v>
      </c>
      <c r="N264" s="39"/>
      <c r="O264" s="39"/>
      <c r="P264" s="35"/>
      <c r="Q264" s="18"/>
      <c r="R264" s="34">
        <v>3263.7934</v>
      </c>
      <c r="S264" s="39">
        <v>34.254600000000003</v>
      </c>
      <c r="T264" s="39">
        <v>44.001199999999997</v>
      </c>
      <c r="U264" s="39">
        <v>41.753599999999999</v>
      </c>
      <c r="V264" s="39">
        <v>10.2118</v>
      </c>
      <c r="W264" s="39">
        <v>16.226900000000001</v>
      </c>
      <c r="X264" s="39">
        <v>85.957899999999995</v>
      </c>
      <c r="Y264" s="39"/>
      <c r="Z264" s="39"/>
      <c r="AA264" s="35"/>
      <c r="AB264" s="50" t="e">
        <f t="shared" si="12"/>
        <v>#DIV/0!</v>
      </c>
      <c r="AC264" s="51" t="e">
        <f t="shared" si="13"/>
        <v>#DIV/0!</v>
      </c>
      <c r="AD264" s="19"/>
      <c r="AE264" s="19"/>
      <c r="AF264" s="285" t="s">
        <v>127</v>
      </c>
      <c r="AG264" s="240" cm="1">
        <f t="array" ref="AG264">bdRateExtend($G263:$G266,H263:H266,$R263:$R266,S263:S266)</f>
        <v>-8.5113543000257974E-2</v>
      </c>
      <c r="AH264" s="242"/>
      <c r="AI264" s="242"/>
      <c r="AJ264" s="245"/>
      <c r="AK264" s="240" cm="1">
        <f t="array" ref="AK264">bdRateExtend($G263:$G266,K263:K266,$R263:$R266,V263:V266)</f>
        <v>-7.6750182638048337E-2</v>
      </c>
      <c r="AL264" s="249"/>
      <c r="AM264" s="240" cm="1">
        <f t="array" ref="AM264">bdRateExtend($G263:$G266,L263:L266,$R263:$R266,W263:W266)</f>
        <v>-6.9240178823923415E-2</v>
      </c>
      <c r="AN264" s="249"/>
      <c r="AO264" s="252" cm="1">
        <f t="array" ref="AO264">bdRateExtend($G263:$G266,M263:M266,$R263:$R266,X263:X266)</f>
        <v>-2.8224904201910594E-2</v>
      </c>
      <c r="AP264" s="249"/>
    </row>
    <row r="265" spans="1:42" ht="17.100000000000001" customHeight="1" outlineLevel="4" x14ac:dyDescent="0.25">
      <c r="A265" s="222"/>
      <c r="B265" s="219"/>
      <c r="C265" s="229"/>
      <c r="D265" s="232"/>
      <c r="E265" s="235"/>
      <c r="F265" s="16">
        <v>47</v>
      </c>
      <c r="G265" s="34">
        <v>1644.1170999999999</v>
      </c>
      <c r="H265" s="39">
        <v>30.9223</v>
      </c>
      <c r="I265" s="39">
        <v>41.779899999999998</v>
      </c>
      <c r="J265" s="39">
        <v>39.529899999999998</v>
      </c>
      <c r="K265" s="39">
        <v>8.0418000000000003</v>
      </c>
      <c r="L265" s="39">
        <v>13.3782</v>
      </c>
      <c r="M265" s="39">
        <v>72.801299999999998</v>
      </c>
      <c r="N265" s="39"/>
      <c r="O265" s="39"/>
      <c r="P265" s="35"/>
      <c r="Q265" s="18"/>
      <c r="R265" s="34">
        <v>1649.1335999999999</v>
      </c>
      <c r="S265" s="39">
        <v>31.311299999999999</v>
      </c>
      <c r="T265" s="39">
        <v>41.848999999999997</v>
      </c>
      <c r="U265" s="39">
        <v>39.700600000000001</v>
      </c>
      <c r="V265" s="39">
        <v>8.2623999999999995</v>
      </c>
      <c r="W265" s="39">
        <v>13.654199999999999</v>
      </c>
      <c r="X265" s="39">
        <v>73.350999999999999</v>
      </c>
      <c r="Y265" s="39"/>
      <c r="Z265" s="39"/>
      <c r="AA265" s="35"/>
      <c r="AB265" s="50" t="e">
        <f t="shared" si="12"/>
        <v>#DIV/0!</v>
      </c>
      <c r="AC265" s="51" t="e">
        <f t="shared" si="13"/>
        <v>#DIV/0!</v>
      </c>
      <c r="AD265" s="19"/>
      <c r="AE265" s="19"/>
      <c r="AF265" s="285"/>
      <c r="AG265" s="240"/>
      <c r="AH265" s="242"/>
      <c r="AI265" s="242"/>
      <c r="AJ265" s="245"/>
      <c r="AK265" s="240"/>
      <c r="AL265" s="249"/>
      <c r="AM265" s="240"/>
      <c r="AN265" s="249"/>
      <c r="AO265" s="252"/>
      <c r="AP265" s="249"/>
    </row>
    <row r="266" spans="1:42" ht="17.100000000000001" customHeight="1" outlineLevel="4" x14ac:dyDescent="0.25">
      <c r="A266" s="222"/>
      <c r="B266" s="219"/>
      <c r="C266" s="229"/>
      <c r="D266" s="232"/>
      <c r="E266" s="235"/>
      <c r="F266" s="16">
        <v>55</v>
      </c>
      <c r="G266" s="34">
        <v>749.745</v>
      </c>
      <c r="H266" s="39">
        <v>28.261700000000001</v>
      </c>
      <c r="I266" s="39">
        <v>39.898400000000002</v>
      </c>
      <c r="J266" s="39">
        <v>37.592500000000001</v>
      </c>
      <c r="K266" s="39">
        <v>6.2560000000000002</v>
      </c>
      <c r="L266" s="39">
        <v>10.8429</v>
      </c>
      <c r="M266" s="39">
        <v>53.536799999999999</v>
      </c>
      <c r="N266" s="39"/>
      <c r="O266" s="39"/>
      <c r="P266" s="35"/>
      <c r="Q266" s="18"/>
      <c r="R266" s="34">
        <v>783.00900000000001</v>
      </c>
      <c r="S266" s="39">
        <v>28.725999999999999</v>
      </c>
      <c r="T266" s="39">
        <v>39.698399999999999</v>
      </c>
      <c r="U266" s="39">
        <v>37.719700000000003</v>
      </c>
      <c r="V266" s="39">
        <v>6.5057999999999998</v>
      </c>
      <c r="W266" s="39">
        <v>11.2502</v>
      </c>
      <c r="X266" s="39">
        <v>56.115400000000001</v>
      </c>
      <c r="Y266" s="39"/>
      <c r="Z266" s="39"/>
      <c r="AA266" s="35"/>
      <c r="AB266" s="50" t="e">
        <f t="shared" si="12"/>
        <v>#DIV/0!</v>
      </c>
      <c r="AC266" s="51" t="e">
        <f t="shared" si="13"/>
        <v>#DIV/0!</v>
      </c>
      <c r="AD266" s="19"/>
      <c r="AE266" s="19"/>
      <c r="AF266" s="285" t="s">
        <v>128</v>
      </c>
      <c r="AG266" s="240" cm="1">
        <f t="array" ref="AG266">bdRateExtend($G264:$G267,H264:H267,$R264:$R267,S264:S267)</f>
        <v>-9.7048881087271943E-2</v>
      </c>
      <c r="AH266" s="242"/>
      <c r="AI266" s="242"/>
      <c r="AJ266" s="245"/>
      <c r="AK266" s="240" cm="1">
        <f t="array" ref="AK266">bdRateExtend($G264:$G267,K264:K267,$R264:$R267,V264:V267)</f>
        <v>-7.417250386194929E-2</v>
      </c>
      <c r="AL266" s="249"/>
      <c r="AM266" s="240" cm="1">
        <f t="array" ref="AM266">bdRateExtend($G264:$G267,L264:L267,$R264:$R267,W264:W267)</f>
        <v>-7.8987341290954527E-2</v>
      </c>
      <c r="AN266" s="249"/>
      <c r="AO266" s="252" cm="1">
        <f t="array" ref="AO266">bdRateExtend($G264:$G267,M264:M267,$R264:$R267,X264:X267)</f>
        <v>-6.2796252830498167E-2</v>
      </c>
      <c r="AP266" s="249"/>
    </row>
    <row r="267" spans="1:42" ht="17.100000000000001" customHeight="1" outlineLevel="4" thickBot="1" x14ac:dyDescent="0.3">
      <c r="A267" s="222"/>
      <c r="B267" s="220"/>
      <c r="C267" s="230"/>
      <c r="D267" s="233"/>
      <c r="E267" s="236"/>
      <c r="F267" s="9">
        <v>63</v>
      </c>
      <c r="G267" s="36">
        <v>180.92679999999999</v>
      </c>
      <c r="H267" s="37">
        <v>24.9697</v>
      </c>
      <c r="I267" s="37">
        <v>38.156100000000002</v>
      </c>
      <c r="J267" s="37">
        <v>34.509</v>
      </c>
      <c r="K267" s="37">
        <v>3.9293</v>
      </c>
      <c r="L267" s="37">
        <v>7.0987999999999998</v>
      </c>
      <c r="M267" s="37">
        <v>16.907399999999999</v>
      </c>
      <c r="N267" s="37"/>
      <c r="O267" s="37"/>
      <c r="P267" s="38"/>
      <c r="Q267" s="18"/>
      <c r="R267" s="36">
        <v>186.89859999999999</v>
      </c>
      <c r="S267" s="37">
        <v>25.203800000000001</v>
      </c>
      <c r="T267" s="37">
        <v>37.963700000000003</v>
      </c>
      <c r="U267" s="37">
        <v>34.599899999999998</v>
      </c>
      <c r="V267" s="37">
        <v>4.0404</v>
      </c>
      <c r="W267" s="37">
        <v>7.3437000000000001</v>
      </c>
      <c r="X267" s="37">
        <v>20.995899999999999</v>
      </c>
      <c r="Y267" s="37"/>
      <c r="Z267" s="37"/>
      <c r="AA267" s="38"/>
      <c r="AB267" s="52" t="e">
        <f t="shared" si="12"/>
        <v>#DIV/0!</v>
      </c>
      <c r="AC267" s="53" t="e">
        <f t="shared" si="13"/>
        <v>#DIV/0!</v>
      </c>
      <c r="AD267" s="19"/>
      <c r="AE267" s="19"/>
      <c r="AF267" s="286"/>
      <c r="AG267" s="247"/>
      <c r="AH267" s="243"/>
      <c r="AI267" s="243"/>
      <c r="AJ267" s="246"/>
      <c r="AK267" s="247"/>
      <c r="AL267" s="250"/>
      <c r="AM267" s="247"/>
      <c r="AN267" s="250"/>
      <c r="AO267" s="253"/>
      <c r="AP267" s="250"/>
    </row>
    <row r="268" spans="1:42" ht="17.100000000000001" customHeight="1" outlineLevel="4" x14ac:dyDescent="0.25">
      <c r="A268" s="222"/>
      <c r="B268" s="218" t="s">
        <v>95</v>
      </c>
      <c r="C268" s="228" t="s">
        <v>73</v>
      </c>
      <c r="D268" s="231">
        <v>29.97</v>
      </c>
      <c r="E268" s="234" t="s">
        <v>23</v>
      </c>
      <c r="F268" s="7">
        <v>23</v>
      </c>
      <c r="G268" s="31">
        <v>2769.5425</v>
      </c>
      <c r="H268" s="32">
        <v>42.618699999999997</v>
      </c>
      <c r="I268" s="32">
        <v>50.5854</v>
      </c>
      <c r="J268" s="32">
        <v>50.292099999999998</v>
      </c>
      <c r="K268" s="32">
        <v>16.5656</v>
      </c>
      <c r="L268" s="32">
        <v>23.6006</v>
      </c>
      <c r="M268" s="32">
        <v>98.907700000000006</v>
      </c>
      <c r="N268" s="32"/>
      <c r="O268" s="32"/>
      <c r="P268" s="33"/>
      <c r="Q268" s="18"/>
      <c r="R268" s="31">
        <v>2716.8339000000001</v>
      </c>
      <c r="S268" s="32">
        <v>43.014200000000002</v>
      </c>
      <c r="T268" s="32">
        <v>50.644599999999997</v>
      </c>
      <c r="U268" s="32">
        <v>50.430100000000003</v>
      </c>
      <c r="V268" s="32">
        <v>16.902999999999999</v>
      </c>
      <c r="W268" s="32">
        <v>23.997699999999998</v>
      </c>
      <c r="X268" s="32">
        <v>99.076599999999999</v>
      </c>
      <c r="Y268" s="32"/>
      <c r="Z268" s="32"/>
      <c r="AA268" s="33"/>
      <c r="AB268" s="48" t="e">
        <f t="shared" si="12"/>
        <v>#DIV/0!</v>
      </c>
      <c r="AC268" s="49" t="e">
        <f t="shared" si="13"/>
        <v>#DIV/0!</v>
      </c>
      <c r="AD268" s="19"/>
      <c r="AE268" s="19"/>
      <c r="AF268" s="284" t="s">
        <v>126</v>
      </c>
      <c r="AG268" s="239" cm="1">
        <f t="array" ref="AG268">bdRateExtend($G268:$G271,H268:H271,$R268:$R271,S268:S271)</f>
        <v>-8.5922607899292736E-2</v>
      </c>
      <c r="AH268" s="241" cm="1">
        <f t="array" ref="AH268">bdRateExtend($G268:$G273,H268:H273,$R268:$R273,S268:S273)</f>
        <v>-9.8886221867892643E-2</v>
      </c>
      <c r="AI268" s="241" cm="1">
        <f t="array" ref="AI268">bdRateExtend($G268:$G273,I268:I273,$R268:$R273,T268:T273)</f>
        <v>-1.4356374018253404E-2</v>
      </c>
      <c r="AJ268" s="244" cm="1">
        <f t="array" ref="AJ268">bdRateExtend($G268:$G273,J268:J273,$R268:$R273,U268:U273)</f>
        <v>-1.735997414759094E-2</v>
      </c>
      <c r="AK268" s="239" cm="1">
        <f t="array" ref="AK268">bdRateExtend($G268:$G271,K268:K271,$R268:$R271,V268:V271)</f>
        <v>-7.9850321467458296E-2</v>
      </c>
      <c r="AL268" s="248" cm="1">
        <f t="array" ref="AL268">bdRateExtend($G268:$G273,K268:K273,$R268:$R273,V268:V273)</f>
        <v>-9.2655470304314425E-2</v>
      </c>
      <c r="AM268" s="239" cm="1">
        <f t="array" ref="AM268">bdRateExtend($G268:$G271,L268:L271,$R268:$R271,W268:W271)</f>
        <v>-7.5747579388426689E-2</v>
      </c>
      <c r="AN268" s="248" cm="1">
        <f t="array" ref="AN268">bdRateExtend($G268:$G273,L268:L273,$R268:$R273,W268:W273)</f>
        <v>-8.203229674532464E-2</v>
      </c>
      <c r="AO268" s="254" cm="1">
        <f t="array" ref="AO268">bdRateExtend($G268:$G271,M268:M271,$R268:$R271,X268:X271)</f>
        <v>-0.11848582839877253</v>
      </c>
      <c r="AP268" s="248" cm="1">
        <f t="array" ref="AP268">bdRateExtend($G268:$G273,M268:M273,$R268:$R273,X268:X273)</f>
        <v>-0.13327795673345999</v>
      </c>
    </row>
    <row r="269" spans="1:42" ht="17.100000000000001" customHeight="1" outlineLevel="4" x14ac:dyDescent="0.25">
      <c r="A269" s="222"/>
      <c r="B269" s="219"/>
      <c r="C269" s="229"/>
      <c r="D269" s="232"/>
      <c r="E269" s="235"/>
      <c r="F269" s="16">
        <v>31</v>
      </c>
      <c r="G269" s="34">
        <v>1817.3862999999999</v>
      </c>
      <c r="H269" s="39">
        <v>39.542999999999999</v>
      </c>
      <c r="I269" s="39">
        <v>48.645400000000002</v>
      </c>
      <c r="J269" s="39">
        <v>48.428100000000001</v>
      </c>
      <c r="K269" s="39">
        <v>14.133800000000001</v>
      </c>
      <c r="L269" s="39">
        <v>20.7257</v>
      </c>
      <c r="M269" s="39">
        <v>96.895700000000005</v>
      </c>
      <c r="N269" s="39"/>
      <c r="O269" s="39"/>
      <c r="P269" s="35"/>
      <c r="Q269" s="18"/>
      <c r="R269" s="34">
        <v>1790.3008</v>
      </c>
      <c r="S269" s="39">
        <v>39.970500000000001</v>
      </c>
      <c r="T269" s="39">
        <v>48.633499999999998</v>
      </c>
      <c r="U269" s="39">
        <v>48.430199999999999</v>
      </c>
      <c r="V269" s="39">
        <v>14.472099999999999</v>
      </c>
      <c r="W269" s="39">
        <v>21.0945</v>
      </c>
      <c r="X269" s="39">
        <v>97.358199999999997</v>
      </c>
      <c r="Y269" s="39"/>
      <c r="Z269" s="39"/>
      <c r="AA269" s="35"/>
      <c r="AB269" s="50" t="e">
        <f t="shared" si="12"/>
        <v>#DIV/0!</v>
      </c>
      <c r="AC269" s="51" t="e">
        <f t="shared" si="13"/>
        <v>#DIV/0!</v>
      </c>
      <c r="AD269" s="19"/>
      <c r="AE269" s="19"/>
      <c r="AF269" s="285"/>
      <c r="AG269" s="240"/>
      <c r="AH269" s="242"/>
      <c r="AI269" s="242"/>
      <c r="AJ269" s="245"/>
      <c r="AK269" s="240"/>
      <c r="AL269" s="249"/>
      <c r="AM269" s="240"/>
      <c r="AN269" s="249"/>
      <c r="AO269" s="252"/>
      <c r="AP269" s="249"/>
    </row>
    <row r="270" spans="1:42" ht="17.100000000000001" customHeight="1" outlineLevel="4" x14ac:dyDescent="0.25">
      <c r="A270" s="222"/>
      <c r="B270" s="219"/>
      <c r="C270" s="229"/>
      <c r="D270" s="232"/>
      <c r="E270" s="235"/>
      <c r="F270" s="16">
        <v>39</v>
      </c>
      <c r="G270" s="34">
        <v>980.505</v>
      </c>
      <c r="H270" s="39">
        <v>36.057600000000001</v>
      </c>
      <c r="I270" s="39">
        <v>46.665500000000002</v>
      </c>
      <c r="J270" s="39">
        <v>46.370899999999999</v>
      </c>
      <c r="K270" s="39">
        <v>11.2692</v>
      </c>
      <c r="L270" s="39">
        <v>17.316199999999998</v>
      </c>
      <c r="M270" s="39">
        <v>90.8185</v>
      </c>
      <c r="N270" s="39"/>
      <c r="O270" s="39"/>
      <c r="P270" s="35"/>
      <c r="Q270" s="18"/>
      <c r="R270" s="34">
        <v>973.3528</v>
      </c>
      <c r="S270" s="39">
        <v>36.481499999999997</v>
      </c>
      <c r="T270" s="39">
        <v>46.7438</v>
      </c>
      <c r="U270" s="39">
        <v>46.553699999999999</v>
      </c>
      <c r="V270" s="39">
        <v>11.5915</v>
      </c>
      <c r="W270" s="39">
        <v>17.686800000000002</v>
      </c>
      <c r="X270" s="39">
        <v>92.174999999999997</v>
      </c>
      <c r="Y270" s="39"/>
      <c r="Z270" s="39"/>
      <c r="AA270" s="35"/>
      <c r="AB270" s="50" t="e">
        <f t="shared" si="12"/>
        <v>#DIV/0!</v>
      </c>
      <c r="AC270" s="51" t="e">
        <f t="shared" si="13"/>
        <v>#DIV/0!</v>
      </c>
      <c r="AD270" s="19"/>
      <c r="AE270" s="19"/>
      <c r="AF270" s="285" t="s">
        <v>127</v>
      </c>
      <c r="AG270" s="240" cm="1">
        <f t="array" ref="AG270">bdRateExtend($G269:$G272,H269:H272,$R269:$R272,S269:S272)</f>
        <v>-0.10124215374856005</v>
      </c>
      <c r="AH270" s="242"/>
      <c r="AI270" s="242"/>
      <c r="AJ270" s="245"/>
      <c r="AK270" s="240" cm="1">
        <f t="array" ref="AK270">bdRateExtend($G269:$G272,K269:K272,$R269:$R272,V269:V272)</f>
        <v>-8.9640607872691125E-2</v>
      </c>
      <c r="AL270" s="249"/>
      <c r="AM270" s="240" cm="1">
        <f t="array" ref="AM270">bdRateExtend($G269:$G272,L269:L272,$R269:$R272,W269:W272)</f>
        <v>-8.2868124662489495E-2</v>
      </c>
      <c r="AN270" s="249"/>
      <c r="AO270" s="252" cm="1">
        <f t="array" ref="AO270">bdRateExtend($G269:$G272,M269:M272,$R269:$R272,X269:X272)</f>
        <v>-0.12804574190120499</v>
      </c>
      <c r="AP270" s="249"/>
    </row>
    <row r="271" spans="1:42" ht="17.100000000000001" customHeight="1" outlineLevel="4" x14ac:dyDescent="0.25">
      <c r="A271" s="222"/>
      <c r="B271" s="219"/>
      <c r="C271" s="229"/>
      <c r="D271" s="232"/>
      <c r="E271" s="235"/>
      <c r="F271" s="16">
        <v>47</v>
      </c>
      <c r="G271" s="34">
        <v>445.54829999999998</v>
      </c>
      <c r="H271" s="39">
        <v>32.957900000000002</v>
      </c>
      <c r="I271" s="39">
        <v>44.576799999999999</v>
      </c>
      <c r="J271" s="39">
        <v>44.274099999999997</v>
      </c>
      <c r="K271" s="39">
        <v>8.6361000000000008</v>
      </c>
      <c r="L271" s="39">
        <v>13.734400000000001</v>
      </c>
      <c r="M271" s="39">
        <v>79.313800000000001</v>
      </c>
      <c r="N271" s="39"/>
      <c r="O271" s="39"/>
      <c r="P271" s="35"/>
      <c r="Q271" s="18"/>
      <c r="R271" s="34">
        <v>445.17759999999998</v>
      </c>
      <c r="S271" s="39">
        <v>33.366599999999998</v>
      </c>
      <c r="T271" s="39">
        <v>44.6751</v>
      </c>
      <c r="U271" s="39">
        <v>44.3932</v>
      </c>
      <c r="V271" s="39">
        <v>8.8978000000000002</v>
      </c>
      <c r="W271" s="39">
        <v>14.104699999999999</v>
      </c>
      <c r="X271" s="39">
        <v>81.772199999999998</v>
      </c>
      <c r="Y271" s="39"/>
      <c r="Z271" s="39"/>
      <c r="AA271" s="35"/>
      <c r="AB271" s="50" t="e">
        <f t="shared" si="12"/>
        <v>#DIV/0!</v>
      </c>
      <c r="AC271" s="51" t="e">
        <f t="shared" si="13"/>
        <v>#DIV/0!</v>
      </c>
      <c r="AD271" s="19"/>
      <c r="AE271" s="19"/>
      <c r="AF271" s="285"/>
      <c r="AG271" s="240"/>
      <c r="AH271" s="242"/>
      <c r="AI271" s="242"/>
      <c r="AJ271" s="245"/>
      <c r="AK271" s="240"/>
      <c r="AL271" s="249"/>
      <c r="AM271" s="240"/>
      <c r="AN271" s="249"/>
      <c r="AO271" s="252"/>
      <c r="AP271" s="249"/>
    </row>
    <row r="272" spans="1:42" ht="17.100000000000001" customHeight="1" outlineLevel="4" x14ac:dyDescent="0.25">
      <c r="A272" s="222"/>
      <c r="B272" s="219"/>
      <c r="C272" s="229"/>
      <c r="D272" s="232"/>
      <c r="E272" s="235"/>
      <c r="F272" s="16">
        <v>55</v>
      </c>
      <c r="G272" s="34">
        <v>216.87790000000001</v>
      </c>
      <c r="H272" s="39">
        <v>30.718399999999999</v>
      </c>
      <c r="I272" s="39">
        <v>42.510100000000001</v>
      </c>
      <c r="J272" s="39">
        <v>42.324599999999997</v>
      </c>
      <c r="K272" s="39">
        <v>7.2521000000000004</v>
      </c>
      <c r="L272" s="39">
        <v>11.2982</v>
      </c>
      <c r="M272" s="39">
        <v>61.239400000000003</v>
      </c>
      <c r="N272" s="39"/>
      <c r="O272" s="39"/>
      <c r="P272" s="35"/>
      <c r="Q272" s="18"/>
      <c r="R272" s="34">
        <v>218.09880000000001</v>
      </c>
      <c r="S272" s="39">
        <v>31.187799999999999</v>
      </c>
      <c r="T272" s="39">
        <v>42.535699999999999</v>
      </c>
      <c r="U272" s="39">
        <v>42.360399999999998</v>
      </c>
      <c r="V272" s="39">
        <v>7.4908000000000001</v>
      </c>
      <c r="W272" s="39">
        <v>11.6221</v>
      </c>
      <c r="X272" s="39">
        <v>66.097700000000003</v>
      </c>
      <c r="Y272" s="39"/>
      <c r="Z272" s="39"/>
      <c r="AA272" s="35"/>
      <c r="AB272" s="50" t="e">
        <f t="shared" si="12"/>
        <v>#DIV/0!</v>
      </c>
      <c r="AC272" s="51" t="e">
        <f t="shared" si="13"/>
        <v>#DIV/0!</v>
      </c>
      <c r="AD272" s="19"/>
      <c r="AE272" s="19"/>
      <c r="AF272" s="285" t="s">
        <v>128</v>
      </c>
      <c r="AG272" s="240" cm="1">
        <f t="array" ref="AG272">bdRateExtend($G270:$G273,H270:H273,$R270:$R273,S270:S273)</f>
        <v>-0.1140688260783006</v>
      </c>
      <c r="AH272" s="242"/>
      <c r="AI272" s="242"/>
      <c r="AJ272" s="245"/>
      <c r="AK272" s="240" cm="1">
        <f t="array" ref="AK272">bdRateExtend($G270:$G273,K270:K273,$R270:$R273,V270:V273)</f>
        <v>-0.10867842085503232</v>
      </c>
      <c r="AL272" s="249"/>
      <c r="AM272" s="240" cm="1">
        <f t="array" ref="AM272">bdRateExtend($G270:$G273,L270:L273,$R270:$R273,W270:W273)</f>
        <v>-8.9409925968818249E-2</v>
      </c>
      <c r="AN272" s="249"/>
      <c r="AO272" s="252" cm="1">
        <f t="array" ref="AO272">bdRateExtend($G270:$G273,M270:M273,$R270:$R273,X270:X273)</f>
        <v>-0.13734951688561081</v>
      </c>
      <c r="AP272" s="249"/>
    </row>
    <row r="273" spans="1:42" ht="17.100000000000001" customHeight="1" outlineLevel="4" thickBot="1" x14ac:dyDescent="0.3">
      <c r="A273" s="223"/>
      <c r="B273" s="220"/>
      <c r="C273" s="230"/>
      <c r="D273" s="233"/>
      <c r="E273" s="236"/>
      <c r="F273" s="9">
        <v>63</v>
      </c>
      <c r="G273" s="36">
        <v>75.055999999999997</v>
      </c>
      <c r="H273" s="37">
        <v>27.3429</v>
      </c>
      <c r="I273" s="37">
        <v>38.703600000000002</v>
      </c>
      <c r="J273" s="37">
        <v>38.7697</v>
      </c>
      <c r="K273" s="37">
        <v>5.7907999999999999</v>
      </c>
      <c r="L273" s="37">
        <v>8.4253999999999998</v>
      </c>
      <c r="M273" s="37">
        <v>20.6968</v>
      </c>
      <c r="N273" s="37"/>
      <c r="O273" s="37"/>
      <c r="P273" s="38"/>
      <c r="Q273" s="18"/>
      <c r="R273" s="36">
        <v>77.529200000000003</v>
      </c>
      <c r="S273" s="37">
        <v>27.718</v>
      </c>
      <c r="T273" s="37">
        <v>38.797899999999998</v>
      </c>
      <c r="U273" s="37">
        <v>38.618000000000002</v>
      </c>
      <c r="V273" s="37">
        <v>6.0212000000000003</v>
      </c>
      <c r="W273" s="37">
        <v>8.7262000000000004</v>
      </c>
      <c r="X273" s="37">
        <v>27.027799999999999</v>
      </c>
      <c r="Y273" s="37"/>
      <c r="Z273" s="37"/>
      <c r="AA273" s="38"/>
      <c r="AB273" s="52" t="e">
        <f t="shared" si="12"/>
        <v>#DIV/0!</v>
      </c>
      <c r="AC273" s="53" t="e">
        <f t="shared" si="13"/>
        <v>#DIV/0!</v>
      </c>
      <c r="AD273" s="19"/>
      <c r="AE273" s="19"/>
      <c r="AF273" s="286"/>
      <c r="AG273" s="247"/>
      <c r="AH273" s="243"/>
      <c r="AI273" s="243"/>
      <c r="AJ273" s="246"/>
      <c r="AK273" s="247"/>
      <c r="AL273" s="250"/>
      <c r="AM273" s="247"/>
      <c r="AN273" s="250"/>
      <c r="AO273" s="253"/>
      <c r="AP273" s="250"/>
    </row>
    <row r="274" spans="1:42" ht="17.100000000000001" customHeight="1" outlineLevel="5" x14ac:dyDescent="0.25">
      <c r="A274" s="221" t="s">
        <v>108</v>
      </c>
      <c r="B274" s="218" t="s">
        <v>2</v>
      </c>
      <c r="C274" s="228" t="s">
        <v>26</v>
      </c>
      <c r="D274" s="231">
        <v>60</v>
      </c>
      <c r="E274" s="234">
        <v>8</v>
      </c>
      <c r="F274" s="7">
        <v>23</v>
      </c>
      <c r="G274" s="31"/>
      <c r="H274" s="32"/>
      <c r="I274" s="32"/>
      <c r="J274" s="32"/>
      <c r="K274" s="32"/>
      <c r="L274" s="32"/>
      <c r="M274" s="32"/>
      <c r="N274" s="32"/>
      <c r="O274" s="32"/>
      <c r="P274" s="33"/>
      <c r="Q274" s="18"/>
      <c r="R274" s="31"/>
      <c r="S274" s="32"/>
      <c r="T274" s="32"/>
      <c r="U274" s="32"/>
      <c r="V274" s="32"/>
      <c r="W274" s="32"/>
      <c r="X274" s="32"/>
      <c r="Y274" s="32"/>
      <c r="Z274" s="32"/>
      <c r="AA274" s="33"/>
      <c r="AB274" s="48" t="e">
        <f t="shared" si="12"/>
        <v>#DIV/0!</v>
      </c>
      <c r="AC274" s="49" t="e">
        <f t="shared" si="13"/>
        <v>#DIV/0!</v>
      </c>
      <c r="AD274" s="19"/>
      <c r="AE274" s="19"/>
      <c r="AF274" s="284" t="s">
        <v>126</v>
      </c>
      <c r="AG274" s="239" t="e" cm="1">
        <f t="array" ref="AG274">bdRateExtend($G274:$G277,H274:H277,$R274:$R277,S274:S277)</f>
        <v>#VALUE!</v>
      </c>
      <c r="AH274" s="241" t="e" cm="1">
        <f t="array" ref="AH274">bdRateExtend($G274:$G279,H274:H279,$R274:$R279,S274:S279)</f>
        <v>#VALUE!</v>
      </c>
      <c r="AI274" s="241" t="e" cm="1">
        <f t="array" ref="AI274">bdRateExtend($G274:$G279,I274:I279,$R274:$R279,T274:T279)</f>
        <v>#VALUE!</v>
      </c>
      <c r="AJ274" s="244" t="e" cm="1">
        <f t="array" ref="AJ274">bdRateExtend($G274:$G279,J274:J279,$R274:$R279,U274:U279)</f>
        <v>#VALUE!</v>
      </c>
      <c r="AK274" s="239" t="e" cm="1">
        <f t="array" ref="AK274">bdRateExtend($G274:$G277,K274:K277,$R274:$R277,V274:V277)</f>
        <v>#VALUE!</v>
      </c>
      <c r="AL274" s="248" t="e" cm="1">
        <f t="array" ref="AL274">bdRateExtend($G274:$G279,K274:K279,$R274:$R279,V274:V279)</f>
        <v>#VALUE!</v>
      </c>
      <c r="AM274" s="239" t="e" cm="1">
        <f t="array" ref="AM274">bdRateExtend($G274:$G277,L274:L277,$R274:$R277,W274:W277)</f>
        <v>#VALUE!</v>
      </c>
      <c r="AN274" s="248" t="e" cm="1">
        <f t="array" ref="AN274">bdRateExtend($G274:$G279,L274:L279,$R274:$R279,W274:W279)</f>
        <v>#VALUE!</v>
      </c>
      <c r="AO274" s="254" t="e" cm="1">
        <f t="array" ref="AO274">bdRateExtend($G274:$G277,M274:M277,$R274:$R277,X274:X277)</f>
        <v>#VALUE!</v>
      </c>
      <c r="AP274" s="248" t="e" cm="1">
        <f t="array" ref="AP274">bdRateExtend($G274:$G279,M274:M279,$R274:$R279,X274:X279)</f>
        <v>#VALUE!</v>
      </c>
    </row>
    <row r="275" spans="1:42" ht="17.100000000000001" customHeight="1" outlineLevel="5" x14ac:dyDescent="0.25">
      <c r="A275" s="222"/>
      <c r="B275" s="219"/>
      <c r="C275" s="229"/>
      <c r="D275" s="232"/>
      <c r="E275" s="235"/>
      <c r="F275" s="16">
        <v>31</v>
      </c>
      <c r="G275" s="34"/>
      <c r="H275" s="39"/>
      <c r="I275" s="39"/>
      <c r="J275" s="39"/>
      <c r="K275" s="39"/>
      <c r="L275" s="39"/>
      <c r="M275" s="39"/>
      <c r="N275" s="39"/>
      <c r="O275" s="39"/>
      <c r="P275" s="35"/>
      <c r="Q275" s="18"/>
      <c r="R275" s="34"/>
      <c r="S275" s="39"/>
      <c r="T275" s="39"/>
      <c r="U275" s="39"/>
      <c r="V275" s="39"/>
      <c r="W275" s="39"/>
      <c r="X275" s="39"/>
      <c r="Y275" s="39"/>
      <c r="Z275" s="39"/>
      <c r="AA275" s="35"/>
      <c r="AB275" s="50" t="e">
        <f t="shared" si="12"/>
        <v>#DIV/0!</v>
      </c>
      <c r="AC275" s="51" t="e">
        <f t="shared" si="13"/>
        <v>#DIV/0!</v>
      </c>
      <c r="AD275" s="19"/>
      <c r="AE275" s="19"/>
      <c r="AF275" s="285"/>
      <c r="AG275" s="240"/>
      <c r="AH275" s="242"/>
      <c r="AI275" s="242"/>
      <c r="AJ275" s="245"/>
      <c r="AK275" s="240"/>
      <c r="AL275" s="249"/>
      <c r="AM275" s="240"/>
      <c r="AN275" s="249"/>
      <c r="AO275" s="252"/>
      <c r="AP275" s="249"/>
    </row>
    <row r="276" spans="1:42" ht="17.100000000000001" customHeight="1" outlineLevel="5" x14ac:dyDescent="0.25">
      <c r="A276" s="222"/>
      <c r="B276" s="219"/>
      <c r="C276" s="229"/>
      <c r="D276" s="232"/>
      <c r="E276" s="235"/>
      <c r="F276" s="16">
        <v>39</v>
      </c>
      <c r="G276" s="34"/>
      <c r="H276" s="39"/>
      <c r="I276" s="39"/>
      <c r="J276" s="39"/>
      <c r="K276" s="39"/>
      <c r="L276" s="39"/>
      <c r="M276" s="39"/>
      <c r="N276" s="39"/>
      <c r="O276" s="39"/>
      <c r="P276" s="35"/>
      <c r="Q276" s="18"/>
      <c r="R276" s="34"/>
      <c r="S276" s="39"/>
      <c r="T276" s="39"/>
      <c r="U276" s="39"/>
      <c r="V276" s="39"/>
      <c r="W276" s="39"/>
      <c r="X276" s="39"/>
      <c r="Y276" s="39"/>
      <c r="Z276" s="39"/>
      <c r="AA276" s="35"/>
      <c r="AB276" s="50" t="e">
        <f t="shared" si="12"/>
        <v>#DIV/0!</v>
      </c>
      <c r="AC276" s="51" t="e">
        <f t="shared" si="13"/>
        <v>#DIV/0!</v>
      </c>
      <c r="AD276" s="19"/>
      <c r="AE276" s="19"/>
      <c r="AF276" s="285" t="s">
        <v>127</v>
      </c>
      <c r="AG276" s="240" t="e" cm="1">
        <f t="array" ref="AG276">bdRateExtend($G275:$G278,H275:H278,$R275:$R278,S275:S278)</f>
        <v>#VALUE!</v>
      </c>
      <c r="AH276" s="242"/>
      <c r="AI276" s="242"/>
      <c r="AJ276" s="245"/>
      <c r="AK276" s="240" t="e" cm="1">
        <f t="array" ref="AK276">bdRateExtend($G275:$G278,K275:K278,$R275:$R278,V275:V278)</f>
        <v>#VALUE!</v>
      </c>
      <c r="AL276" s="249"/>
      <c r="AM276" s="240" t="e" cm="1">
        <f t="array" ref="AM276">bdRateExtend($G275:$G278,L275:L278,$R275:$R278,W275:W278)</f>
        <v>#VALUE!</v>
      </c>
      <c r="AN276" s="249"/>
      <c r="AO276" s="252" t="e" cm="1">
        <f t="array" ref="AO276">bdRateExtend($G275:$G278,M275:M278,$R275:$R278,X275:X278)</f>
        <v>#VALUE!</v>
      </c>
      <c r="AP276" s="249"/>
    </row>
    <row r="277" spans="1:42" ht="17.100000000000001" customHeight="1" outlineLevel="5" x14ac:dyDescent="0.25">
      <c r="A277" s="222"/>
      <c r="B277" s="219"/>
      <c r="C277" s="229"/>
      <c r="D277" s="232"/>
      <c r="E277" s="235"/>
      <c r="F277" s="16">
        <v>47</v>
      </c>
      <c r="G277" s="34"/>
      <c r="H277" s="39"/>
      <c r="I277" s="39"/>
      <c r="J277" s="39"/>
      <c r="K277" s="39"/>
      <c r="L277" s="39"/>
      <c r="M277" s="39"/>
      <c r="N277" s="39"/>
      <c r="O277" s="39"/>
      <c r="P277" s="35"/>
      <c r="Q277" s="18"/>
      <c r="R277" s="34"/>
      <c r="S277" s="39"/>
      <c r="T277" s="39"/>
      <c r="U277" s="39"/>
      <c r="V277" s="39"/>
      <c r="W277" s="39"/>
      <c r="X277" s="39"/>
      <c r="Y277" s="39"/>
      <c r="Z277" s="39"/>
      <c r="AA277" s="35"/>
      <c r="AB277" s="50" t="e">
        <f t="shared" si="12"/>
        <v>#DIV/0!</v>
      </c>
      <c r="AC277" s="51" t="e">
        <f t="shared" si="13"/>
        <v>#DIV/0!</v>
      </c>
      <c r="AD277" s="19"/>
      <c r="AE277" s="19"/>
      <c r="AF277" s="285"/>
      <c r="AG277" s="240"/>
      <c r="AH277" s="242"/>
      <c r="AI277" s="242"/>
      <c r="AJ277" s="245"/>
      <c r="AK277" s="240"/>
      <c r="AL277" s="249"/>
      <c r="AM277" s="240"/>
      <c r="AN277" s="249"/>
      <c r="AO277" s="252"/>
      <c r="AP277" s="249"/>
    </row>
    <row r="278" spans="1:42" ht="17.100000000000001" customHeight="1" outlineLevel="5" x14ac:dyDescent="0.25">
      <c r="A278" s="222"/>
      <c r="B278" s="219"/>
      <c r="C278" s="229"/>
      <c r="D278" s="232"/>
      <c r="E278" s="235"/>
      <c r="F278" s="16">
        <v>55</v>
      </c>
      <c r="G278" s="34"/>
      <c r="H278" s="39"/>
      <c r="I278" s="39"/>
      <c r="J278" s="39"/>
      <c r="K278" s="39"/>
      <c r="L278" s="39"/>
      <c r="M278" s="39"/>
      <c r="N278" s="39"/>
      <c r="O278" s="39"/>
      <c r="P278" s="35"/>
      <c r="Q278" s="18"/>
      <c r="R278" s="34"/>
      <c r="S278" s="39"/>
      <c r="T278" s="39"/>
      <c r="U278" s="39"/>
      <c r="V278" s="39"/>
      <c r="W278" s="39"/>
      <c r="X278" s="39"/>
      <c r="Y278" s="39"/>
      <c r="Z278" s="39"/>
      <c r="AA278" s="35"/>
      <c r="AB278" s="50" t="e">
        <f t="shared" si="12"/>
        <v>#DIV/0!</v>
      </c>
      <c r="AC278" s="51" t="e">
        <f t="shared" si="13"/>
        <v>#DIV/0!</v>
      </c>
      <c r="AD278" s="19"/>
      <c r="AE278" s="19"/>
      <c r="AF278" s="285" t="s">
        <v>128</v>
      </c>
      <c r="AG278" s="240" t="e" cm="1">
        <f t="array" ref="AG278">bdRateExtend($G276:$G279,H276:H279,$R276:$R279,S276:S279)</f>
        <v>#VALUE!</v>
      </c>
      <c r="AH278" s="242"/>
      <c r="AI278" s="242"/>
      <c r="AJ278" s="245"/>
      <c r="AK278" s="240" t="e" cm="1">
        <f t="array" ref="AK278">bdRateExtend($G276:$G279,K276:K279,$R276:$R279,V276:V279)</f>
        <v>#VALUE!</v>
      </c>
      <c r="AL278" s="249"/>
      <c r="AM278" s="240" t="e" cm="1">
        <f t="array" ref="AM278">bdRateExtend($G276:$G279,L276:L279,$R276:$R279,W276:W279)</f>
        <v>#VALUE!</v>
      </c>
      <c r="AN278" s="249"/>
      <c r="AO278" s="252" t="e" cm="1">
        <f t="array" ref="AO278">bdRateExtend($G276:$G279,M276:M279,$R276:$R279,X276:X279)</f>
        <v>#VALUE!</v>
      </c>
      <c r="AP278" s="249"/>
    </row>
    <row r="279" spans="1:42" ht="17.100000000000001" customHeight="1" outlineLevel="5" thickBot="1" x14ac:dyDescent="0.3">
      <c r="A279" s="222"/>
      <c r="B279" s="220"/>
      <c r="C279" s="230"/>
      <c r="D279" s="233"/>
      <c r="E279" s="236"/>
      <c r="F279" s="9">
        <v>63</v>
      </c>
      <c r="G279" s="36"/>
      <c r="H279" s="37"/>
      <c r="I279" s="37"/>
      <c r="J279" s="37"/>
      <c r="K279" s="37"/>
      <c r="L279" s="37"/>
      <c r="M279" s="37"/>
      <c r="N279" s="37"/>
      <c r="O279" s="37"/>
      <c r="P279" s="38"/>
      <c r="Q279" s="18"/>
      <c r="R279" s="36"/>
      <c r="S279" s="37"/>
      <c r="T279" s="37"/>
      <c r="U279" s="37"/>
      <c r="V279" s="37"/>
      <c r="W279" s="37"/>
      <c r="X279" s="37"/>
      <c r="Y279" s="37"/>
      <c r="Z279" s="37"/>
      <c r="AA279" s="38"/>
      <c r="AB279" s="52" t="e">
        <f t="shared" si="12"/>
        <v>#DIV/0!</v>
      </c>
      <c r="AC279" s="53" t="e">
        <f t="shared" si="13"/>
        <v>#DIV/0!</v>
      </c>
      <c r="AD279" s="19"/>
      <c r="AE279" s="19"/>
      <c r="AF279" s="286"/>
      <c r="AG279" s="247"/>
      <c r="AH279" s="243"/>
      <c r="AI279" s="243"/>
      <c r="AJ279" s="246"/>
      <c r="AK279" s="247"/>
      <c r="AL279" s="250"/>
      <c r="AM279" s="247"/>
      <c r="AN279" s="250"/>
      <c r="AO279" s="253"/>
      <c r="AP279" s="250"/>
    </row>
    <row r="280" spans="1:42" ht="17.100000000000001" customHeight="1" outlineLevel="5" x14ac:dyDescent="0.25">
      <c r="A280" s="222"/>
      <c r="B280" s="218" t="s">
        <v>96</v>
      </c>
      <c r="C280" s="228" t="s">
        <v>74</v>
      </c>
      <c r="D280" s="231">
        <v>60</v>
      </c>
      <c r="E280" s="234">
        <v>8</v>
      </c>
      <c r="F280" s="7">
        <v>23</v>
      </c>
      <c r="G280" s="31"/>
      <c r="H280" s="32"/>
      <c r="I280" s="32"/>
      <c r="J280" s="32"/>
      <c r="K280" s="32"/>
      <c r="L280" s="32"/>
      <c r="M280" s="32"/>
      <c r="N280" s="32"/>
      <c r="O280" s="32"/>
      <c r="P280" s="33"/>
      <c r="Q280" s="18"/>
      <c r="R280" s="31"/>
      <c r="S280" s="32"/>
      <c r="T280" s="32"/>
      <c r="U280" s="32"/>
      <c r="V280" s="32"/>
      <c r="W280" s="32"/>
      <c r="X280" s="32"/>
      <c r="Y280" s="32"/>
      <c r="Z280" s="32"/>
      <c r="AA280" s="33"/>
      <c r="AB280" s="48" t="e">
        <f t="shared" si="12"/>
        <v>#DIV/0!</v>
      </c>
      <c r="AC280" s="49" t="e">
        <f t="shared" si="13"/>
        <v>#DIV/0!</v>
      </c>
      <c r="AD280" s="19"/>
      <c r="AE280" s="19"/>
      <c r="AF280" s="284" t="s">
        <v>126</v>
      </c>
      <c r="AG280" s="239" t="e" cm="1">
        <f t="array" ref="AG280">bdRateExtend($G280:$G283,H280:H283,$R280:$R283,S280:S283)</f>
        <v>#VALUE!</v>
      </c>
      <c r="AH280" s="241" t="e" cm="1">
        <f t="array" ref="AH280">bdRateExtend($G280:$G285,H280:H285,$R280:$R285,S280:S285)</f>
        <v>#VALUE!</v>
      </c>
      <c r="AI280" s="241" t="e" cm="1">
        <f t="array" ref="AI280">bdRateExtend($G280:$G285,I280:I285,$R280:$R285,T280:T285)</f>
        <v>#VALUE!</v>
      </c>
      <c r="AJ280" s="244" t="e" cm="1">
        <f t="array" ref="AJ280">bdRateExtend($G280:$G285,J280:J285,$R280:$R285,U280:U285)</f>
        <v>#VALUE!</v>
      </c>
      <c r="AK280" s="239" t="e" cm="1">
        <f t="array" ref="AK280">bdRateExtend($G280:$G283,K280:K283,$R280:$R283,V280:V283)</f>
        <v>#VALUE!</v>
      </c>
      <c r="AL280" s="248" t="e" cm="1">
        <f t="array" ref="AL280">bdRateExtend($G280:$G285,K280:K285,$R280:$R285,V280:V285)</f>
        <v>#VALUE!</v>
      </c>
      <c r="AM280" s="239" t="e" cm="1">
        <f t="array" ref="AM280">bdRateExtend($G280:$G283,L280:L283,$R280:$R283,W280:W283)</f>
        <v>#VALUE!</v>
      </c>
      <c r="AN280" s="248" t="e" cm="1">
        <f t="array" ref="AN280">bdRateExtend($G280:$G285,L280:L285,$R280:$R285,W280:W285)</f>
        <v>#VALUE!</v>
      </c>
      <c r="AO280" s="254" t="e" cm="1">
        <f t="array" ref="AO280">bdRateExtend($G280:$G283,M280:M283,$R280:$R283,X280:X283)</f>
        <v>#VALUE!</v>
      </c>
      <c r="AP280" s="248" t="e" cm="1">
        <f t="array" ref="AP280">bdRateExtend($G280:$G285,M280:M285,$R280:$R285,X280:X285)</f>
        <v>#VALUE!</v>
      </c>
    </row>
    <row r="281" spans="1:42" ht="17.100000000000001" customHeight="1" outlineLevel="5" x14ac:dyDescent="0.25">
      <c r="A281" s="222"/>
      <c r="B281" s="219"/>
      <c r="C281" s="229"/>
      <c r="D281" s="232"/>
      <c r="E281" s="235"/>
      <c r="F281" s="16">
        <v>31</v>
      </c>
      <c r="G281" s="34"/>
      <c r="H281" s="39"/>
      <c r="I281" s="39"/>
      <c r="J281" s="39"/>
      <c r="K281" s="39"/>
      <c r="L281" s="39"/>
      <c r="M281" s="39"/>
      <c r="N281" s="39"/>
      <c r="O281" s="39"/>
      <c r="P281" s="35"/>
      <c r="Q281" s="18"/>
      <c r="R281" s="34"/>
      <c r="S281" s="39"/>
      <c r="T281" s="39"/>
      <c r="U281" s="39"/>
      <c r="V281" s="39"/>
      <c r="W281" s="39"/>
      <c r="X281" s="39"/>
      <c r="Y281" s="39"/>
      <c r="Z281" s="39"/>
      <c r="AA281" s="35"/>
      <c r="AB281" s="50" t="e">
        <f t="shared" si="12"/>
        <v>#DIV/0!</v>
      </c>
      <c r="AC281" s="51" t="e">
        <f t="shared" si="13"/>
        <v>#DIV/0!</v>
      </c>
      <c r="AD281" s="19"/>
      <c r="AE281" s="19"/>
      <c r="AF281" s="285"/>
      <c r="AG281" s="240"/>
      <c r="AH281" s="242"/>
      <c r="AI281" s="242"/>
      <c r="AJ281" s="245"/>
      <c r="AK281" s="240"/>
      <c r="AL281" s="249"/>
      <c r="AM281" s="240"/>
      <c r="AN281" s="249"/>
      <c r="AO281" s="252"/>
      <c r="AP281" s="249"/>
    </row>
    <row r="282" spans="1:42" ht="17.100000000000001" customHeight="1" outlineLevel="5" x14ac:dyDescent="0.25">
      <c r="A282" s="222"/>
      <c r="B282" s="219"/>
      <c r="C282" s="229"/>
      <c r="D282" s="232"/>
      <c r="E282" s="235"/>
      <c r="F282" s="16">
        <v>39</v>
      </c>
      <c r="G282" s="34"/>
      <c r="H282" s="39"/>
      <c r="I282" s="39"/>
      <c r="J282" s="39"/>
      <c r="K282" s="39"/>
      <c r="L282" s="39"/>
      <c r="M282" s="39"/>
      <c r="N282" s="39"/>
      <c r="O282" s="39"/>
      <c r="P282" s="35"/>
      <c r="Q282" s="18"/>
      <c r="R282" s="34"/>
      <c r="S282" s="39"/>
      <c r="T282" s="39"/>
      <c r="U282" s="39"/>
      <c r="V282" s="39"/>
      <c r="W282" s="39"/>
      <c r="X282" s="39"/>
      <c r="Y282" s="39"/>
      <c r="Z282" s="39"/>
      <c r="AA282" s="35"/>
      <c r="AB282" s="50" t="e">
        <f t="shared" si="12"/>
        <v>#DIV/0!</v>
      </c>
      <c r="AC282" s="51" t="e">
        <f t="shared" si="13"/>
        <v>#DIV/0!</v>
      </c>
      <c r="AD282" s="19"/>
      <c r="AE282" s="19"/>
      <c r="AF282" s="285" t="s">
        <v>127</v>
      </c>
      <c r="AG282" s="240" t="e" cm="1">
        <f t="array" ref="AG282">bdRateExtend($G281:$G284,H281:H284,$R281:$R284,S281:S284)</f>
        <v>#VALUE!</v>
      </c>
      <c r="AH282" s="242"/>
      <c r="AI282" s="242"/>
      <c r="AJ282" s="245"/>
      <c r="AK282" s="240" t="e" cm="1">
        <f t="array" ref="AK282">bdRateExtend($G281:$G284,K281:K284,$R281:$R284,V281:V284)</f>
        <v>#VALUE!</v>
      </c>
      <c r="AL282" s="249"/>
      <c r="AM282" s="240" t="e" cm="1">
        <f t="array" ref="AM282">bdRateExtend($G281:$G284,L281:L284,$R281:$R284,W281:W284)</f>
        <v>#VALUE!</v>
      </c>
      <c r="AN282" s="249"/>
      <c r="AO282" s="252" t="e" cm="1">
        <f t="array" ref="AO282">bdRateExtend($G281:$G284,M281:M284,$R281:$R284,X281:X284)</f>
        <v>#VALUE!</v>
      </c>
      <c r="AP282" s="249"/>
    </row>
    <row r="283" spans="1:42" ht="17.100000000000001" customHeight="1" outlineLevel="5" x14ac:dyDescent="0.25">
      <c r="A283" s="222"/>
      <c r="B283" s="219"/>
      <c r="C283" s="229"/>
      <c r="D283" s="232"/>
      <c r="E283" s="235"/>
      <c r="F283" s="16">
        <v>47</v>
      </c>
      <c r="G283" s="34"/>
      <c r="H283" s="39"/>
      <c r="I283" s="39"/>
      <c r="J283" s="39"/>
      <c r="K283" s="39"/>
      <c r="L283" s="39"/>
      <c r="M283" s="39"/>
      <c r="N283" s="39"/>
      <c r="O283" s="39"/>
      <c r="P283" s="35"/>
      <c r="Q283" s="18"/>
      <c r="R283" s="34"/>
      <c r="S283" s="39"/>
      <c r="T283" s="39"/>
      <c r="U283" s="39"/>
      <c r="V283" s="39"/>
      <c r="W283" s="39"/>
      <c r="X283" s="39"/>
      <c r="Y283" s="39"/>
      <c r="Z283" s="39"/>
      <c r="AA283" s="35"/>
      <c r="AB283" s="50" t="e">
        <f t="shared" si="12"/>
        <v>#DIV/0!</v>
      </c>
      <c r="AC283" s="51" t="e">
        <f t="shared" si="13"/>
        <v>#DIV/0!</v>
      </c>
      <c r="AD283" s="19"/>
      <c r="AE283" s="19"/>
      <c r="AF283" s="285"/>
      <c r="AG283" s="240"/>
      <c r="AH283" s="242"/>
      <c r="AI283" s="242"/>
      <c r="AJ283" s="245"/>
      <c r="AK283" s="240"/>
      <c r="AL283" s="249"/>
      <c r="AM283" s="240"/>
      <c r="AN283" s="249"/>
      <c r="AO283" s="252"/>
      <c r="AP283" s="249"/>
    </row>
    <row r="284" spans="1:42" ht="17.100000000000001" customHeight="1" outlineLevel="5" x14ac:dyDescent="0.25">
      <c r="A284" s="222"/>
      <c r="B284" s="219"/>
      <c r="C284" s="229"/>
      <c r="D284" s="232"/>
      <c r="E284" s="235"/>
      <c r="F284" s="16">
        <v>55</v>
      </c>
      <c r="G284" s="34"/>
      <c r="H284" s="39"/>
      <c r="I284" s="39"/>
      <c r="J284" s="39"/>
      <c r="K284" s="39"/>
      <c r="L284" s="39"/>
      <c r="M284" s="39"/>
      <c r="N284" s="39"/>
      <c r="O284" s="39"/>
      <c r="P284" s="35"/>
      <c r="Q284" s="18"/>
      <c r="R284" s="34"/>
      <c r="S284" s="39"/>
      <c r="T284" s="39"/>
      <c r="U284" s="39"/>
      <c r="V284" s="39"/>
      <c r="W284" s="39"/>
      <c r="X284" s="39"/>
      <c r="Y284" s="39"/>
      <c r="Z284" s="39"/>
      <c r="AA284" s="35"/>
      <c r="AB284" s="50" t="e">
        <f t="shared" si="12"/>
        <v>#DIV/0!</v>
      </c>
      <c r="AC284" s="51" t="e">
        <f t="shared" si="13"/>
        <v>#DIV/0!</v>
      </c>
      <c r="AD284" s="19"/>
      <c r="AE284" s="19"/>
      <c r="AF284" s="285" t="s">
        <v>128</v>
      </c>
      <c r="AG284" s="240" t="e" cm="1">
        <f t="array" ref="AG284">bdRateExtend($G282:$G285,H282:H285,$R282:$R285,S282:S285)</f>
        <v>#VALUE!</v>
      </c>
      <c r="AH284" s="242"/>
      <c r="AI284" s="242"/>
      <c r="AJ284" s="245"/>
      <c r="AK284" s="240" t="e" cm="1">
        <f t="array" ref="AK284">bdRateExtend($G282:$G285,K282:K285,$R282:$R285,V282:V285)</f>
        <v>#VALUE!</v>
      </c>
      <c r="AL284" s="249"/>
      <c r="AM284" s="240" t="e" cm="1">
        <f t="array" ref="AM284">bdRateExtend($G282:$G285,L282:L285,$R282:$R285,W282:W285)</f>
        <v>#VALUE!</v>
      </c>
      <c r="AN284" s="249"/>
      <c r="AO284" s="252" t="e" cm="1">
        <f t="array" ref="AO284">bdRateExtend($G282:$G285,M282:M285,$R282:$R285,X282:X285)</f>
        <v>#VALUE!</v>
      </c>
      <c r="AP284" s="249"/>
    </row>
    <row r="285" spans="1:42" ht="17.100000000000001" customHeight="1" outlineLevel="5" thickBot="1" x14ac:dyDescent="0.3">
      <c r="A285" s="222"/>
      <c r="B285" s="220"/>
      <c r="C285" s="230"/>
      <c r="D285" s="233"/>
      <c r="E285" s="236"/>
      <c r="F285" s="9">
        <v>63</v>
      </c>
      <c r="G285" s="36"/>
      <c r="H285" s="37"/>
      <c r="I285" s="37"/>
      <c r="J285" s="37"/>
      <c r="K285" s="37"/>
      <c r="L285" s="37"/>
      <c r="M285" s="37"/>
      <c r="N285" s="37"/>
      <c r="O285" s="37"/>
      <c r="P285" s="38"/>
      <c r="Q285" s="18"/>
      <c r="R285" s="36"/>
      <c r="S285" s="37"/>
      <c r="T285" s="37"/>
      <c r="U285" s="37"/>
      <c r="V285" s="37"/>
      <c r="W285" s="37"/>
      <c r="X285" s="37"/>
      <c r="Y285" s="37"/>
      <c r="Z285" s="37"/>
      <c r="AA285" s="38"/>
      <c r="AB285" s="52" t="e">
        <f t="shared" si="12"/>
        <v>#DIV/0!</v>
      </c>
      <c r="AC285" s="53" t="e">
        <f t="shared" si="13"/>
        <v>#DIV/0!</v>
      </c>
      <c r="AD285" s="19"/>
      <c r="AE285" s="19"/>
      <c r="AF285" s="286"/>
      <c r="AG285" s="247"/>
      <c r="AH285" s="243"/>
      <c r="AI285" s="243"/>
      <c r="AJ285" s="246"/>
      <c r="AK285" s="247"/>
      <c r="AL285" s="250"/>
      <c r="AM285" s="247"/>
      <c r="AN285" s="250"/>
      <c r="AO285" s="253"/>
      <c r="AP285" s="250"/>
    </row>
    <row r="286" spans="1:42" ht="17.100000000000001" customHeight="1" outlineLevel="5" x14ac:dyDescent="0.25">
      <c r="A286" s="222"/>
      <c r="B286" s="218" t="s">
        <v>93</v>
      </c>
      <c r="C286" s="228" t="s">
        <v>75</v>
      </c>
      <c r="D286" s="231">
        <v>25</v>
      </c>
      <c r="E286" s="234">
        <v>8</v>
      </c>
      <c r="F286" s="7">
        <v>23</v>
      </c>
      <c r="G286" s="31"/>
      <c r="H286" s="32"/>
      <c r="I286" s="32"/>
      <c r="J286" s="32"/>
      <c r="K286" s="32"/>
      <c r="L286" s="32"/>
      <c r="M286" s="32"/>
      <c r="N286" s="32"/>
      <c r="O286" s="32"/>
      <c r="P286" s="33"/>
      <c r="Q286" s="18"/>
      <c r="R286" s="31"/>
      <c r="S286" s="32"/>
      <c r="T286" s="32"/>
      <c r="U286" s="32"/>
      <c r="V286" s="32"/>
      <c r="W286" s="32"/>
      <c r="X286" s="32"/>
      <c r="Y286" s="32"/>
      <c r="Z286" s="32"/>
      <c r="AA286" s="33"/>
      <c r="AB286" s="48" t="e">
        <f t="shared" si="12"/>
        <v>#DIV/0!</v>
      </c>
      <c r="AC286" s="49" t="e">
        <f t="shared" si="13"/>
        <v>#DIV/0!</v>
      </c>
      <c r="AD286" s="19"/>
      <c r="AE286" s="19"/>
      <c r="AF286" s="284" t="s">
        <v>126</v>
      </c>
      <c r="AG286" s="239" t="e" cm="1">
        <f t="array" ref="AG286">bdRateExtend($G286:$G289,H286:H289,$R286:$R289,S286:S289)</f>
        <v>#VALUE!</v>
      </c>
      <c r="AH286" s="241" t="e" cm="1">
        <f t="array" ref="AH286">bdRateExtend($G286:$G291,H286:H291,$R286:$R291,S286:S291)</f>
        <v>#VALUE!</v>
      </c>
      <c r="AI286" s="241" t="e" cm="1">
        <f t="array" ref="AI286">bdRateExtend($G286:$G291,I286:I291,$R286:$R291,T286:T291)</f>
        <v>#VALUE!</v>
      </c>
      <c r="AJ286" s="244" t="e" cm="1">
        <f t="array" ref="AJ286">bdRateExtend($G286:$G291,J286:J291,$R286:$R291,U286:U291)</f>
        <v>#VALUE!</v>
      </c>
      <c r="AK286" s="239" t="e" cm="1">
        <f t="array" ref="AK286">bdRateExtend($G286:$G289,K286:K289,$R286:$R289,V286:V289)</f>
        <v>#VALUE!</v>
      </c>
      <c r="AL286" s="248" t="e" cm="1">
        <f t="array" ref="AL286">bdRateExtend($G286:$G291,K286:K291,$R286:$R291,V286:V291)</f>
        <v>#VALUE!</v>
      </c>
      <c r="AM286" s="239" t="e" cm="1">
        <f t="array" ref="AM286">bdRateExtend($G286:$G289,L286:L289,$R286:$R289,W286:W289)</f>
        <v>#VALUE!</v>
      </c>
      <c r="AN286" s="248" t="e" cm="1">
        <f t="array" ref="AN286">bdRateExtend($G286:$G291,L286:L291,$R286:$R291,W286:W291)</f>
        <v>#VALUE!</v>
      </c>
      <c r="AO286" s="254" t="e" cm="1">
        <f t="array" ref="AO286">bdRateExtend($G286:$G289,M286:M289,$R286:$R289,X286:X289)</f>
        <v>#VALUE!</v>
      </c>
      <c r="AP286" s="248" t="e" cm="1">
        <f t="array" ref="AP286">bdRateExtend($G286:$G291,M286:M291,$R286:$R291,X286:X291)</f>
        <v>#VALUE!</v>
      </c>
    </row>
    <row r="287" spans="1:42" ht="17.100000000000001" customHeight="1" outlineLevel="5" x14ac:dyDescent="0.25">
      <c r="A287" s="222"/>
      <c r="B287" s="219"/>
      <c r="C287" s="229"/>
      <c r="D287" s="232"/>
      <c r="E287" s="235"/>
      <c r="F287" s="16">
        <v>31</v>
      </c>
      <c r="G287" s="34"/>
      <c r="H287" s="39"/>
      <c r="I287" s="39"/>
      <c r="J287" s="39"/>
      <c r="K287" s="39"/>
      <c r="L287" s="39"/>
      <c r="M287" s="39"/>
      <c r="N287" s="39"/>
      <c r="O287" s="39"/>
      <c r="P287" s="35"/>
      <c r="Q287" s="18"/>
      <c r="R287" s="34"/>
      <c r="S287" s="39"/>
      <c r="T287" s="39"/>
      <c r="U287" s="39"/>
      <c r="V287" s="39"/>
      <c r="W287" s="39"/>
      <c r="X287" s="39"/>
      <c r="Y287" s="39"/>
      <c r="Z287" s="39"/>
      <c r="AA287" s="35"/>
      <c r="AB287" s="50" t="e">
        <f t="shared" si="12"/>
        <v>#DIV/0!</v>
      </c>
      <c r="AC287" s="51" t="e">
        <f t="shared" si="13"/>
        <v>#DIV/0!</v>
      </c>
      <c r="AD287" s="19"/>
      <c r="AE287" s="19"/>
      <c r="AF287" s="285"/>
      <c r="AG287" s="240"/>
      <c r="AH287" s="242"/>
      <c r="AI287" s="242"/>
      <c r="AJ287" s="245"/>
      <c r="AK287" s="240"/>
      <c r="AL287" s="249"/>
      <c r="AM287" s="240"/>
      <c r="AN287" s="249"/>
      <c r="AO287" s="252"/>
      <c r="AP287" s="249"/>
    </row>
    <row r="288" spans="1:42" ht="17.100000000000001" customHeight="1" outlineLevel="5" x14ac:dyDescent="0.25">
      <c r="A288" s="222"/>
      <c r="B288" s="219"/>
      <c r="C288" s="229"/>
      <c r="D288" s="232"/>
      <c r="E288" s="235"/>
      <c r="F288" s="16">
        <v>39</v>
      </c>
      <c r="G288" s="34"/>
      <c r="H288" s="39"/>
      <c r="I288" s="39"/>
      <c r="J288" s="39"/>
      <c r="K288" s="39"/>
      <c r="L288" s="39"/>
      <c r="M288" s="39"/>
      <c r="N288" s="39"/>
      <c r="O288" s="39"/>
      <c r="P288" s="35"/>
      <c r="Q288" s="18"/>
      <c r="R288" s="34"/>
      <c r="S288" s="39"/>
      <c r="T288" s="39"/>
      <c r="U288" s="39"/>
      <c r="V288" s="39"/>
      <c r="W288" s="39"/>
      <c r="X288" s="39"/>
      <c r="Y288" s="39"/>
      <c r="Z288" s="39"/>
      <c r="AA288" s="35"/>
      <c r="AB288" s="50" t="e">
        <f t="shared" si="12"/>
        <v>#DIV/0!</v>
      </c>
      <c r="AC288" s="51" t="e">
        <f t="shared" si="13"/>
        <v>#DIV/0!</v>
      </c>
      <c r="AD288" s="19"/>
      <c r="AE288" s="19"/>
      <c r="AF288" s="285" t="s">
        <v>127</v>
      </c>
      <c r="AG288" s="240" t="e" cm="1">
        <f t="array" ref="AG288">bdRateExtend($G287:$G290,H287:H290,$R287:$R290,S287:S290)</f>
        <v>#VALUE!</v>
      </c>
      <c r="AH288" s="242"/>
      <c r="AI288" s="242"/>
      <c r="AJ288" s="245"/>
      <c r="AK288" s="240" t="e" cm="1">
        <f t="array" ref="AK288">bdRateExtend($G287:$G290,K287:K290,$R287:$R290,V287:V290)</f>
        <v>#VALUE!</v>
      </c>
      <c r="AL288" s="249"/>
      <c r="AM288" s="240" t="e" cm="1">
        <f t="array" ref="AM288">bdRateExtend($G287:$G290,L287:L290,$R287:$R290,W287:W290)</f>
        <v>#VALUE!</v>
      </c>
      <c r="AN288" s="249"/>
      <c r="AO288" s="252" t="e" cm="1">
        <f t="array" ref="AO288">bdRateExtend($G287:$G290,M287:M290,$R287:$R290,X287:X290)</f>
        <v>#VALUE!</v>
      </c>
      <c r="AP288" s="249"/>
    </row>
    <row r="289" spans="1:42" ht="17.100000000000001" customHeight="1" outlineLevel="5" x14ac:dyDescent="0.25">
      <c r="A289" s="222"/>
      <c r="B289" s="219"/>
      <c r="C289" s="229"/>
      <c r="D289" s="232"/>
      <c r="E289" s="235"/>
      <c r="F289" s="16">
        <v>47</v>
      </c>
      <c r="G289" s="34"/>
      <c r="H289" s="39"/>
      <c r="I289" s="39"/>
      <c r="J289" s="39"/>
      <c r="K289" s="39"/>
      <c r="L289" s="39"/>
      <c r="M289" s="39"/>
      <c r="N289" s="39"/>
      <c r="O289" s="39"/>
      <c r="P289" s="35"/>
      <c r="Q289" s="18"/>
      <c r="R289" s="34"/>
      <c r="S289" s="39"/>
      <c r="T289" s="39"/>
      <c r="U289" s="39"/>
      <c r="V289" s="39"/>
      <c r="W289" s="39"/>
      <c r="X289" s="39"/>
      <c r="Y289" s="39"/>
      <c r="Z289" s="39"/>
      <c r="AA289" s="35"/>
      <c r="AB289" s="50" t="e">
        <f t="shared" si="12"/>
        <v>#DIV/0!</v>
      </c>
      <c r="AC289" s="51" t="e">
        <f t="shared" si="13"/>
        <v>#DIV/0!</v>
      </c>
      <c r="AD289" s="19"/>
      <c r="AE289" s="19"/>
      <c r="AF289" s="285"/>
      <c r="AG289" s="240"/>
      <c r="AH289" s="242"/>
      <c r="AI289" s="242"/>
      <c r="AJ289" s="245"/>
      <c r="AK289" s="240"/>
      <c r="AL289" s="249"/>
      <c r="AM289" s="240"/>
      <c r="AN289" s="249"/>
      <c r="AO289" s="252"/>
      <c r="AP289" s="249"/>
    </row>
    <row r="290" spans="1:42" ht="17.100000000000001" customHeight="1" outlineLevel="5" x14ac:dyDescent="0.25">
      <c r="A290" s="222"/>
      <c r="B290" s="219"/>
      <c r="C290" s="229"/>
      <c r="D290" s="232"/>
      <c r="E290" s="235"/>
      <c r="F290" s="16">
        <v>55</v>
      </c>
      <c r="G290" s="34"/>
      <c r="H290" s="39"/>
      <c r="I290" s="39"/>
      <c r="J290" s="39"/>
      <c r="K290" s="39"/>
      <c r="L290" s="39"/>
      <c r="M290" s="39"/>
      <c r="N290" s="39"/>
      <c r="O290" s="39"/>
      <c r="P290" s="35"/>
      <c r="Q290" s="18"/>
      <c r="R290" s="34"/>
      <c r="S290" s="39"/>
      <c r="T290" s="39"/>
      <c r="U290" s="39"/>
      <c r="V290" s="39"/>
      <c r="W290" s="39"/>
      <c r="X290" s="39"/>
      <c r="Y290" s="39"/>
      <c r="Z290" s="39"/>
      <c r="AA290" s="35"/>
      <c r="AB290" s="50" t="e">
        <f t="shared" si="12"/>
        <v>#DIV/0!</v>
      </c>
      <c r="AC290" s="51" t="e">
        <f t="shared" si="13"/>
        <v>#DIV/0!</v>
      </c>
      <c r="AD290" s="19"/>
      <c r="AE290" s="19"/>
      <c r="AF290" s="285" t="s">
        <v>128</v>
      </c>
      <c r="AG290" s="240" t="e" cm="1">
        <f t="array" ref="AG290">bdRateExtend($G288:$G291,H288:H291,$R288:$R291,S288:S291)</f>
        <v>#VALUE!</v>
      </c>
      <c r="AH290" s="242"/>
      <c r="AI290" s="242"/>
      <c r="AJ290" s="245"/>
      <c r="AK290" s="240" t="e" cm="1">
        <f t="array" ref="AK290">bdRateExtend($G288:$G291,K288:K291,$R288:$R291,V288:V291)</f>
        <v>#VALUE!</v>
      </c>
      <c r="AL290" s="249"/>
      <c r="AM290" s="240" t="e" cm="1">
        <f t="array" ref="AM290">bdRateExtend($G288:$G291,L288:L291,$R288:$R291,W288:W291)</f>
        <v>#VALUE!</v>
      </c>
      <c r="AN290" s="249"/>
      <c r="AO290" s="252" t="e" cm="1">
        <f t="array" ref="AO290">bdRateExtend($G288:$G291,M288:M291,$R288:$R291,X288:X291)</f>
        <v>#VALUE!</v>
      </c>
      <c r="AP290" s="249"/>
    </row>
    <row r="291" spans="1:42" ht="17.100000000000001" customHeight="1" outlineLevel="5" thickBot="1" x14ac:dyDescent="0.3">
      <c r="A291" s="222"/>
      <c r="B291" s="220"/>
      <c r="C291" s="230"/>
      <c r="D291" s="233"/>
      <c r="E291" s="236"/>
      <c r="F291" s="9">
        <v>63</v>
      </c>
      <c r="G291" s="36"/>
      <c r="H291" s="37"/>
      <c r="I291" s="37"/>
      <c r="J291" s="37"/>
      <c r="K291" s="37"/>
      <c r="L291" s="37"/>
      <c r="M291" s="37"/>
      <c r="N291" s="37"/>
      <c r="O291" s="37"/>
      <c r="P291" s="38"/>
      <c r="Q291" s="18"/>
      <c r="R291" s="36"/>
      <c r="S291" s="37"/>
      <c r="T291" s="37"/>
      <c r="U291" s="37"/>
      <c r="V291" s="37"/>
      <c r="W291" s="37"/>
      <c r="X291" s="37"/>
      <c r="Y291" s="37"/>
      <c r="Z291" s="37"/>
      <c r="AA291" s="38"/>
      <c r="AB291" s="52" t="e">
        <f t="shared" si="12"/>
        <v>#DIV/0!</v>
      </c>
      <c r="AC291" s="53" t="e">
        <f t="shared" si="13"/>
        <v>#DIV/0!</v>
      </c>
      <c r="AD291" s="19"/>
      <c r="AE291" s="19"/>
      <c r="AF291" s="286"/>
      <c r="AG291" s="247"/>
      <c r="AH291" s="243"/>
      <c r="AI291" s="243"/>
      <c r="AJ291" s="246"/>
      <c r="AK291" s="247"/>
      <c r="AL291" s="250"/>
      <c r="AM291" s="247"/>
      <c r="AN291" s="250"/>
      <c r="AO291" s="253"/>
      <c r="AP291" s="250"/>
    </row>
    <row r="292" spans="1:42" ht="17.100000000000001" customHeight="1" outlineLevel="5" x14ac:dyDescent="0.25">
      <c r="A292" s="222"/>
      <c r="B292" s="218" t="s">
        <v>2</v>
      </c>
      <c r="C292" s="228" t="s">
        <v>76</v>
      </c>
      <c r="D292" s="231">
        <v>60</v>
      </c>
      <c r="E292" s="234" t="s">
        <v>23</v>
      </c>
      <c r="F292" s="7">
        <v>23</v>
      </c>
      <c r="G292" s="31"/>
      <c r="H292" s="32"/>
      <c r="I292" s="32"/>
      <c r="J292" s="32"/>
      <c r="K292" s="32"/>
      <c r="L292" s="32"/>
      <c r="M292" s="32"/>
      <c r="N292" s="32"/>
      <c r="O292" s="32"/>
      <c r="P292" s="33"/>
      <c r="Q292" s="18"/>
      <c r="R292" s="31"/>
      <c r="S292" s="32"/>
      <c r="T292" s="32"/>
      <c r="U292" s="32"/>
      <c r="V292" s="32"/>
      <c r="W292" s="32"/>
      <c r="X292" s="32"/>
      <c r="Y292" s="32"/>
      <c r="Z292" s="32"/>
      <c r="AA292" s="33"/>
      <c r="AB292" s="48" t="e">
        <f t="shared" si="12"/>
        <v>#DIV/0!</v>
      </c>
      <c r="AC292" s="49" t="e">
        <f t="shared" si="13"/>
        <v>#DIV/0!</v>
      </c>
      <c r="AD292" s="19"/>
      <c r="AE292" s="19"/>
      <c r="AF292" s="284" t="s">
        <v>126</v>
      </c>
      <c r="AG292" s="239" t="e" cm="1">
        <f t="array" ref="AG292">bdRateExtend($G292:$G295,H292:H295,$R292:$R295,S292:S295)</f>
        <v>#VALUE!</v>
      </c>
      <c r="AH292" s="241" t="e" cm="1">
        <f t="array" ref="AH292">bdRateExtend($G292:$G297,H292:H297,$R292:$R297,S292:S297)</f>
        <v>#VALUE!</v>
      </c>
      <c r="AI292" s="241" t="e" cm="1">
        <f t="array" ref="AI292">bdRateExtend($G292:$G297,I292:I297,$R292:$R297,T292:T297)</f>
        <v>#VALUE!</v>
      </c>
      <c r="AJ292" s="244" t="e" cm="1">
        <f t="array" ref="AJ292">bdRateExtend($G292:$G297,J292:J297,$R292:$R297,U292:U297)</f>
        <v>#VALUE!</v>
      </c>
      <c r="AK292" s="239" t="e" cm="1">
        <f t="array" ref="AK292">bdRateExtend($G292:$G295,K292:K295,$R292:$R295,V292:V295)</f>
        <v>#VALUE!</v>
      </c>
      <c r="AL292" s="248" t="e" cm="1">
        <f t="array" ref="AL292">bdRateExtend($G292:$G297,K292:K297,$R292:$R297,V292:V297)</f>
        <v>#VALUE!</v>
      </c>
      <c r="AM292" s="239" t="e" cm="1">
        <f t="array" ref="AM292">bdRateExtend($G292:$G295,L292:L295,$R292:$R295,W292:W295)</f>
        <v>#VALUE!</v>
      </c>
      <c r="AN292" s="248" t="e" cm="1">
        <f t="array" ref="AN292">bdRateExtend($G292:$G297,L292:L297,$R292:$R297,W292:W297)</f>
        <v>#VALUE!</v>
      </c>
      <c r="AO292" s="254" t="e" cm="1">
        <f t="array" ref="AO292">bdRateExtend($G292:$G295,M292:M295,$R292:$R295,X292:X295)</f>
        <v>#VALUE!</v>
      </c>
      <c r="AP292" s="248" t="e" cm="1">
        <f t="array" ref="AP292">bdRateExtend($G292:$G297,M292:M297,$R292:$R297,X292:X297)</f>
        <v>#VALUE!</v>
      </c>
    </row>
    <row r="293" spans="1:42" ht="17.100000000000001" customHeight="1" outlineLevel="5" x14ac:dyDescent="0.25">
      <c r="A293" s="222"/>
      <c r="B293" s="219"/>
      <c r="C293" s="229"/>
      <c r="D293" s="232"/>
      <c r="E293" s="235"/>
      <c r="F293" s="16">
        <v>31</v>
      </c>
      <c r="G293" s="34"/>
      <c r="H293" s="39"/>
      <c r="I293" s="39"/>
      <c r="J293" s="39"/>
      <c r="K293" s="39"/>
      <c r="L293" s="39"/>
      <c r="M293" s="39"/>
      <c r="N293" s="39"/>
      <c r="O293" s="39"/>
      <c r="P293" s="35"/>
      <c r="Q293" s="18"/>
      <c r="R293" s="34"/>
      <c r="S293" s="39"/>
      <c r="T293" s="39"/>
      <c r="U293" s="39"/>
      <c r="V293" s="39"/>
      <c r="W293" s="39"/>
      <c r="X293" s="39"/>
      <c r="Y293" s="39"/>
      <c r="Z293" s="39"/>
      <c r="AA293" s="35"/>
      <c r="AB293" s="50" t="e">
        <f t="shared" si="12"/>
        <v>#DIV/0!</v>
      </c>
      <c r="AC293" s="51" t="e">
        <f t="shared" si="13"/>
        <v>#DIV/0!</v>
      </c>
      <c r="AD293" s="19"/>
      <c r="AE293" s="19"/>
      <c r="AF293" s="285"/>
      <c r="AG293" s="240"/>
      <c r="AH293" s="242"/>
      <c r="AI293" s="242"/>
      <c r="AJ293" s="245"/>
      <c r="AK293" s="240"/>
      <c r="AL293" s="249"/>
      <c r="AM293" s="240"/>
      <c r="AN293" s="249"/>
      <c r="AO293" s="252"/>
      <c r="AP293" s="249"/>
    </row>
    <row r="294" spans="1:42" ht="17.100000000000001" customHeight="1" outlineLevel="5" x14ac:dyDescent="0.25">
      <c r="A294" s="222"/>
      <c r="B294" s="219"/>
      <c r="C294" s="229"/>
      <c r="D294" s="232"/>
      <c r="E294" s="235"/>
      <c r="F294" s="16">
        <v>39</v>
      </c>
      <c r="G294" s="34"/>
      <c r="H294" s="39"/>
      <c r="I294" s="39"/>
      <c r="J294" s="39"/>
      <c r="K294" s="39"/>
      <c r="L294" s="39"/>
      <c r="M294" s="39"/>
      <c r="N294" s="39"/>
      <c r="O294" s="39"/>
      <c r="P294" s="35"/>
      <c r="Q294" s="18"/>
      <c r="R294" s="34"/>
      <c r="S294" s="39"/>
      <c r="T294" s="39"/>
      <c r="U294" s="39"/>
      <c r="V294" s="39"/>
      <c r="W294" s="39"/>
      <c r="X294" s="39"/>
      <c r="Y294" s="39"/>
      <c r="Z294" s="39"/>
      <c r="AA294" s="35"/>
      <c r="AB294" s="50" t="e">
        <f t="shared" ref="AB294:AB357" si="14">Y294/N294</f>
        <v>#DIV/0!</v>
      </c>
      <c r="AC294" s="51" t="e">
        <f t="shared" ref="AC294:AC357" si="15">Z294/O294</f>
        <v>#DIV/0!</v>
      </c>
      <c r="AD294" s="19"/>
      <c r="AE294" s="19"/>
      <c r="AF294" s="285" t="s">
        <v>127</v>
      </c>
      <c r="AG294" s="240" t="e" cm="1">
        <f t="array" ref="AG294">bdRateExtend($G293:$G296,H293:H296,$R293:$R296,S293:S296)</f>
        <v>#VALUE!</v>
      </c>
      <c r="AH294" s="242"/>
      <c r="AI294" s="242"/>
      <c r="AJ294" s="245"/>
      <c r="AK294" s="240" t="e" cm="1">
        <f t="array" ref="AK294">bdRateExtend($G293:$G296,K293:K296,$R293:$R296,V293:V296)</f>
        <v>#VALUE!</v>
      </c>
      <c r="AL294" s="249"/>
      <c r="AM294" s="240" t="e" cm="1">
        <f t="array" ref="AM294">bdRateExtend($G293:$G296,L293:L296,$R293:$R296,W293:W296)</f>
        <v>#VALUE!</v>
      </c>
      <c r="AN294" s="249"/>
      <c r="AO294" s="252" t="e" cm="1">
        <f t="array" ref="AO294">bdRateExtend($G293:$G296,M293:M296,$R293:$R296,X293:X296)</f>
        <v>#VALUE!</v>
      </c>
      <c r="AP294" s="249"/>
    </row>
    <row r="295" spans="1:42" ht="17.100000000000001" customHeight="1" outlineLevel="5" x14ac:dyDescent="0.25">
      <c r="A295" s="222"/>
      <c r="B295" s="219"/>
      <c r="C295" s="229"/>
      <c r="D295" s="232"/>
      <c r="E295" s="235"/>
      <c r="F295" s="16">
        <v>47</v>
      </c>
      <c r="G295" s="34"/>
      <c r="H295" s="39"/>
      <c r="I295" s="39"/>
      <c r="J295" s="39"/>
      <c r="K295" s="39"/>
      <c r="L295" s="39"/>
      <c r="M295" s="39"/>
      <c r="N295" s="39"/>
      <c r="O295" s="39"/>
      <c r="P295" s="35"/>
      <c r="Q295" s="18"/>
      <c r="R295" s="34"/>
      <c r="S295" s="39"/>
      <c r="T295" s="39"/>
      <c r="U295" s="39"/>
      <c r="V295" s="39"/>
      <c r="W295" s="39"/>
      <c r="X295" s="39"/>
      <c r="Y295" s="39"/>
      <c r="Z295" s="39"/>
      <c r="AA295" s="35"/>
      <c r="AB295" s="50" t="e">
        <f t="shared" si="14"/>
        <v>#DIV/0!</v>
      </c>
      <c r="AC295" s="51" t="e">
        <f t="shared" si="15"/>
        <v>#DIV/0!</v>
      </c>
      <c r="AD295" s="19"/>
      <c r="AE295" s="19"/>
      <c r="AF295" s="285"/>
      <c r="AG295" s="240"/>
      <c r="AH295" s="242"/>
      <c r="AI295" s="242"/>
      <c r="AJ295" s="245"/>
      <c r="AK295" s="240"/>
      <c r="AL295" s="249"/>
      <c r="AM295" s="240"/>
      <c r="AN295" s="249"/>
      <c r="AO295" s="252"/>
      <c r="AP295" s="249"/>
    </row>
    <row r="296" spans="1:42" ht="17.100000000000001" customHeight="1" outlineLevel="5" x14ac:dyDescent="0.25">
      <c r="A296" s="222"/>
      <c r="B296" s="219"/>
      <c r="C296" s="229"/>
      <c r="D296" s="232"/>
      <c r="E296" s="235"/>
      <c r="F296" s="16">
        <v>55</v>
      </c>
      <c r="G296" s="34"/>
      <c r="H296" s="39"/>
      <c r="I296" s="39"/>
      <c r="J296" s="39"/>
      <c r="K296" s="39"/>
      <c r="L296" s="39"/>
      <c r="M296" s="39"/>
      <c r="N296" s="39"/>
      <c r="O296" s="39"/>
      <c r="P296" s="35"/>
      <c r="Q296" s="18"/>
      <c r="R296" s="34"/>
      <c r="S296" s="39"/>
      <c r="T296" s="39"/>
      <c r="U296" s="39"/>
      <c r="V296" s="39"/>
      <c r="W296" s="39"/>
      <c r="X296" s="39"/>
      <c r="Y296" s="39"/>
      <c r="Z296" s="39"/>
      <c r="AA296" s="35"/>
      <c r="AB296" s="50" t="e">
        <f t="shared" si="14"/>
        <v>#DIV/0!</v>
      </c>
      <c r="AC296" s="51" t="e">
        <f t="shared" si="15"/>
        <v>#DIV/0!</v>
      </c>
      <c r="AD296" s="19"/>
      <c r="AE296" s="19"/>
      <c r="AF296" s="285" t="s">
        <v>128</v>
      </c>
      <c r="AG296" s="240" t="e" cm="1">
        <f t="array" ref="AG296">bdRateExtend($G294:$G297,H294:H297,$R294:$R297,S294:S297)</f>
        <v>#VALUE!</v>
      </c>
      <c r="AH296" s="242"/>
      <c r="AI296" s="242"/>
      <c r="AJ296" s="245"/>
      <c r="AK296" s="240" t="e" cm="1">
        <f t="array" ref="AK296">bdRateExtend($G294:$G297,K294:K297,$R294:$R297,V294:V297)</f>
        <v>#VALUE!</v>
      </c>
      <c r="AL296" s="249"/>
      <c r="AM296" s="240" t="e" cm="1">
        <f t="array" ref="AM296">bdRateExtend($G294:$G297,L294:L297,$R294:$R297,W294:W297)</f>
        <v>#VALUE!</v>
      </c>
      <c r="AN296" s="249"/>
      <c r="AO296" s="252" t="e" cm="1">
        <f t="array" ref="AO296">bdRateExtend($G294:$G297,M294:M297,$R294:$R297,X294:X297)</f>
        <v>#VALUE!</v>
      </c>
      <c r="AP296" s="249"/>
    </row>
    <row r="297" spans="1:42" ht="17.100000000000001" customHeight="1" outlineLevel="5" thickBot="1" x14ac:dyDescent="0.3">
      <c r="A297" s="222"/>
      <c r="B297" s="220"/>
      <c r="C297" s="230"/>
      <c r="D297" s="233"/>
      <c r="E297" s="236"/>
      <c r="F297" s="9">
        <v>63</v>
      </c>
      <c r="G297" s="36"/>
      <c r="H297" s="37"/>
      <c r="I297" s="37"/>
      <c r="J297" s="37"/>
      <c r="K297" s="37"/>
      <c r="L297" s="37"/>
      <c r="M297" s="37"/>
      <c r="N297" s="37"/>
      <c r="O297" s="37"/>
      <c r="P297" s="38"/>
      <c r="Q297" s="18"/>
      <c r="R297" s="36"/>
      <c r="S297" s="37"/>
      <c r="T297" s="37"/>
      <c r="U297" s="37"/>
      <c r="V297" s="37"/>
      <c r="W297" s="37"/>
      <c r="X297" s="37"/>
      <c r="Y297" s="37"/>
      <c r="Z297" s="37"/>
      <c r="AA297" s="38"/>
      <c r="AB297" s="52" t="e">
        <f t="shared" si="14"/>
        <v>#DIV/0!</v>
      </c>
      <c r="AC297" s="53" t="e">
        <f t="shared" si="15"/>
        <v>#DIV/0!</v>
      </c>
      <c r="AD297" s="19"/>
      <c r="AE297" s="19"/>
      <c r="AF297" s="286"/>
      <c r="AG297" s="247"/>
      <c r="AH297" s="243"/>
      <c r="AI297" s="243"/>
      <c r="AJ297" s="246"/>
      <c r="AK297" s="247"/>
      <c r="AL297" s="250"/>
      <c r="AM297" s="247"/>
      <c r="AN297" s="250"/>
      <c r="AO297" s="253"/>
      <c r="AP297" s="250"/>
    </row>
    <row r="298" spans="1:42" ht="17.100000000000001" customHeight="1" outlineLevel="5" x14ac:dyDescent="0.25">
      <c r="A298" s="222"/>
      <c r="B298" s="218" t="s">
        <v>2</v>
      </c>
      <c r="C298" s="228" t="s">
        <v>77</v>
      </c>
      <c r="D298" s="231">
        <v>24</v>
      </c>
      <c r="E298" s="234">
        <v>10</v>
      </c>
      <c r="F298" s="7">
        <v>23</v>
      </c>
      <c r="G298" s="31"/>
      <c r="H298" s="32"/>
      <c r="I298" s="32"/>
      <c r="J298" s="32"/>
      <c r="K298" s="32"/>
      <c r="L298" s="32"/>
      <c r="M298" s="32"/>
      <c r="N298" s="32"/>
      <c r="O298" s="32"/>
      <c r="P298" s="33"/>
      <c r="Q298" s="18"/>
      <c r="R298" s="31"/>
      <c r="S298" s="32"/>
      <c r="T298" s="32"/>
      <c r="U298" s="32"/>
      <c r="V298" s="32"/>
      <c r="W298" s="32"/>
      <c r="X298" s="32"/>
      <c r="Y298" s="32"/>
      <c r="Z298" s="32"/>
      <c r="AA298" s="33"/>
      <c r="AB298" s="48" t="e">
        <f t="shared" si="14"/>
        <v>#DIV/0!</v>
      </c>
      <c r="AC298" s="49" t="e">
        <f t="shared" si="15"/>
        <v>#DIV/0!</v>
      </c>
      <c r="AD298" s="19"/>
      <c r="AE298" s="19"/>
      <c r="AF298" s="284" t="s">
        <v>126</v>
      </c>
      <c r="AG298" s="239" t="e" cm="1">
        <f t="array" ref="AG298">bdRateExtend($G298:$G301,H298:H301,$R298:$R301,S298:S301)</f>
        <v>#VALUE!</v>
      </c>
      <c r="AH298" s="241" t="e" cm="1">
        <f t="array" ref="AH298">bdRateExtend($G298:$G303,H298:H303,$R298:$R303,S298:S303)</f>
        <v>#VALUE!</v>
      </c>
      <c r="AI298" s="241" t="e" cm="1">
        <f t="array" ref="AI298">bdRateExtend($G298:$G303,I298:I303,$R298:$R303,T298:T303)</f>
        <v>#VALUE!</v>
      </c>
      <c r="AJ298" s="244" t="e" cm="1">
        <f t="array" ref="AJ298">bdRateExtend($G298:$G303,J298:J303,$R298:$R303,U298:U303)</f>
        <v>#VALUE!</v>
      </c>
      <c r="AK298" s="239" t="e" cm="1">
        <f t="array" ref="AK298">bdRateExtend($G298:$G301,K298:K301,$R298:$R301,V298:V301)</f>
        <v>#VALUE!</v>
      </c>
      <c r="AL298" s="248" t="e" cm="1">
        <f t="array" ref="AL298">bdRateExtend($G298:$G303,K298:K303,$R298:$R303,V298:V303)</f>
        <v>#VALUE!</v>
      </c>
      <c r="AM298" s="239" t="e" cm="1">
        <f t="array" ref="AM298">bdRateExtend($G298:$G301,L298:L301,$R298:$R301,W298:W301)</f>
        <v>#VALUE!</v>
      </c>
      <c r="AN298" s="248" t="e" cm="1">
        <f t="array" ref="AN298">bdRateExtend($G298:$G303,L298:L303,$R298:$R303,W298:W303)</f>
        <v>#VALUE!</v>
      </c>
      <c r="AO298" s="254" t="e" cm="1">
        <f t="array" ref="AO298">bdRateExtend($G298:$G301,M298:M301,$R298:$R301,X298:X301)</f>
        <v>#VALUE!</v>
      </c>
      <c r="AP298" s="248" t="e" cm="1">
        <f t="array" ref="AP298">bdRateExtend($G298:$G303,M298:M303,$R298:$R303,X298:X303)</f>
        <v>#VALUE!</v>
      </c>
    </row>
    <row r="299" spans="1:42" ht="17.100000000000001" customHeight="1" outlineLevel="5" x14ac:dyDescent="0.25">
      <c r="A299" s="222"/>
      <c r="B299" s="219"/>
      <c r="C299" s="229"/>
      <c r="D299" s="232"/>
      <c r="E299" s="235"/>
      <c r="F299" s="16">
        <v>31</v>
      </c>
      <c r="G299" s="34"/>
      <c r="H299" s="39"/>
      <c r="I299" s="39"/>
      <c r="J299" s="39"/>
      <c r="K299" s="39"/>
      <c r="L299" s="39"/>
      <c r="M299" s="39"/>
      <c r="N299" s="39"/>
      <c r="O299" s="39"/>
      <c r="P299" s="35"/>
      <c r="Q299" s="18"/>
      <c r="R299" s="34"/>
      <c r="S299" s="39"/>
      <c r="T299" s="39"/>
      <c r="U299" s="39"/>
      <c r="V299" s="39"/>
      <c r="W299" s="39"/>
      <c r="X299" s="39"/>
      <c r="Y299" s="39"/>
      <c r="Z299" s="39"/>
      <c r="AA299" s="35"/>
      <c r="AB299" s="50" t="e">
        <f t="shared" si="14"/>
        <v>#DIV/0!</v>
      </c>
      <c r="AC299" s="51" t="e">
        <f t="shared" si="15"/>
        <v>#DIV/0!</v>
      </c>
      <c r="AD299" s="19"/>
      <c r="AE299" s="19"/>
      <c r="AF299" s="285"/>
      <c r="AG299" s="240"/>
      <c r="AH299" s="242"/>
      <c r="AI299" s="242"/>
      <c r="AJ299" s="245"/>
      <c r="AK299" s="240"/>
      <c r="AL299" s="249"/>
      <c r="AM299" s="240"/>
      <c r="AN299" s="249"/>
      <c r="AO299" s="252"/>
      <c r="AP299" s="249"/>
    </row>
    <row r="300" spans="1:42" ht="17.100000000000001" customHeight="1" outlineLevel="5" x14ac:dyDescent="0.25">
      <c r="A300" s="222"/>
      <c r="B300" s="219"/>
      <c r="C300" s="229"/>
      <c r="D300" s="232"/>
      <c r="E300" s="235"/>
      <c r="F300" s="16">
        <v>39</v>
      </c>
      <c r="G300" s="34"/>
      <c r="H300" s="39"/>
      <c r="I300" s="39"/>
      <c r="J300" s="39"/>
      <c r="K300" s="39"/>
      <c r="L300" s="39"/>
      <c r="M300" s="39"/>
      <c r="N300" s="39"/>
      <c r="O300" s="39"/>
      <c r="P300" s="35"/>
      <c r="Q300" s="18"/>
      <c r="R300" s="34"/>
      <c r="S300" s="39"/>
      <c r="T300" s="39"/>
      <c r="U300" s="39"/>
      <c r="V300" s="39"/>
      <c r="W300" s="39"/>
      <c r="X300" s="39"/>
      <c r="Y300" s="39"/>
      <c r="Z300" s="39"/>
      <c r="AA300" s="35"/>
      <c r="AB300" s="50" t="e">
        <f t="shared" si="14"/>
        <v>#DIV/0!</v>
      </c>
      <c r="AC300" s="51" t="e">
        <f t="shared" si="15"/>
        <v>#DIV/0!</v>
      </c>
      <c r="AD300" s="19"/>
      <c r="AE300" s="19"/>
      <c r="AF300" s="285" t="s">
        <v>127</v>
      </c>
      <c r="AG300" s="240" t="e" cm="1">
        <f t="array" ref="AG300">bdRateExtend($G299:$G302,H299:H302,$R299:$R302,S299:S302)</f>
        <v>#VALUE!</v>
      </c>
      <c r="AH300" s="242"/>
      <c r="AI300" s="242"/>
      <c r="AJ300" s="245"/>
      <c r="AK300" s="240" t="e" cm="1">
        <f t="array" ref="AK300">bdRateExtend($G299:$G302,K299:K302,$R299:$R302,V299:V302)</f>
        <v>#VALUE!</v>
      </c>
      <c r="AL300" s="249"/>
      <c r="AM300" s="240" t="e" cm="1">
        <f t="array" ref="AM300">bdRateExtend($G299:$G302,L299:L302,$R299:$R302,W299:W302)</f>
        <v>#VALUE!</v>
      </c>
      <c r="AN300" s="249"/>
      <c r="AO300" s="252" t="e" cm="1">
        <f t="array" ref="AO300">bdRateExtend($G299:$G302,M299:M302,$R299:$R302,X299:X302)</f>
        <v>#VALUE!</v>
      </c>
      <c r="AP300" s="249"/>
    </row>
    <row r="301" spans="1:42" ht="17.100000000000001" customHeight="1" outlineLevel="5" x14ac:dyDescent="0.25">
      <c r="A301" s="222"/>
      <c r="B301" s="219"/>
      <c r="C301" s="229"/>
      <c r="D301" s="232"/>
      <c r="E301" s="235"/>
      <c r="F301" s="16">
        <v>47</v>
      </c>
      <c r="G301" s="34"/>
      <c r="H301" s="39"/>
      <c r="I301" s="39"/>
      <c r="J301" s="39"/>
      <c r="K301" s="39"/>
      <c r="L301" s="39"/>
      <c r="M301" s="39"/>
      <c r="N301" s="39"/>
      <c r="O301" s="39"/>
      <c r="P301" s="35"/>
      <c r="Q301" s="18"/>
      <c r="R301" s="34"/>
      <c r="S301" s="39"/>
      <c r="T301" s="39"/>
      <c r="U301" s="39"/>
      <c r="V301" s="39"/>
      <c r="W301" s="39"/>
      <c r="X301" s="39"/>
      <c r="Y301" s="39"/>
      <c r="Z301" s="39"/>
      <c r="AA301" s="35"/>
      <c r="AB301" s="50" t="e">
        <f t="shared" si="14"/>
        <v>#DIV/0!</v>
      </c>
      <c r="AC301" s="51" t="e">
        <f t="shared" si="15"/>
        <v>#DIV/0!</v>
      </c>
      <c r="AD301" s="19"/>
      <c r="AE301" s="19"/>
      <c r="AF301" s="285"/>
      <c r="AG301" s="240"/>
      <c r="AH301" s="242"/>
      <c r="AI301" s="242"/>
      <c r="AJ301" s="245"/>
      <c r="AK301" s="240"/>
      <c r="AL301" s="249"/>
      <c r="AM301" s="240"/>
      <c r="AN301" s="249"/>
      <c r="AO301" s="252"/>
      <c r="AP301" s="249"/>
    </row>
    <row r="302" spans="1:42" ht="17.100000000000001" customHeight="1" outlineLevel="5" x14ac:dyDescent="0.25">
      <c r="A302" s="222"/>
      <c r="B302" s="219"/>
      <c r="C302" s="229"/>
      <c r="D302" s="232"/>
      <c r="E302" s="235"/>
      <c r="F302" s="16">
        <v>55</v>
      </c>
      <c r="G302" s="34"/>
      <c r="H302" s="39"/>
      <c r="I302" s="39"/>
      <c r="J302" s="39"/>
      <c r="K302" s="39"/>
      <c r="L302" s="39"/>
      <c r="M302" s="39"/>
      <c r="N302" s="39"/>
      <c r="O302" s="39"/>
      <c r="P302" s="35"/>
      <c r="Q302" s="18"/>
      <c r="R302" s="34"/>
      <c r="S302" s="39"/>
      <c r="T302" s="39"/>
      <c r="U302" s="39"/>
      <c r="V302" s="39"/>
      <c r="W302" s="39"/>
      <c r="X302" s="39"/>
      <c r="Y302" s="39"/>
      <c r="Z302" s="39"/>
      <c r="AA302" s="35"/>
      <c r="AB302" s="50" t="e">
        <f t="shared" si="14"/>
        <v>#DIV/0!</v>
      </c>
      <c r="AC302" s="51" t="e">
        <f t="shared" si="15"/>
        <v>#DIV/0!</v>
      </c>
      <c r="AD302" s="19"/>
      <c r="AE302" s="19"/>
      <c r="AF302" s="285" t="s">
        <v>128</v>
      </c>
      <c r="AG302" s="240" t="e" cm="1">
        <f t="array" ref="AG302">bdRateExtend($G300:$G303,H300:H303,$R300:$R303,S300:S303)</f>
        <v>#VALUE!</v>
      </c>
      <c r="AH302" s="242"/>
      <c r="AI302" s="242"/>
      <c r="AJ302" s="245"/>
      <c r="AK302" s="240" t="e" cm="1">
        <f t="array" ref="AK302">bdRateExtend($G300:$G303,K300:K303,$R300:$R303,V300:V303)</f>
        <v>#VALUE!</v>
      </c>
      <c r="AL302" s="249"/>
      <c r="AM302" s="240" t="e" cm="1">
        <f t="array" ref="AM302">bdRateExtend($G300:$G303,L300:L303,$R300:$R303,W300:W303)</f>
        <v>#VALUE!</v>
      </c>
      <c r="AN302" s="249"/>
      <c r="AO302" s="252" t="e" cm="1">
        <f t="array" ref="AO302">bdRateExtend($G300:$G303,M300:M303,$R300:$R303,X300:X303)</f>
        <v>#VALUE!</v>
      </c>
      <c r="AP302" s="249"/>
    </row>
    <row r="303" spans="1:42" ht="17.100000000000001" customHeight="1" outlineLevel="5" thickBot="1" x14ac:dyDescent="0.3">
      <c r="A303" s="222"/>
      <c r="B303" s="220"/>
      <c r="C303" s="230"/>
      <c r="D303" s="233"/>
      <c r="E303" s="236"/>
      <c r="F303" s="9">
        <v>63</v>
      </c>
      <c r="G303" s="36"/>
      <c r="H303" s="37"/>
      <c r="I303" s="37"/>
      <c r="J303" s="37"/>
      <c r="K303" s="37"/>
      <c r="L303" s="37"/>
      <c r="M303" s="37"/>
      <c r="N303" s="37"/>
      <c r="O303" s="37"/>
      <c r="P303" s="38"/>
      <c r="Q303" s="18"/>
      <c r="R303" s="36"/>
      <c r="S303" s="37"/>
      <c r="T303" s="37"/>
      <c r="U303" s="37"/>
      <c r="V303" s="37"/>
      <c r="W303" s="37"/>
      <c r="X303" s="37"/>
      <c r="Y303" s="37"/>
      <c r="Z303" s="37"/>
      <c r="AA303" s="38"/>
      <c r="AB303" s="52" t="e">
        <f t="shared" si="14"/>
        <v>#DIV/0!</v>
      </c>
      <c r="AC303" s="53" t="e">
        <f t="shared" si="15"/>
        <v>#DIV/0!</v>
      </c>
      <c r="AD303" s="19"/>
      <c r="AE303" s="19"/>
      <c r="AF303" s="286"/>
      <c r="AG303" s="247"/>
      <c r="AH303" s="243"/>
      <c r="AI303" s="243"/>
      <c r="AJ303" s="246"/>
      <c r="AK303" s="247"/>
      <c r="AL303" s="250"/>
      <c r="AM303" s="247"/>
      <c r="AN303" s="250"/>
      <c r="AO303" s="253"/>
      <c r="AP303" s="250"/>
    </row>
    <row r="304" spans="1:42" ht="17.100000000000001" customHeight="1" outlineLevel="5" x14ac:dyDescent="0.25">
      <c r="A304" s="222"/>
      <c r="B304" s="218" t="s">
        <v>2</v>
      </c>
      <c r="C304" s="228" t="s">
        <v>78</v>
      </c>
      <c r="D304" s="231">
        <v>30</v>
      </c>
      <c r="E304" s="234" t="s">
        <v>23</v>
      </c>
      <c r="F304" s="7">
        <v>23</v>
      </c>
      <c r="G304" s="31"/>
      <c r="H304" s="32"/>
      <c r="I304" s="32"/>
      <c r="J304" s="32"/>
      <c r="K304" s="32"/>
      <c r="L304" s="32"/>
      <c r="M304" s="32"/>
      <c r="N304" s="32"/>
      <c r="O304" s="32"/>
      <c r="P304" s="33"/>
      <c r="Q304" s="18"/>
      <c r="R304" s="31"/>
      <c r="S304" s="32"/>
      <c r="T304" s="32"/>
      <c r="U304" s="32"/>
      <c r="V304" s="32"/>
      <c r="W304" s="32"/>
      <c r="X304" s="32"/>
      <c r="Y304" s="32"/>
      <c r="Z304" s="32"/>
      <c r="AA304" s="33"/>
      <c r="AB304" s="48" t="e">
        <f t="shared" si="14"/>
        <v>#DIV/0!</v>
      </c>
      <c r="AC304" s="49" t="e">
        <f t="shared" si="15"/>
        <v>#DIV/0!</v>
      </c>
      <c r="AD304" s="19"/>
      <c r="AE304" s="19"/>
      <c r="AF304" s="284" t="s">
        <v>126</v>
      </c>
      <c r="AG304" s="239" t="e" cm="1">
        <f t="array" ref="AG304">bdRateExtend($G304:$G307,H304:H307,$R304:$R307,S304:S307)</f>
        <v>#VALUE!</v>
      </c>
      <c r="AH304" s="241" t="e" cm="1">
        <f t="array" ref="AH304">bdRateExtend($G304:$G309,H304:H309,$R304:$R309,S304:S309)</f>
        <v>#VALUE!</v>
      </c>
      <c r="AI304" s="241" t="e" cm="1">
        <f t="array" ref="AI304">bdRateExtend($G304:$G309,I304:I309,$R304:$R309,T304:T309)</f>
        <v>#VALUE!</v>
      </c>
      <c r="AJ304" s="244" t="e" cm="1">
        <f t="array" ref="AJ304">bdRateExtend($G304:$G309,J304:J309,$R304:$R309,U304:U309)</f>
        <v>#VALUE!</v>
      </c>
      <c r="AK304" s="239" t="e" cm="1">
        <f t="array" ref="AK304">bdRateExtend($G304:$G307,K304:K307,$R304:$R307,V304:V307)</f>
        <v>#VALUE!</v>
      </c>
      <c r="AL304" s="248" t="e" cm="1">
        <f t="array" ref="AL304">bdRateExtend($G304:$G309,K304:K309,$R304:$R309,V304:V309)</f>
        <v>#VALUE!</v>
      </c>
      <c r="AM304" s="239" t="e" cm="1">
        <f t="array" ref="AM304">bdRateExtend($G304:$G307,L304:L307,$R304:$R307,W304:W307)</f>
        <v>#VALUE!</v>
      </c>
      <c r="AN304" s="248" t="e" cm="1">
        <f t="array" ref="AN304">bdRateExtend($G304:$G309,L304:L309,$R304:$R309,W304:W309)</f>
        <v>#VALUE!</v>
      </c>
      <c r="AO304" s="254" t="e" cm="1">
        <f t="array" ref="AO304">bdRateExtend($G304:$G307,M304:M307,$R304:$R307,X304:X307)</f>
        <v>#VALUE!</v>
      </c>
      <c r="AP304" s="248" t="e" cm="1">
        <f t="array" ref="AP304">bdRateExtend($G304:$G309,M304:M309,$R304:$R309,X304:X309)</f>
        <v>#VALUE!</v>
      </c>
    </row>
    <row r="305" spans="1:42" ht="17.100000000000001" customHeight="1" outlineLevel="5" x14ac:dyDescent="0.25">
      <c r="A305" s="222"/>
      <c r="B305" s="219"/>
      <c r="C305" s="229"/>
      <c r="D305" s="232"/>
      <c r="E305" s="235"/>
      <c r="F305" s="16">
        <v>31</v>
      </c>
      <c r="G305" s="34"/>
      <c r="H305" s="39"/>
      <c r="I305" s="39"/>
      <c r="J305" s="39"/>
      <c r="K305" s="39"/>
      <c r="L305" s="39"/>
      <c r="M305" s="39"/>
      <c r="N305" s="39"/>
      <c r="O305" s="39"/>
      <c r="P305" s="35"/>
      <c r="Q305" s="18"/>
      <c r="R305" s="34"/>
      <c r="S305" s="39"/>
      <c r="T305" s="39"/>
      <c r="U305" s="39"/>
      <c r="V305" s="39"/>
      <c r="W305" s="39"/>
      <c r="X305" s="39"/>
      <c r="Y305" s="39"/>
      <c r="Z305" s="39"/>
      <c r="AA305" s="35"/>
      <c r="AB305" s="50" t="e">
        <f t="shared" si="14"/>
        <v>#DIV/0!</v>
      </c>
      <c r="AC305" s="51" t="e">
        <f t="shared" si="15"/>
        <v>#DIV/0!</v>
      </c>
      <c r="AD305" s="19"/>
      <c r="AE305" s="19"/>
      <c r="AF305" s="285"/>
      <c r="AG305" s="240"/>
      <c r="AH305" s="242"/>
      <c r="AI305" s="242"/>
      <c r="AJ305" s="245"/>
      <c r="AK305" s="240"/>
      <c r="AL305" s="249"/>
      <c r="AM305" s="240"/>
      <c r="AN305" s="249"/>
      <c r="AO305" s="252"/>
      <c r="AP305" s="249"/>
    </row>
    <row r="306" spans="1:42" ht="17.100000000000001" customHeight="1" outlineLevel="5" x14ac:dyDescent="0.25">
      <c r="A306" s="222"/>
      <c r="B306" s="219"/>
      <c r="C306" s="229"/>
      <c r="D306" s="232"/>
      <c r="E306" s="235"/>
      <c r="F306" s="16">
        <v>39</v>
      </c>
      <c r="G306" s="34"/>
      <c r="H306" s="39"/>
      <c r="I306" s="39"/>
      <c r="J306" s="39"/>
      <c r="K306" s="39"/>
      <c r="L306" s="39"/>
      <c r="M306" s="39"/>
      <c r="N306" s="39"/>
      <c r="O306" s="39"/>
      <c r="P306" s="35"/>
      <c r="Q306" s="18"/>
      <c r="R306" s="34"/>
      <c r="S306" s="39"/>
      <c r="T306" s="39"/>
      <c r="U306" s="39"/>
      <c r="V306" s="39"/>
      <c r="W306" s="39"/>
      <c r="X306" s="39"/>
      <c r="Y306" s="39"/>
      <c r="Z306" s="39"/>
      <c r="AA306" s="35"/>
      <c r="AB306" s="50" t="e">
        <f t="shared" si="14"/>
        <v>#DIV/0!</v>
      </c>
      <c r="AC306" s="51" t="e">
        <f t="shared" si="15"/>
        <v>#DIV/0!</v>
      </c>
      <c r="AD306" s="19"/>
      <c r="AE306" s="19"/>
      <c r="AF306" s="285" t="s">
        <v>127</v>
      </c>
      <c r="AG306" s="240" t="e" cm="1">
        <f t="array" ref="AG306">bdRateExtend($G305:$G308,H305:H308,$R305:$R308,S305:S308)</f>
        <v>#VALUE!</v>
      </c>
      <c r="AH306" s="242"/>
      <c r="AI306" s="242"/>
      <c r="AJ306" s="245"/>
      <c r="AK306" s="240" t="e" cm="1">
        <f t="array" ref="AK306">bdRateExtend($G305:$G308,K305:K308,$R305:$R308,V305:V308)</f>
        <v>#VALUE!</v>
      </c>
      <c r="AL306" s="249"/>
      <c r="AM306" s="240" t="e" cm="1">
        <f t="array" ref="AM306">bdRateExtend($G305:$G308,L305:L308,$R305:$R308,W305:W308)</f>
        <v>#VALUE!</v>
      </c>
      <c r="AN306" s="249"/>
      <c r="AO306" s="252" t="e" cm="1">
        <f t="array" ref="AO306">bdRateExtend($G305:$G308,M305:M308,$R305:$R308,X305:X308)</f>
        <v>#VALUE!</v>
      </c>
      <c r="AP306" s="249"/>
    </row>
    <row r="307" spans="1:42" ht="17.100000000000001" customHeight="1" outlineLevel="5" x14ac:dyDescent="0.25">
      <c r="A307" s="222"/>
      <c r="B307" s="219"/>
      <c r="C307" s="229"/>
      <c r="D307" s="232"/>
      <c r="E307" s="235"/>
      <c r="F307" s="16">
        <v>47</v>
      </c>
      <c r="G307" s="34"/>
      <c r="H307" s="39"/>
      <c r="I307" s="39"/>
      <c r="J307" s="39"/>
      <c r="K307" s="39"/>
      <c r="L307" s="39"/>
      <c r="M307" s="39"/>
      <c r="N307" s="39"/>
      <c r="O307" s="39"/>
      <c r="P307" s="35"/>
      <c r="Q307" s="18"/>
      <c r="R307" s="34"/>
      <c r="S307" s="39"/>
      <c r="T307" s="39"/>
      <c r="U307" s="39"/>
      <c r="V307" s="39"/>
      <c r="W307" s="39"/>
      <c r="X307" s="39"/>
      <c r="Y307" s="39"/>
      <c r="Z307" s="39"/>
      <c r="AA307" s="35"/>
      <c r="AB307" s="50" t="e">
        <f t="shared" si="14"/>
        <v>#DIV/0!</v>
      </c>
      <c r="AC307" s="51" t="e">
        <f t="shared" si="15"/>
        <v>#DIV/0!</v>
      </c>
      <c r="AD307" s="19"/>
      <c r="AE307" s="19"/>
      <c r="AF307" s="285"/>
      <c r="AG307" s="240"/>
      <c r="AH307" s="242"/>
      <c r="AI307" s="242"/>
      <c r="AJ307" s="245"/>
      <c r="AK307" s="240"/>
      <c r="AL307" s="249"/>
      <c r="AM307" s="240"/>
      <c r="AN307" s="249"/>
      <c r="AO307" s="252"/>
      <c r="AP307" s="249"/>
    </row>
    <row r="308" spans="1:42" ht="17.100000000000001" customHeight="1" outlineLevel="5" x14ac:dyDescent="0.25">
      <c r="A308" s="222"/>
      <c r="B308" s="219"/>
      <c r="C308" s="229"/>
      <c r="D308" s="232"/>
      <c r="E308" s="235"/>
      <c r="F308" s="16">
        <v>55</v>
      </c>
      <c r="G308" s="34"/>
      <c r="H308" s="39"/>
      <c r="I308" s="39"/>
      <c r="J308" s="39"/>
      <c r="K308" s="39"/>
      <c r="L308" s="39"/>
      <c r="M308" s="39"/>
      <c r="N308" s="39"/>
      <c r="O308" s="39"/>
      <c r="P308" s="35"/>
      <c r="Q308" s="18"/>
      <c r="R308" s="34"/>
      <c r="S308" s="39"/>
      <c r="T308" s="39"/>
      <c r="U308" s="39"/>
      <c r="V308" s="39"/>
      <c r="W308" s="39"/>
      <c r="X308" s="39"/>
      <c r="Y308" s="39"/>
      <c r="Z308" s="39"/>
      <c r="AA308" s="35"/>
      <c r="AB308" s="50" t="e">
        <f t="shared" si="14"/>
        <v>#DIV/0!</v>
      </c>
      <c r="AC308" s="51" t="e">
        <f t="shared" si="15"/>
        <v>#DIV/0!</v>
      </c>
      <c r="AD308" s="19"/>
      <c r="AE308" s="19"/>
      <c r="AF308" s="285" t="s">
        <v>128</v>
      </c>
      <c r="AG308" s="240" t="e" cm="1">
        <f t="array" ref="AG308">bdRateExtend($G306:$G309,H306:H309,$R306:$R309,S306:S309)</f>
        <v>#VALUE!</v>
      </c>
      <c r="AH308" s="242"/>
      <c r="AI308" s="242"/>
      <c r="AJ308" s="245"/>
      <c r="AK308" s="240" t="e" cm="1">
        <f t="array" ref="AK308">bdRateExtend($G306:$G309,K306:K309,$R306:$R309,V306:V309)</f>
        <v>#VALUE!</v>
      </c>
      <c r="AL308" s="249"/>
      <c r="AM308" s="240" t="e" cm="1">
        <f t="array" ref="AM308">bdRateExtend($G306:$G309,L306:L309,$R306:$R309,W306:W309)</f>
        <v>#VALUE!</v>
      </c>
      <c r="AN308" s="249"/>
      <c r="AO308" s="252" t="e" cm="1">
        <f t="array" ref="AO308">bdRateExtend($G306:$G309,M306:M309,$R306:$R309,X306:X309)</f>
        <v>#VALUE!</v>
      </c>
      <c r="AP308" s="249"/>
    </row>
    <row r="309" spans="1:42" ht="17.100000000000001" customHeight="1" outlineLevel="5" thickBot="1" x14ac:dyDescent="0.3">
      <c r="A309" s="222"/>
      <c r="B309" s="220"/>
      <c r="C309" s="230"/>
      <c r="D309" s="233"/>
      <c r="E309" s="236"/>
      <c r="F309" s="9">
        <v>63</v>
      </c>
      <c r="G309" s="36"/>
      <c r="H309" s="37"/>
      <c r="I309" s="37"/>
      <c r="J309" s="37"/>
      <c r="K309" s="37"/>
      <c r="L309" s="37"/>
      <c r="M309" s="37"/>
      <c r="N309" s="37"/>
      <c r="O309" s="37"/>
      <c r="P309" s="38"/>
      <c r="Q309" s="18"/>
      <c r="R309" s="36"/>
      <c r="S309" s="37"/>
      <c r="T309" s="37"/>
      <c r="U309" s="37"/>
      <c r="V309" s="37"/>
      <c r="W309" s="37"/>
      <c r="X309" s="37"/>
      <c r="Y309" s="37"/>
      <c r="Z309" s="37"/>
      <c r="AA309" s="38"/>
      <c r="AB309" s="52" t="e">
        <f t="shared" si="14"/>
        <v>#DIV/0!</v>
      </c>
      <c r="AC309" s="53" t="e">
        <f t="shared" si="15"/>
        <v>#DIV/0!</v>
      </c>
      <c r="AD309" s="19"/>
      <c r="AE309" s="19"/>
      <c r="AF309" s="286"/>
      <c r="AG309" s="247"/>
      <c r="AH309" s="243"/>
      <c r="AI309" s="243"/>
      <c r="AJ309" s="246"/>
      <c r="AK309" s="247"/>
      <c r="AL309" s="250"/>
      <c r="AM309" s="247"/>
      <c r="AN309" s="250"/>
      <c r="AO309" s="253"/>
      <c r="AP309" s="250"/>
    </row>
    <row r="310" spans="1:42" ht="17.100000000000001" customHeight="1" outlineLevel="5" x14ac:dyDescent="0.25">
      <c r="A310" s="222"/>
      <c r="B310" s="218" t="s">
        <v>2</v>
      </c>
      <c r="C310" s="228" t="s">
        <v>27</v>
      </c>
      <c r="D310" s="231">
        <v>60</v>
      </c>
      <c r="E310" s="234">
        <v>8</v>
      </c>
      <c r="F310" s="7">
        <v>23</v>
      </c>
      <c r="G310" s="31"/>
      <c r="H310" s="32"/>
      <c r="I310" s="32"/>
      <c r="J310" s="32"/>
      <c r="K310" s="32"/>
      <c r="L310" s="32"/>
      <c r="M310" s="32"/>
      <c r="N310" s="32"/>
      <c r="O310" s="32"/>
      <c r="P310" s="33"/>
      <c r="Q310" s="18"/>
      <c r="R310" s="31"/>
      <c r="S310" s="32"/>
      <c r="T310" s="32"/>
      <c r="U310" s="32"/>
      <c r="V310" s="32"/>
      <c r="W310" s="32"/>
      <c r="X310" s="32"/>
      <c r="Y310" s="32"/>
      <c r="Z310" s="32"/>
      <c r="AA310" s="33"/>
      <c r="AB310" s="48" t="e">
        <f t="shared" si="14"/>
        <v>#DIV/0!</v>
      </c>
      <c r="AC310" s="49" t="e">
        <f t="shared" si="15"/>
        <v>#DIV/0!</v>
      </c>
      <c r="AD310" s="19"/>
      <c r="AE310" s="19"/>
      <c r="AF310" s="284" t="s">
        <v>126</v>
      </c>
      <c r="AG310" s="239" t="e" cm="1">
        <f t="array" ref="AG310">bdRateExtend($G310:$G313,H310:H313,$R310:$R313,S310:S313)</f>
        <v>#VALUE!</v>
      </c>
      <c r="AH310" s="241" t="e" cm="1">
        <f t="array" ref="AH310">bdRateExtend($G310:$G315,H310:H315,$R310:$R315,S310:S315)</f>
        <v>#VALUE!</v>
      </c>
      <c r="AI310" s="241" t="e" cm="1">
        <f t="array" ref="AI310">bdRateExtend($G310:$G315,I310:I315,$R310:$R315,T310:T315)</f>
        <v>#VALUE!</v>
      </c>
      <c r="AJ310" s="244" t="e" cm="1">
        <f t="array" ref="AJ310">bdRateExtend($G310:$G315,J310:J315,$R310:$R315,U310:U315)</f>
        <v>#VALUE!</v>
      </c>
      <c r="AK310" s="239" t="e" cm="1">
        <f t="array" ref="AK310">bdRateExtend($G310:$G313,K310:K313,$R310:$R313,V310:V313)</f>
        <v>#VALUE!</v>
      </c>
      <c r="AL310" s="248" t="e" cm="1">
        <f t="array" ref="AL310">bdRateExtend($G310:$G315,K310:K315,$R310:$R315,V310:V315)</f>
        <v>#VALUE!</v>
      </c>
      <c r="AM310" s="239" t="e" cm="1">
        <f t="array" ref="AM310">bdRateExtend($G310:$G313,L310:L313,$R310:$R313,W310:W313)</f>
        <v>#VALUE!</v>
      </c>
      <c r="AN310" s="248" t="e" cm="1">
        <f t="array" ref="AN310">bdRateExtend($G310:$G315,L310:L315,$R310:$R315,W310:W315)</f>
        <v>#VALUE!</v>
      </c>
      <c r="AO310" s="254" t="e" cm="1">
        <f t="array" ref="AO310">bdRateExtend($G310:$G313,M310:M313,$R310:$R313,X310:X313)</f>
        <v>#VALUE!</v>
      </c>
      <c r="AP310" s="248" t="e" cm="1">
        <f t="array" ref="AP310">bdRateExtend($G310:$G315,M310:M315,$R310:$R315,X310:X315)</f>
        <v>#VALUE!</v>
      </c>
    </row>
    <row r="311" spans="1:42" ht="17.100000000000001" customHeight="1" outlineLevel="5" x14ac:dyDescent="0.25">
      <c r="A311" s="222"/>
      <c r="B311" s="219"/>
      <c r="C311" s="229"/>
      <c r="D311" s="232"/>
      <c r="E311" s="235"/>
      <c r="F311" s="16">
        <v>31</v>
      </c>
      <c r="G311" s="34"/>
      <c r="H311" s="39"/>
      <c r="I311" s="39"/>
      <c r="J311" s="39"/>
      <c r="K311" s="39"/>
      <c r="L311" s="39"/>
      <c r="M311" s="39"/>
      <c r="N311" s="39"/>
      <c r="O311" s="39"/>
      <c r="P311" s="35"/>
      <c r="Q311" s="18"/>
      <c r="R311" s="34"/>
      <c r="S311" s="39"/>
      <c r="T311" s="39"/>
      <c r="U311" s="39"/>
      <c r="V311" s="39"/>
      <c r="W311" s="39"/>
      <c r="X311" s="39"/>
      <c r="Y311" s="39"/>
      <c r="Z311" s="39"/>
      <c r="AA311" s="35"/>
      <c r="AB311" s="50" t="e">
        <f t="shared" si="14"/>
        <v>#DIV/0!</v>
      </c>
      <c r="AC311" s="51" t="e">
        <f t="shared" si="15"/>
        <v>#DIV/0!</v>
      </c>
      <c r="AD311" s="19"/>
      <c r="AE311" s="19"/>
      <c r="AF311" s="285"/>
      <c r="AG311" s="240"/>
      <c r="AH311" s="242"/>
      <c r="AI311" s="242"/>
      <c r="AJ311" s="245"/>
      <c r="AK311" s="240"/>
      <c r="AL311" s="249"/>
      <c r="AM311" s="240"/>
      <c r="AN311" s="249"/>
      <c r="AO311" s="252"/>
      <c r="AP311" s="249"/>
    </row>
    <row r="312" spans="1:42" ht="17.100000000000001" customHeight="1" outlineLevel="5" x14ac:dyDescent="0.25">
      <c r="A312" s="222"/>
      <c r="B312" s="219"/>
      <c r="C312" s="229"/>
      <c r="D312" s="232"/>
      <c r="E312" s="235"/>
      <c r="F312" s="16">
        <v>39</v>
      </c>
      <c r="G312" s="34"/>
      <c r="H312" s="39"/>
      <c r="I312" s="39"/>
      <c r="J312" s="39"/>
      <c r="K312" s="39"/>
      <c r="L312" s="39"/>
      <c r="M312" s="39"/>
      <c r="N312" s="39"/>
      <c r="O312" s="39"/>
      <c r="P312" s="35"/>
      <c r="Q312" s="18"/>
      <c r="R312" s="34"/>
      <c r="S312" s="39"/>
      <c r="T312" s="39"/>
      <c r="U312" s="39"/>
      <c r="V312" s="39"/>
      <c r="W312" s="39"/>
      <c r="X312" s="39"/>
      <c r="Y312" s="39"/>
      <c r="Z312" s="39"/>
      <c r="AA312" s="35"/>
      <c r="AB312" s="50" t="e">
        <f t="shared" si="14"/>
        <v>#DIV/0!</v>
      </c>
      <c r="AC312" s="51" t="e">
        <f t="shared" si="15"/>
        <v>#DIV/0!</v>
      </c>
      <c r="AD312" s="19"/>
      <c r="AE312" s="19"/>
      <c r="AF312" s="285" t="s">
        <v>127</v>
      </c>
      <c r="AG312" s="240" t="e" cm="1">
        <f t="array" ref="AG312">bdRateExtend($G311:$G314,H311:H314,$R311:$R314,S311:S314)</f>
        <v>#VALUE!</v>
      </c>
      <c r="AH312" s="242"/>
      <c r="AI312" s="242"/>
      <c r="AJ312" s="245"/>
      <c r="AK312" s="240" t="e" cm="1">
        <f t="array" ref="AK312">bdRateExtend($G311:$G314,K311:K314,$R311:$R314,V311:V314)</f>
        <v>#VALUE!</v>
      </c>
      <c r="AL312" s="249"/>
      <c r="AM312" s="240" t="e" cm="1">
        <f t="array" ref="AM312">bdRateExtend($G311:$G314,L311:L314,$R311:$R314,W311:W314)</f>
        <v>#VALUE!</v>
      </c>
      <c r="AN312" s="249"/>
      <c r="AO312" s="252" t="e" cm="1">
        <f t="array" ref="AO312">bdRateExtend($G311:$G314,M311:M314,$R311:$R314,X311:X314)</f>
        <v>#VALUE!</v>
      </c>
      <c r="AP312" s="249"/>
    </row>
    <row r="313" spans="1:42" ht="17.100000000000001" customHeight="1" outlineLevel="5" x14ac:dyDescent="0.25">
      <c r="A313" s="222"/>
      <c r="B313" s="219"/>
      <c r="C313" s="229"/>
      <c r="D313" s="232"/>
      <c r="E313" s="235"/>
      <c r="F313" s="16">
        <v>47</v>
      </c>
      <c r="G313" s="34"/>
      <c r="H313" s="39"/>
      <c r="I313" s="39"/>
      <c r="J313" s="39"/>
      <c r="K313" s="39"/>
      <c r="L313" s="39"/>
      <c r="M313" s="39"/>
      <c r="N313" s="39"/>
      <c r="O313" s="39"/>
      <c r="P313" s="35"/>
      <c r="Q313" s="18"/>
      <c r="R313" s="34"/>
      <c r="S313" s="39"/>
      <c r="T313" s="39"/>
      <c r="U313" s="39"/>
      <c r="V313" s="39"/>
      <c r="W313" s="39"/>
      <c r="X313" s="39"/>
      <c r="Y313" s="39"/>
      <c r="Z313" s="39"/>
      <c r="AA313" s="35"/>
      <c r="AB313" s="50" t="e">
        <f t="shared" si="14"/>
        <v>#DIV/0!</v>
      </c>
      <c r="AC313" s="51" t="e">
        <f t="shared" si="15"/>
        <v>#DIV/0!</v>
      </c>
      <c r="AD313" s="19"/>
      <c r="AE313" s="19"/>
      <c r="AF313" s="285"/>
      <c r="AG313" s="240"/>
      <c r="AH313" s="242"/>
      <c r="AI313" s="242"/>
      <c r="AJ313" s="245"/>
      <c r="AK313" s="240"/>
      <c r="AL313" s="249"/>
      <c r="AM313" s="240"/>
      <c r="AN313" s="249"/>
      <c r="AO313" s="252"/>
      <c r="AP313" s="249"/>
    </row>
    <row r="314" spans="1:42" ht="17.100000000000001" customHeight="1" outlineLevel="5" x14ac:dyDescent="0.25">
      <c r="A314" s="222"/>
      <c r="B314" s="219"/>
      <c r="C314" s="229"/>
      <c r="D314" s="232"/>
      <c r="E314" s="235"/>
      <c r="F314" s="16">
        <v>55</v>
      </c>
      <c r="G314" s="34"/>
      <c r="H314" s="39"/>
      <c r="I314" s="39"/>
      <c r="J314" s="39"/>
      <c r="K314" s="39"/>
      <c r="L314" s="39"/>
      <c r="M314" s="39"/>
      <c r="N314" s="39"/>
      <c r="O314" s="39"/>
      <c r="P314" s="35"/>
      <c r="Q314" s="18"/>
      <c r="R314" s="34"/>
      <c r="S314" s="39"/>
      <c r="T314" s="39"/>
      <c r="U314" s="39"/>
      <c r="V314" s="39"/>
      <c r="W314" s="39"/>
      <c r="X314" s="39"/>
      <c r="Y314" s="39"/>
      <c r="Z314" s="39"/>
      <c r="AA314" s="35"/>
      <c r="AB314" s="50" t="e">
        <f t="shared" si="14"/>
        <v>#DIV/0!</v>
      </c>
      <c r="AC314" s="51" t="e">
        <f t="shared" si="15"/>
        <v>#DIV/0!</v>
      </c>
      <c r="AD314" s="19"/>
      <c r="AE314" s="19"/>
      <c r="AF314" s="285" t="s">
        <v>128</v>
      </c>
      <c r="AG314" s="240" t="e" cm="1">
        <f t="array" ref="AG314">bdRateExtend($G312:$G315,H312:H315,$R312:$R315,S312:S315)</f>
        <v>#VALUE!</v>
      </c>
      <c r="AH314" s="242"/>
      <c r="AI314" s="242"/>
      <c r="AJ314" s="245"/>
      <c r="AK314" s="240" t="e" cm="1">
        <f t="array" ref="AK314">bdRateExtend($G312:$G315,K312:K315,$R312:$R315,V312:V315)</f>
        <v>#VALUE!</v>
      </c>
      <c r="AL314" s="249"/>
      <c r="AM314" s="240" t="e" cm="1">
        <f t="array" ref="AM314">bdRateExtend($G312:$G315,L312:L315,$R312:$R315,W312:W315)</f>
        <v>#VALUE!</v>
      </c>
      <c r="AN314" s="249"/>
      <c r="AO314" s="252" t="e" cm="1">
        <f t="array" ref="AO314">bdRateExtend($G312:$G315,M312:M315,$R312:$R315,X312:X315)</f>
        <v>#VALUE!</v>
      </c>
      <c r="AP314" s="249"/>
    </row>
    <row r="315" spans="1:42" ht="17.100000000000001" customHeight="1" outlineLevel="5" thickBot="1" x14ac:dyDescent="0.3">
      <c r="A315" s="222"/>
      <c r="B315" s="220"/>
      <c r="C315" s="230"/>
      <c r="D315" s="233"/>
      <c r="E315" s="236"/>
      <c r="F315" s="9">
        <v>63</v>
      </c>
      <c r="G315" s="36"/>
      <c r="H315" s="37"/>
      <c r="I315" s="37"/>
      <c r="J315" s="37"/>
      <c r="K315" s="37"/>
      <c r="L315" s="37"/>
      <c r="M315" s="37"/>
      <c r="N315" s="37"/>
      <c r="O315" s="37"/>
      <c r="P315" s="38"/>
      <c r="Q315" s="18"/>
      <c r="R315" s="36"/>
      <c r="S315" s="37"/>
      <c r="T315" s="37"/>
      <c r="U315" s="37"/>
      <c r="V315" s="37"/>
      <c r="W315" s="37"/>
      <c r="X315" s="37"/>
      <c r="Y315" s="37"/>
      <c r="Z315" s="37"/>
      <c r="AA315" s="38"/>
      <c r="AB315" s="52" t="e">
        <f t="shared" si="14"/>
        <v>#DIV/0!</v>
      </c>
      <c r="AC315" s="53" t="e">
        <f t="shared" si="15"/>
        <v>#DIV/0!</v>
      </c>
      <c r="AD315" s="19"/>
      <c r="AE315" s="19"/>
      <c r="AF315" s="286"/>
      <c r="AG315" s="247"/>
      <c r="AH315" s="243"/>
      <c r="AI315" s="243"/>
      <c r="AJ315" s="246"/>
      <c r="AK315" s="247"/>
      <c r="AL315" s="250"/>
      <c r="AM315" s="247"/>
      <c r="AN315" s="250"/>
      <c r="AO315" s="253"/>
      <c r="AP315" s="250"/>
    </row>
    <row r="316" spans="1:42" ht="17.100000000000001" customHeight="1" outlineLevel="5" x14ac:dyDescent="0.25">
      <c r="A316" s="222"/>
      <c r="B316" s="218" t="s">
        <v>2</v>
      </c>
      <c r="C316" s="228" t="s">
        <v>28</v>
      </c>
      <c r="D316" s="231">
        <v>60</v>
      </c>
      <c r="E316" s="234">
        <v>8</v>
      </c>
      <c r="F316" s="7">
        <v>23</v>
      </c>
      <c r="G316" s="31"/>
      <c r="H316" s="32"/>
      <c r="I316" s="32"/>
      <c r="J316" s="32"/>
      <c r="K316" s="32"/>
      <c r="L316" s="32"/>
      <c r="M316" s="32"/>
      <c r="N316" s="32"/>
      <c r="O316" s="32"/>
      <c r="P316" s="33"/>
      <c r="Q316" s="18"/>
      <c r="R316" s="31"/>
      <c r="S316" s="32"/>
      <c r="T316" s="32"/>
      <c r="U316" s="32"/>
      <c r="V316" s="32"/>
      <c r="W316" s="32"/>
      <c r="X316" s="32"/>
      <c r="Y316" s="32"/>
      <c r="Z316" s="32"/>
      <c r="AA316" s="33"/>
      <c r="AB316" s="48" t="e">
        <f t="shared" si="14"/>
        <v>#DIV/0!</v>
      </c>
      <c r="AC316" s="49" t="e">
        <f t="shared" si="15"/>
        <v>#DIV/0!</v>
      </c>
      <c r="AD316" s="19"/>
      <c r="AE316" s="19"/>
      <c r="AF316" s="284" t="s">
        <v>126</v>
      </c>
      <c r="AG316" s="239" t="e" cm="1">
        <f t="array" ref="AG316">bdRateExtend($G316:$G319,H316:H319,$R316:$R319,S316:S319)</f>
        <v>#VALUE!</v>
      </c>
      <c r="AH316" s="241" t="e" cm="1">
        <f t="array" ref="AH316">bdRateExtend($G316:$G321,H316:H321,$R316:$R321,S316:S321)</f>
        <v>#VALUE!</v>
      </c>
      <c r="AI316" s="241" t="e" cm="1">
        <f t="array" ref="AI316">bdRateExtend($G316:$G321,I316:I321,$R316:$R321,T316:T321)</f>
        <v>#VALUE!</v>
      </c>
      <c r="AJ316" s="244" t="e" cm="1">
        <f t="array" ref="AJ316">bdRateExtend($G316:$G321,J316:J321,$R316:$R321,U316:U321)</f>
        <v>#VALUE!</v>
      </c>
      <c r="AK316" s="239" t="e" cm="1">
        <f t="array" ref="AK316">bdRateExtend($G316:$G319,K316:K319,$R316:$R319,V316:V319)</f>
        <v>#VALUE!</v>
      </c>
      <c r="AL316" s="248" t="e" cm="1">
        <f t="array" ref="AL316">bdRateExtend($G316:$G321,K316:K321,$R316:$R321,V316:V321)</f>
        <v>#VALUE!</v>
      </c>
      <c r="AM316" s="239" t="e" cm="1">
        <f t="array" ref="AM316">bdRateExtend($G316:$G319,L316:L319,$R316:$R319,W316:W319)</f>
        <v>#VALUE!</v>
      </c>
      <c r="AN316" s="248" t="e" cm="1">
        <f t="array" ref="AN316">bdRateExtend($G316:$G321,L316:L321,$R316:$R321,W316:W321)</f>
        <v>#VALUE!</v>
      </c>
      <c r="AO316" s="254" t="e" cm="1">
        <f t="array" ref="AO316">bdRateExtend($G316:$G319,M316:M319,$R316:$R319,X316:X319)</f>
        <v>#VALUE!</v>
      </c>
      <c r="AP316" s="248" t="e" cm="1">
        <f t="array" ref="AP316">bdRateExtend($G316:$G321,M316:M321,$R316:$R321,X316:X321)</f>
        <v>#VALUE!</v>
      </c>
    </row>
    <row r="317" spans="1:42" ht="17.100000000000001" customHeight="1" outlineLevel="5" x14ac:dyDescent="0.25">
      <c r="A317" s="222"/>
      <c r="B317" s="219"/>
      <c r="C317" s="229"/>
      <c r="D317" s="232"/>
      <c r="E317" s="235"/>
      <c r="F317" s="16">
        <v>31</v>
      </c>
      <c r="G317" s="34"/>
      <c r="H317" s="39"/>
      <c r="I317" s="39"/>
      <c r="J317" s="39"/>
      <c r="K317" s="39"/>
      <c r="L317" s="39"/>
      <c r="M317" s="39"/>
      <c r="N317" s="39"/>
      <c r="O317" s="39"/>
      <c r="P317" s="35"/>
      <c r="Q317" s="18"/>
      <c r="R317" s="34"/>
      <c r="S317" s="39"/>
      <c r="T317" s="39"/>
      <c r="U317" s="39"/>
      <c r="V317" s="39"/>
      <c r="W317" s="39"/>
      <c r="X317" s="39"/>
      <c r="Y317" s="39"/>
      <c r="Z317" s="39"/>
      <c r="AA317" s="35"/>
      <c r="AB317" s="50" t="e">
        <f t="shared" si="14"/>
        <v>#DIV/0!</v>
      </c>
      <c r="AC317" s="51" t="e">
        <f t="shared" si="15"/>
        <v>#DIV/0!</v>
      </c>
      <c r="AD317" s="19"/>
      <c r="AE317" s="19"/>
      <c r="AF317" s="285"/>
      <c r="AG317" s="240"/>
      <c r="AH317" s="242"/>
      <c r="AI317" s="242"/>
      <c r="AJ317" s="245"/>
      <c r="AK317" s="240"/>
      <c r="AL317" s="249"/>
      <c r="AM317" s="240"/>
      <c r="AN317" s="249"/>
      <c r="AO317" s="252"/>
      <c r="AP317" s="249"/>
    </row>
    <row r="318" spans="1:42" ht="17.100000000000001" customHeight="1" outlineLevel="5" x14ac:dyDescent="0.25">
      <c r="A318" s="222"/>
      <c r="B318" s="219"/>
      <c r="C318" s="229"/>
      <c r="D318" s="232"/>
      <c r="E318" s="235"/>
      <c r="F318" s="16">
        <v>39</v>
      </c>
      <c r="G318" s="34"/>
      <c r="H318" s="39"/>
      <c r="I318" s="39"/>
      <c r="J318" s="39"/>
      <c r="K318" s="39"/>
      <c r="L318" s="39"/>
      <c r="M318" s="39"/>
      <c r="N318" s="39"/>
      <c r="O318" s="39"/>
      <c r="P318" s="35"/>
      <c r="Q318" s="18"/>
      <c r="R318" s="34"/>
      <c r="S318" s="39"/>
      <c r="T318" s="39"/>
      <c r="U318" s="39"/>
      <c r="V318" s="39"/>
      <c r="W318" s="39"/>
      <c r="X318" s="39"/>
      <c r="Y318" s="39"/>
      <c r="Z318" s="39"/>
      <c r="AA318" s="35"/>
      <c r="AB318" s="50" t="e">
        <f t="shared" si="14"/>
        <v>#DIV/0!</v>
      </c>
      <c r="AC318" s="51" t="e">
        <f t="shared" si="15"/>
        <v>#DIV/0!</v>
      </c>
      <c r="AD318" s="19"/>
      <c r="AE318" s="19"/>
      <c r="AF318" s="285" t="s">
        <v>127</v>
      </c>
      <c r="AG318" s="240" t="e" cm="1">
        <f t="array" ref="AG318">bdRateExtend($G317:$G320,H317:H320,$R317:$R320,S317:S320)</f>
        <v>#VALUE!</v>
      </c>
      <c r="AH318" s="242"/>
      <c r="AI318" s="242"/>
      <c r="AJ318" s="245"/>
      <c r="AK318" s="240" t="e" cm="1">
        <f t="array" ref="AK318">bdRateExtend($G317:$G320,K317:K320,$R317:$R320,V317:V320)</f>
        <v>#VALUE!</v>
      </c>
      <c r="AL318" s="249"/>
      <c r="AM318" s="240" t="e" cm="1">
        <f t="array" ref="AM318">bdRateExtend($G317:$G320,L317:L320,$R317:$R320,W317:W320)</f>
        <v>#VALUE!</v>
      </c>
      <c r="AN318" s="249"/>
      <c r="AO318" s="252" t="e" cm="1">
        <f t="array" ref="AO318">bdRateExtend($G317:$G320,M317:M320,$R317:$R320,X317:X320)</f>
        <v>#VALUE!</v>
      </c>
      <c r="AP318" s="249"/>
    </row>
    <row r="319" spans="1:42" ht="17.100000000000001" customHeight="1" outlineLevel="5" x14ac:dyDescent="0.25">
      <c r="A319" s="222"/>
      <c r="B319" s="219"/>
      <c r="C319" s="229"/>
      <c r="D319" s="232"/>
      <c r="E319" s="235"/>
      <c r="F319" s="16">
        <v>47</v>
      </c>
      <c r="G319" s="34"/>
      <c r="H319" s="39"/>
      <c r="I319" s="39"/>
      <c r="J319" s="39"/>
      <c r="K319" s="39"/>
      <c r="L319" s="39"/>
      <c r="M319" s="39"/>
      <c r="N319" s="39"/>
      <c r="O319" s="39"/>
      <c r="P319" s="35"/>
      <c r="Q319" s="18"/>
      <c r="R319" s="34"/>
      <c r="S319" s="39"/>
      <c r="T319" s="39"/>
      <c r="U319" s="39"/>
      <c r="V319" s="39"/>
      <c r="W319" s="39"/>
      <c r="X319" s="39"/>
      <c r="Y319" s="39"/>
      <c r="Z319" s="39"/>
      <c r="AA319" s="35"/>
      <c r="AB319" s="50" t="e">
        <f t="shared" si="14"/>
        <v>#DIV/0!</v>
      </c>
      <c r="AC319" s="51" t="e">
        <f t="shared" si="15"/>
        <v>#DIV/0!</v>
      </c>
      <c r="AD319" s="19"/>
      <c r="AE319" s="19"/>
      <c r="AF319" s="285"/>
      <c r="AG319" s="240"/>
      <c r="AH319" s="242"/>
      <c r="AI319" s="242"/>
      <c r="AJ319" s="245"/>
      <c r="AK319" s="240"/>
      <c r="AL319" s="249"/>
      <c r="AM319" s="240"/>
      <c r="AN319" s="249"/>
      <c r="AO319" s="252"/>
      <c r="AP319" s="249"/>
    </row>
    <row r="320" spans="1:42" ht="17.100000000000001" customHeight="1" outlineLevel="5" x14ac:dyDescent="0.25">
      <c r="A320" s="222"/>
      <c r="B320" s="219"/>
      <c r="C320" s="229"/>
      <c r="D320" s="232"/>
      <c r="E320" s="235"/>
      <c r="F320" s="16">
        <v>55</v>
      </c>
      <c r="G320" s="34"/>
      <c r="H320" s="39"/>
      <c r="I320" s="39"/>
      <c r="J320" s="39"/>
      <c r="K320" s="39"/>
      <c r="L320" s="39"/>
      <c r="M320" s="39"/>
      <c r="N320" s="39"/>
      <c r="O320" s="39"/>
      <c r="P320" s="35"/>
      <c r="Q320" s="18"/>
      <c r="R320" s="34"/>
      <c r="S320" s="39"/>
      <c r="T320" s="39"/>
      <c r="U320" s="39"/>
      <c r="V320" s="39"/>
      <c r="W320" s="39"/>
      <c r="X320" s="39"/>
      <c r="Y320" s="39"/>
      <c r="Z320" s="39"/>
      <c r="AA320" s="35"/>
      <c r="AB320" s="50" t="e">
        <f t="shared" si="14"/>
        <v>#DIV/0!</v>
      </c>
      <c r="AC320" s="51" t="e">
        <f t="shared" si="15"/>
        <v>#DIV/0!</v>
      </c>
      <c r="AD320" s="19"/>
      <c r="AE320" s="19"/>
      <c r="AF320" s="285" t="s">
        <v>128</v>
      </c>
      <c r="AG320" s="240" t="e" cm="1">
        <f t="array" ref="AG320">bdRateExtend($G318:$G321,H318:H321,$R318:$R321,S318:S321)</f>
        <v>#VALUE!</v>
      </c>
      <c r="AH320" s="242"/>
      <c r="AI320" s="242"/>
      <c r="AJ320" s="245"/>
      <c r="AK320" s="240" t="e" cm="1">
        <f t="array" ref="AK320">bdRateExtend($G318:$G321,K318:K321,$R318:$R321,V318:V321)</f>
        <v>#VALUE!</v>
      </c>
      <c r="AL320" s="249"/>
      <c r="AM320" s="240" t="e" cm="1">
        <f t="array" ref="AM320">bdRateExtend($G318:$G321,L318:L321,$R318:$R321,W318:W321)</f>
        <v>#VALUE!</v>
      </c>
      <c r="AN320" s="249"/>
      <c r="AO320" s="252" t="e" cm="1">
        <f t="array" ref="AO320">bdRateExtend($G318:$G321,M318:M321,$R318:$R321,X318:X321)</f>
        <v>#VALUE!</v>
      </c>
      <c r="AP320" s="249"/>
    </row>
    <row r="321" spans="1:42" ht="17.100000000000001" customHeight="1" outlineLevel="5" thickBot="1" x14ac:dyDescent="0.3">
      <c r="A321" s="222"/>
      <c r="B321" s="220"/>
      <c r="C321" s="230"/>
      <c r="D321" s="233"/>
      <c r="E321" s="236"/>
      <c r="F321" s="9">
        <v>63</v>
      </c>
      <c r="G321" s="36"/>
      <c r="H321" s="37"/>
      <c r="I321" s="37"/>
      <c r="J321" s="37"/>
      <c r="K321" s="37"/>
      <c r="L321" s="37"/>
      <c r="M321" s="37"/>
      <c r="N321" s="37"/>
      <c r="O321" s="37"/>
      <c r="P321" s="38"/>
      <c r="Q321" s="18"/>
      <c r="R321" s="36"/>
      <c r="S321" s="37"/>
      <c r="T321" s="37"/>
      <c r="U321" s="37"/>
      <c r="V321" s="37"/>
      <c r="W321" s="37"/>
      <c r="X321" s="37"/>
      <c r="Y321" s="37"/>
      <c r="Z321" s="37"/>
      <c r="AA321" s="38"/>
      <c r="AB321" s="52" t="e">
        <f t="shared" si="14"/>
        <v>#DIV/0!</v>
      </c>
      <c r="AC321" s="53" t="e">
        <f t="shared" si="15"/>
        <v>#DIV/0!</v>
      </c>
      <c r="AD321" s="19"/>
      <c r="AE321" s="19"/>
      <c r="AF321" s="286"/>
      <c r="AG321" s="247"/>
      <c r="AH321" s="243"/>
      <c r="AI321" s="243"/>
      <c r="AJ321" s="246"/>
      <c r="AK321" s="247"/>
      <c r="AL321" s="250"/>
      <c r="AM321" s="247"/>
      <c r="AN321" s="250"/>
      <c r="AO321" s="253"/>
      <c r="AP321" s="250"/>
    </row>
    <row r="322" spans="1:42" ht="17.100000000000001" customHeight="1" outlineLevel="5" x14ac:dyDescent="0.25">
      <c r="A322" s="222"/>
      <c r="B322" s="218" t="s">
        <v>2</v>
      </c>
      <c r="C322" s="228" t="s">
        <v>79</v>
      </c>
      <c r="D322" s="231">
        <v>24</v>
      </c>
      <c r="E322" s="234">
        <v>10</v>
      </c>
      <c r="F322" s="7">
        <v>23</v>
      </c>
      <c r="G322" s="31"/>
      <c r="H322" s="32"/>
      <c r="I322" s="32"/>
      <c r="J322" s="32"/>
      <c r="K322" s="32"/>
      <c r="L322" s="32"/>
      <c r="M322" s="32"/>
      <c r="N322" s="32"/>
      <c r="O322" s="32"/>
      <c r="P322" s="33"/>
      <c r="Q322" s="18"/>
      <c r="R322" s="31"/>
      <c r="S322" s="32"/>
      <c r="T322" s="32"/>
      <c r="U322" s="32"/>
      <c r="V322" s="32"/>
      <c r="W322" s="32"/>
      <c r="X322" s="32"/>
      <c r="Y322" s="32"/>
      <c r="Z322" s="32"/>
      <c r="AA322" s="33"/>
      <c r="AB322" s="48" t="e">
        <f t="shared" si="14"/>
        <v>#DIV/0!</v>
      </c>
      <c r="AC322" s="49" t="e">
        <f t="shared" si="15"/>
        <v>#DIV/0!</v>
      </c>
      <c r="AD322" s="19"/>
      <c r="AE322" s="19"/>
      <c r="AF322" s="284" t="s">
        <v>126</v>
      </c>
      <c r="AG322" s="239" t="e" cm="1">
        <f t="array" ref="AG322">bdRateExtend($G322:$G325,H322:H325,$R322:$R325,S322:S325)</f>
        <v>#VALUE!</v>
      </c>
      <c r="AH322" s="241" t="e" cm="1">
        <f t="array" ref="AH322">bdRateExtend($G322:$G327,H322:H327,$R322:$R327,S322:S327)</f>
        <v>#VALUE!</v>
      </c>
      <c r="AI322" s="241" t="e" cm="1">
        <f t="array" ref="AI322">bdRateExtend($G322:$G327,I322:I327,$R322:$R327,T322:T327)</f>
        <v>#VALUE!</v>
      </c>
      <c r="AJ322" s="244" t="e" cm="1">
        <f t="array" ref="AJ322">bdRateExtend($G322:$G327,J322:J327,$R322:$R327,U322:U327)</f>
        <v>#VALUE!</v>
      </c>
      <c r="AK322" s="239" t="e" cm="1">
        <f t="array" ref="AK322">bdRateExtend($G322:$G325,K322:K325,$R322:$R325,V322:V325)</f>
        <v>#VALUE!</v>
      </c>
      <c r="AL322" s="248" t="e" cm="1">
        <f t="array" ref="AL322">bdRateExtend($G322:$G327,K322:K327,$R322:$R327,V322:V327)</f>
        <v>#VALUE!</v>
      </c>
      <c r="AM322" s="239" t="e" cm="1">
        <f t="array" ref="AM322">bdRateExtend($G322:$G325,L322:L325,$R322:$R325,W322:W325)</f>
        <v>#VALUE!</v>
      </c>
      <c r="AN322" s="248" t="e" cm="1">
        <f t="array" ref="AN322">bdRateExtend($G322:$G327,L322:L327,$R322:$R327,W322:W327)</f>
        <v>#VALUE!</v>
      </c>
      <c r="AO322" s="254" t="e" cm="1">
        <f t="array" ref="AO322">bdRateExtend($G322:$G325,M322:M325,$R322:$R325,X322:X325)</f>
        <v>#VALUE!</v>
      </c>
      <c r="AP322" s="248" t="e" cm="1">
        <f t="array" ref="AP322">bdRateExtend($G322:$G327,M322:M327,$R322:$R327,X322:X327)</f>
        <v>#VALUE!</v>
      </c>
    </row>
    <row r="323" spans="1:42" ht="17.100000000000001" customHeight="1" outlineLevel="5" x14ac:dyDescent="0.25">
      <c r="A323" s="222"/>
      <c r="B323" s="219"/>
      <c r="C323" s="229"/>
      <c r="D323" s="232"/>
      <c r="E323" s="235"/>
      <c r="F323" s="16">
        <v>31</v>
      </c>
      <c r="G323" s="34"/>
      <c r="H323" s="39"/>
      <c r="I323" s="39"/>
      <c r="J323" s="39"/>
      <c r="K323" s="39"/>
      <c r="L323" s="39"/>
      <c r="M323" s="39"/>
      <c r="N323" s="39"/>
      <c r="O323" s="39"/>
      <c r="P323" s="35"/>
      <c r="Q323" s="18"/>
      <c r="R323" s="34"/>
      <c r="S323" s="39"/>
      <c r="T323" s="39"/>
      <c r="U323" s="39"/>
      <c r="V323" s="39"/>
      <c r="W323" s="39"/>
      <c r="X323" s="39"/>
      <c r="Y323" s="39"/>
      <c r="Z323" s="39"/>
      <c r="AA323" s="35"/>
      <c r="AB323" s="50" t="e">
        <f t="shared" si="14"/>
        <v>#DIV/0!</v>
      </c>
      <c r="AC323" s="51" t="e">
        <f t="shared" si="15"/>
        <v>#DIV/0!</v>
      </c>
      <c r="AD323" s="19"/>
      <c r="AE323" s="19"/>
      <c r="AF323" s="285"/>
      <c r="AG323" s="240"/>
      <c r="AH323" s="242"/>
      <c r="AI323" s="242"/>
      <c r="AJ323" s="245"/>
      <c r="AK323" s="240"/>
      <c r="AL323" s="249"/>
      <c r="AM323" s="240"/>
      <c r="AN323" s="249"/>
      <c r="AO323" s="252"/>
      <c r="AP323" s="249"/>
    </row>
    <row r="324" spans="1:42" ht="17.100000000000001" customHeight="1" outlineLevel="5" x14ac:dyDescent="0.25">
      <c r="A324" s="222"/>
      <c r="B324" s="219"/>
      <c r="C324" s="229"/>
      <c r="D324" s="232"/>
      <c r="E324" s="235"/>
      <c r="F324" s="16">
        <v>39</v>
      </c>
      <c r="G324" s="34"/>
      <c r="H324" s="39"/>
      <c r="I324" s="39"/>
      <c r="J324" s="39"/>
      <c r="K324" s="39"/>
      <c r="L324" s="39"/>
      <c r="M324" s="39"/>
      <c r="N324" s="39"/>
      <c r="O324" s="39"/>
      <c r="P324" s="35"/>
      <c r="Q324" s="18"/>
      <c r="R324" s="34"/>
      <c r="S324" s="39"/>
      <c r="T324" s="39"/>
      <c r="U324" s="39"/>
      <c r="V324" s="39"/>
      <c r="W324" s="39"/>
      <c r="X324" s="39"/>
      <c r="Y324" s="39"/>
      <c r="Z324" s="39"/>
      <c r="AA324" s="35"/>
      <c r="AB324" s="50" t="e">
        <f t="shared" si="14"/>
        <v>#DIV/0!</v>
      </c>
      <c r="AC324" s="51" t="e">
        <f t="shared" si="15"/>
        <v>#DIV/0!</v>
      </c>
      <c r="AD324" s="19"/>
      <c r="AE324" s="19"/>
      <c r="AF324" s="285" t="s">
        <v>127</v>
      </c>
      <c r="AG324" s="240" t="e" cm="1">
        <f t="array" ref="AG324">bdRateExtend($G323:$G326,H323:H326,$R323:$R326,S323:S326)</f>
        <v>#VALUE!</v>
      </c>
      <c r="AH324" s="242"/>
      <c r="AI324" s="242"/>
      <c r="AJ324" s="245"/>
      <c r="AK324" s="240" t="e" cm="1">
        <f t="array" ref="AK324">bdRateExtend($G323:$G326,K323:K326,$R323:$R326,V323:V326)</f>
        <v>#VALUE!</v>
      </c>
      <c r="AL324" s="249"/>
      <c r="AM324" s="240" t="e" cm="1">
        <f t="array" ref="AM324">bdRateExtend($G323:$G326,L323:L326,$R323:$R326,W323:W326)</f>
        <v>#VALUE!</v>
      </c>
      <c r="AN324" s="249"/>
      <c r="AO324" s="252" t="e" cm="1">
        <f t="array" ref="AO324">bdRateExtend($G323:$G326,M323:M326,$R323:$R326,X323:X326)</f>
        <v>#VALUE!</v>
      </c>
      <c r="AP324" s="249"/>
    </row>
    <row r="325" spans="1:42" ht="17.100000000000001" customHeight="1" outlineLevel="5" x14ac:dyDescent="0.25">
      <c r="A325" s="222"/>
      <c r="B325" s="219"/>
      <c r="C325" s="229"/>
      <c r="D325" s="232"/>
      <c r="E325" s="235"/>
      <c r="F325" s="16">
        <v>47</v>
      </c>
      <c r="G325" s="34"/>
      <c r="H325" s="39"/>
      <c r="I325" s="39"/>
      <c r="J325" s="39"/>
      <c r="K325" s="39"/>
      <c r="L325" s="39"/>
      <c r="M325" s="39"/>
      <c r="N325" s="39"/>
      <c r="O325" s="39"/>
      <c r="P325" s="35"/>
      <c r="Q325" s="18"/>
      <c r="R325" s="34"/>
      <c r="S325" s="39"/>
      <c r="T325" s="39"/>
      <c r="U325" s="39"/>
      <c r="V325" s="39"/>
      <c r="W325" s="39"/>
      <c r="X325" s="39"/>
      <c r="Y325" s="39"/>
      <c r="Z325" s="39"/>
      <c r="AA325" s="35"/>
      <c r="AB325" s="50" t="e">
        <f t="shared" si="14"/>
        <v>#DIV/0!</v>
      </c>
      <c r="AC325" s="51" t="e">
        <f t="shared" si="15"/>
        <v>#DIV/0!</v>
      </c>
      <c r="AD325" s="19"/>
      <c r="AE325" s="19"/>
      <c r="AF325" s="285"/>
      <c r="AG325" s="240"/>
      <c r="AH325" s="242"/>
      <c r="AI325" s="242"/>
      <c r="AJ325" s="245"/>
      <c r="AK325" s="240"/>
      <c r="AL325" s="249"/>
      <c r="AM325" s="240"/>
      <c r="AN325" s="249"/>
      <c r="AO325" s="252"/>
      <c r="AP325" s="249"/>
    </row>
    <row r="326" spans="1:42" ht="17.100000000000001" customHeight="1" outlineLevel="5" x14ac:dyDescent="0.25">
      <c r="A326" s="222"/>
      <c r="B326" s="219"/>
      <c r="C326" s="229"/>
      <c r="D326" s="232"/>
      <c r="E326" s="235"/>
      <c r="F326" s="16">
        <v>55</v>
      </c>
      <c r="G326" s="34"/>
      <c r="H326" s="39"/>
      <c r="I326" s="39"/>
      <c r="J326" s="39"/>
      <c r="K326" s="39"/>
      <c r="L326" s="39"/>
      <c r="M326" s="39"/>
      <c r="N326" s="39"/>
      <c r="O326" s="39"/>
      <c r="P326" s="35"/>
      <c r="Q326" s="18"/>
      <c r="R326" s="34"/>
      <c r="S326" s="39"/>
      <c r="T326" s="39"/>
      <c r="U326" s="39"/>
      <c r="V326" s="39"/>
      <c r="W326" s="39"/>
      <c r="X326" s="39"/>
      <c r="Y326" s="39"/>
      <c r="Z326" s="39"/>
      <c r="AA326" s="35"/>
      <c r="AB326" s="50" t="e">
        <f t="shared" si="14"/>
        <v>#DIV/0!</v>
      </c>
      <c r="AC326" s="51" t="e">
        <f t="shared" si="15"/>
        <v>#DIV/0!</v>
      </c>
      <c r="AD326" s="19"/>
      <c r="AE326" s="19"/>
      <c r="AF326" s="285" t="s">
        <v>128</v>
      </c>
      <c r="AG326" s="240" t="e" cm="1">
        <f t="array" ref="AG326">bdRateExtend($G324:$G327,H324:H327,$R324:$R327,S324:S327)</f>
        <v>#VALUE!</v>
      </c>
      <c r="AH326" s="242"/>
      <c r="AI326" s="242"/>
      <c r="AJ326" s="245"/>
      <c r="AK326" s="240" t="e" cm="1">
        <f t="array" ref="AK326">bdRateExtend($G324:$G327,K324:K327,$R324:$R327,V324:V327)</f>
        <v>#VALUE!</v>
      </c>
      <c r="AL326" s="249"/>
      <c r="AM326" s="240" t="e" cm="1">
        <f t="array" ref="AM326">bdRateExtend($G324:$G327,L324:L327,$R324:$R327,W324:W327)</f>
        <v>#VALUE!</v>
      </c>
      <c r="AN326" s="249"/>
      <c r="AO326" s="252" t="e" cm="1">
        <f t="array" ref="AO326">bdRateExtend($G324:$G327,M324:M327,$R324:$R327,X324:X327)</f>
        <v>#VALUE!</v>
      </c>
      <c r="AP326" s="249"/>
    </row>
    <row r="327" spans="1:42" ht="17.100000000000001" customHeight="1" outlineLevel="5" thickBot="1" x14ac:dyDescent="0.3">
      <c r="A327" s="222"/>
      <c r="B327" s="220"/>
      <c r="C327" s="230"/>
      <c r="D327" s="233"/>
      <c r="E327" s="236"/>
      <c r="F327" s="9">
        <v>63</v>
      </c>
      <c r="G327" s="36"/>
      <c r="H327" s="37"/>
      <c r="I327" s="37"/>
      <c r="J327" s="37"/>
      <c r="K327" s="37"/>
      <c r="L327" s="37"/>
      <c r="M327" s="37"/>
      <c r="N327" s="37"/>
      <c r="O327" s="37"/>
      <c r="P327" s="38"/>
      <c r="Q327" s="18"/>
      <c r="R327" s="36"/>
      <c r="S327" s="37"/>
      <c r="T327" s="37"/>
      <c r="U327" s="37"/>
      <c r="V327" s="37"/>
      <c r="W327" s="37"/>
      <c r="X327" s="37"/>
      <c r="Y327" s="37"/>
      <c r="Z327" s="37"/>
      <c r="AA327" s="38"/>
      <c r="AB327" s="52" t="e">
        <f t="shared" si="14"/>
        <v>#DIV/0!</v>
      </c>
      <c r="AC327" s="53" t="e">
        <f t="shared" si="15"/>
        <v>#DIV/0!</v>
      </c>
      <c r="AD327" s="19"/>
      <c r="AE327" s="19"/>
      <c r="AF327" s="286"/>
      <c r="AG327" s="247"/>
      <c r="AH327" s="243"/>
      <c r="AI327" s="243"/>
      <c r="AJ327" s="246"/>
      <c r="AK327" s="247"/>
      <c r="AL327" s="250"/>
      <c r="AM327" s="247"/>
      <c r="AN327" s="250"/>
      <c r="AO327" s="253"/>
      <c r="AP327" s="250"/>
    </row>
    <row r="328" spans="1:42" ht="17.100000000000001" customHeight="1" outlineLevel="5" x14ac:dyDescent="0.25">
      <c r="A328" s="222"/>
      <c r="B328" s="218" t="s">
        <v>2</v>
      </c>
      <c r="C328" s="228" t="s">
        <v>80</v>
      </c>
      <c r="D328" s="231">
        <v>24</v>
      </c>
      <c r="E328" s="234">
        <v>10</v>
      </c>
      <c r="F328" s="7">
        <v>23</v>
      </c>
      <c r="G328" s="31"/>
      <c r="H328" s="32"/>
      <c r="I328" s="32"/>
      <c r="J328" s="32"/>
      <c r="K328" s="32"/>
      <c r="L328" s="32"/>
      <c r="M328" s="32"/>
      <c r="N328" s="32"/>
      <c r="O328" s="32"/>
      <c r="P328" s="33"/>
      <c r="Q328" s="18"/>
      <c r="R328" s="31"/>
      <c r="S328" s="32"/>
      <c r="T328" s="32"/>
      <c r="U328" s="32"/>
      <c r="V328" s="32"/>
      <c r="W328" s="32"/>
      <c r="X328" s="32"/>
      <c r="Y328" s="32"/>
      <c r="Z328" s="32"/>
      <c r="AA328" s="33"/>
      <c r="AB328" s="48" t="e">
        <f t="shared" si="14"/>
        <v>#DIV/0!</v>
      </c>
      <c r="AC328" s="49" t="e">
        <f t="shared" si="15"/>
        <v>#DIV/0!</v>
      </c>
      <c r="AD328" s="19"/>
      <c r="AE328" s="19"/>
      <c r="AF328" s="284" t="s">
        <v>126</v>
      </c>
      <c r="AG328" s="239" t="e" cm="1">
        <f t="array" ref="AG328">bdRateExtend($G328:$G331,H328:H331,$R328:$R331,S328:S331)</f>
        <v>#VALUE!</v>
      </c>
      <c r="AH328" s="241" t="e" cm="1">
        <f t="array" ref="AH328">bdRateExtend($G328:$G333,H328:H333,$R328:$R333,S328:S333)</f>
        <v>#VALUE!</v>
      </c>
      <c r="AI328" s="241" t="e" cm="1">
        <f t="array" ref="AI328">bdRateExtend($G328:$G333,I328:I333,$R328:$R333,T328:T333)</f>
        <v>#VALUE!</v>
      </c>
      <c r="AJ328" s="244" t="e" cm="1">
        <f t="array" ref="AJ328">bdRateExtend($G328:$G333,J328:J333,$R328:$R333,U328:U333)</f>
        <v>#VALUE!</v>
      </c>
      <c r="AK328" s="239" t="e" cm="1">
        <f t="array" ref="AK328">bdRateExtend($G328:$G331,K328:K331,$R328:$R331,V328:V331)</f>
        <v>#VALUE!</v>
      </c>
      <c r="AL328" s="248" t="e" cm="1">
        <f t="array" ref="AL328">bdRateExtend($G328:$G333,K328:K333,$R328:$R333,V328:V333)</f>
        <v>#VALUE!</v>
      </c>
      <c r="AM328" s="239" t="e" cm="1">
        <f t="array" ref="AM328">bdRateExtend($G328:$G331,L328:L331,$R328:$R331,W328:W331)</f>
        <v>#VALUE!</v>
      </c>
      <c r="AN328" s="248" t="e" cm="1">
        <f t="array" ref="AN328">bdRateExtend($G328:$G333,L328:L333,$R328:$R333,W328:W333)</f>
        <v>#VALUE!</v>
      </c>
      <c r="AO328" s="254" t="e" cm="1">
        <f t="array" ref="AO328">bdRateExtend($G328:$G331,M328:M331,$R328:$R331,X328:X331)</f>
        <v>#VALUE!</v>
      </c>
      <c r="AP328" s="248" t="e" cm="1">
        <f t="array" ref="AP328">bdRateExtend($G328:$G333,M328:M333,$R328:$R333,X328:X333)</f>
        <v>#VALUE!</v>
      </c>
    </row>
    <row r="329" spans="1:42" ht="17.100000000000001" customHeight="1" outlineLevel="5" x14ac:dyDescent="0.25">
      <c r="A329" s="222"/>
      <c r="B329" s="219"/>
      <c r="C329" s="229"/>
      <c r="D329" s="232"/>
      <c r="E329" s="235"/>
      <c r="F329" s="16">
        <v>31</v>
      </c>
      <c r="G329" s="34"/>
      <c r="H329" s="39"/>
      <c r="I329" s="39"/>
      <c r="J329" s="39"/>
      <c r="K329" s="39"/>
      <c r="L329" s="39"/>
      <c r="M329" s="39"/>
      <c r="N329" s="39"/>
      <c r="O329" s="39"/>
      <c r="P329" s="35"/>
      <c r="Q329" s="18"/>
      <c r="R329" s="34"/>
      <c r="S329" s="39"/>
      <c r="T329" s="39"/>
      <c r="U329" s="39"/>
      <c r="V329" s="39"/>
      <c r="W329" s="39"/>
      <c r="X329" s="39"/>
      <c r="Y329" s="39"/>
      <c r="Z329" s="39"/>
      <c r="AA329" s="35"/>
      <c r="AB329" s="50" t="e">
        <f t="shared" si="14"/>
        <v>#DIV/0!</v>
      </c>
      <c r="AC329" s="51" t="e">
        <f t="shared" si="15"/>
        <v>#DIV/0!</v>
      </c>
      <c r="AD329" s="19"/>
      <c r="AE329" s="19"/>
      <c r="AF329" s="285"/>
      <c r="AG329" s="240"/>
      <c r="AH329" s="242"/>
      <c r="AI329" s="242"/>
      <c r="AJ329" s="245"/>
      <c r="AK329" s="240"/>
      <c r="AL329" s="249"/>
      <c r="AM329" s="240"/>
      <c r="AN329" s="249"/>
      <c r="AO329" s="252"/>
      <c r="AP329" s="249"/>
    </row>
    <row r="330" spans="1:42" ht="17.100000000000001" customHeight="1" outlineLevel="5" x14ac:dyDescent="0.25">
      <c r="A330" s="222"/>
      <c r="B330" s="219"/>
      <c r="C330" s="229"/>
      <c r="D330" s="232"/>
      <c r="E330" s="235"/>
      <c r="F330" s="16">
        <v>39</v>
      </c>
      <c r="G330" s="34"/>
      <c r="H330" s="39"/>
      <c r="I330" s="39"/>
      <c r="J330" s="39"/>
      <c r="K330" s="39"/>
      <c r="L330" s="39"/>
      <c r="M330" s="39"/>
      <c r="N330" s="39"/>
      <c r="O330" s="39"/>
      <c r="P330" s="35"/>
      <c r="Q330" s="18"/>
      <c r="R330" s="34"/>
      <c r="S330" s="39"/>
      <c r="T330" s="39"/>
      <c r="U330" s="39"/>
      <c r="V330" s="39"/>
      <c r="W330" s="39"/>
      <c r="X330" s="39"/>
      <c r="Y330" s="39"/>
      <c r="Z330" s="39"/>
      <c r="AA330" s="35"/>
      <c r="AB330" s="50" t="e">
        <f t="shared" si="14"/>
        <v>#DIV/0!</v>
      </c>
      <c r="AC330" s="51" t="e">
        <f t="shared" si="15"/>
        <v>#DIV/0!</v>
      </c>
      <c r="AD330" s="19"/>
      <c r="AE330" s="19"/>
      <c r="AF330" s="285" t="s">
        <v>127</v>
      </c>
      <c r="AG330" s="240" t="e" cm="1">
        <f t="array" ref="AG330">bdRateExtend($G329:$G332,H329:H332,$R329:$R332,S329:S332)</f>
        <v>#VALUE!</v>
      </c>
      <c r="AH330" s="242"/>
      <c r="AI330" s="242"/>
      <c r="AJ330" s="245"/>
      <c r="AK330" s="240" t="e" cm="1">
        <f t="array" ref="AK330">bdRateExtend($G329:$G332,K329:K332,$R329:$R332,V329:V332)</f>
        <v>#VALUE!</v>
      </c>
      <c r="AL330" s="249"/>
      <c r="AM330" s="240" t="e" cm="1">
        <f t="array" ref="AM330">bdRateExtend($G329:$G332,L329:L332,$R329:$R332,W329:W332)</f>
        <v>#VALUE!</v>
      </c>
      <c r="AN330" s="249"/>
      <c r="AO330" s="252" t="e" cm="1">
        <f t="array" ref="AO330">bdRateExtend($G329:$G332,M329:M332,$R329:$R332,X329:X332)</f>
        <v>#VALUE!</v>
      </c>
      <c r="AP330" s="249"/>
    </row>
    <row r="331" spans="1:42" ht="17.100000000000001" customHeight="1" outlineLevel="5" x14ac:dyDescent="0.25">
      <c r="A331" s="222"/>
      <c r="B331" s="219"/>
      <c r="C331" s="229"/>
      <c r="D331" s="232"/>
      <c r="E331" s="235"/>
      <c r="F331" s="16">
        <v>47</v>
      </c>
      <c r="G331" s="34"/>
      <c r="H331" s="39"/>
      <c r="I331" s="39"/>
      <c r="J331" s="39"/>
      <c r="K331" s="39"/>
      <c r="L331" s="39"/>
      <c r="M331" s="39"/>
      <c r="N331" s="39"/>
      <c r="O331" s="39"/>
      <c r="P331" s="35"/>
      <c r="Q331" s="18"/>
      <c r="R331" s="34"/>
      <c r="S331" s="39"/>
      <c r="T331" s="39"/>
      <c r="U331" s="39"/>
      <c r="V331" s="39"/>
      <c r="W331" s="39"/>
      <c r="X331" s="39"/>
      <c r="Y331" s="39"/>
      <c r="Z331" s="39"/>
      <c r="AA331" s="35"/>
      <c r="AB331" s="50" t="e">
        <f t="shared" si="14"/>
        <v>#DIV/0!</v>
      </c>
      <c r="AC331" s="51" t="e">
        <f t="shared" si="15"/>
        <v>#DIV/0!</v>
      </c>
      <c r="AD331" s="19"/>
      <c r="AE331" s="19"/>
      <c r="AF331" s="285"/>
      <c r="AG331" s="240"/>
      <c r="AH331" s="242"/>
      <c r="AI331" s="242"/>
      <c r="AJ331" s="245"/>
      <c r="AK331" s="240"/>
      <c r="AL331" s="249"/>
      <c r="AM331" s="240"/>
      <c r="AN331" s="249"/>
      <c r="AO331" s="252"/>
      <c r="AP331" s="249"/>
    </row>
    <row r="332" spans="1:42" ht="17.100000000000001" customHeight="1" outlineLevel="5" x14ac:dyDescent="0.25">
      <c r="A332" s="222"/>
      <c r="B332" s="219"/>
      <c r="C332" s="229"/>
      <c r="D332" s="232"/>
      <c r="E332" s="235"/>
      <c r="F332" s="16">
        <v>55</v>
      </c>
      <c r="G332" s="34"/>
      <c r="H332" s="39"/>
      <c r="I332" s="39"/>
      <c r="J332" s="39"/>
      <c r="K332" s="39"/>
      <c r="L332" s="39"/>
      <c r="M332" s="39"/>
      <c r="N332" s="39"/>
      <c r="O332" s="39"/>
      <c r="P332" s="35"/>
      <c r="Q332" s="18"/>
      <c r="R332" s="34"/>
      <c r="S332" s="39"/>
      <c r="T332" s="39"/>
      <c r="U332" s="39"/>
      <c r="V332" s="39"/>
      <c r="W332" s="39"/>
      <c r="X332" s="39"/>
      <c r="Y332" s="39"/>
      <c r="Z332" s="39"/>
      <c r="AA332" s="35"/>
      <c r="AB332" s="50" t="e">
        <f t="shared" si="14"/>
        <v>#DIV/0!</v>
      </c>
      <c r="AC332" s="51" t="e">
        <f t="shared" si="15"/>
        <v>#DIV/0!</v>
      </c>
      <c r="AD332" s="19"/>
      <c r="AE332" s="19"/>
      <c r="AF332" s="285" t="s">
        <v>128</v>
      </c>
      <c r="AG332" s="240" t="e" cm="1">
        <f t="array" ref="AG332">bdRateExtend($G330:$G333,H330:H333,$R330:$R333,S330:S333)</f>
        <v>#VALUE!</v>
      </c>
      <c r="AH332" s="242"/>
      <c r="AI332" s="242"/>
      <c r="AJ332" s="245"/>
      <c r="AK332" s="240" t="e" cm="1">
        <f t="array" ref="AK332">bdRateExtend($G330:$G333,K330:K333,$R330:$R333,V330:V333)</f>
        <v>#VALUE!</v>
      </c>
      <c r="AL332" s="249"/>
      <c r="AM332" s="240" t="e" cm="1">
        <f t="array" ref="AM332">bdRateExtend($G330:$G333,L330:L333,$R330:$R333,W330:W333)</f>
        <v>#VALUE!</v>
      </c>
      <c r="AN332" s="249"/>
      <c r="AO332" s="252" t="e" cm="1">
        <f t="array" ref="AO332">bdRateExtend($G330:$G333,M330:M333,$R330:$R333,X330:X333)</f>
        <v>#VALUE!</v>
      </c>
      <c r="AP332" s="249"/>
    </row>
    <row r="333" spans="1:42" ht="17.100000000000001" customHeight="1" outlineLevel="5" thickBot="1" x14ac:dyDescent="0.3">
      <c r="A333" s="222"/>
      <c r="B333" s="220"/>
      <c r="C333" s="230"/>
      <c r="D333" s="233"/>
      <c r="E333" s="236"/>
      <c r="F333" s="9">
        <v>63</v>
      </c>
      <c r="G333" s="36"/>
      <c r="H333" s="37"/>
      <c r="I333" s="37"/>
      <c r="J333" s="37"/>
      <c r="K333" s="37"/>
      <c r="L333" s="37"/>
      <c r="M333" s="37"/>
      <c r="N333" s="37"/>
      <c r="O333" s="37"/>
      <c r="P333" s="38"/>
      <c r="Q333" s="18"/>
      <c r="R333" s="36"/>
      <c r="S333" s="37"/>
      <c r="T333" s="37"/>
      <c r="U333" s="37"/>
      <c r="V333" s="37"/>
      <c r="W333" s="37"/>
      <c r="X333" s="37"/>
      <c r="Y333" s="37"/>
      <c r="Z333" s="37"/>
      <c r="AA333" s="38"/>
      <c r="AB333" s="52" t="e">
        <f t="shared" si="14"/>
        <v>#DIV/0!</v>
      </c>
      <c r="AC333" s="53" t="e">
        <f t="shared" si="15"/>
        <v>#DIV/0!</v>
      </c>
      <c r="AD333" s="19"/>
      <c r="AE333" s="19"/>
      <c r="AF333" s="286"/>
      <c r="AG333" s="247"/>
      <c r="AH333" s="243"/>
      <c r="AI333" s="243"/>
      <c r="AJ333" s="246"/>
      <c r="AK333" s="247"/>
      <c r="AL333" s="250"/>
      <c r="AM333" s="247"/>
      <c r="AN333" s="250"/>
      <c r="AO333" s="253"/>
      <c r="AP333" s="250"/>
    </row>
    <row r="334" spans="1:42" ht="17.100000000000001" customHeight="1" outlineLevel="5" x14ac:dyDescent="0.25">
      <c r="A334" s="222"/>
      <c r="B334" s="218" t="s">
        <v>2</v>
      </c>
      <c r="C334" s="228" t="s">
        <v>81</v>
      </c>
      <c r="D334" s="231">
        <v>30</v>
      </c>
      <c r="E334" s="234" t="s">
        <v>23</v>
      </c>
      <c r="F334" s="7">
        <v>23</v>
      </c>
      <c r="G334" s="31"/>
      <c r="H334" s="32"/>
      <c r="I334" s="32"/>
      <c r="J334" s="32"/>
      <c r="K334" s="32"/>
      <c r="L334" s="32"/>
      <c r="M334" s="32"/>
      <c r="N334" s="32"/>
      <c r="O334" s="32"/>
      <c r="P334" s="33"/>
      <c r="Q334" s="18"/>
      <c r="R334" s="31"/>
      <c r="S334" s="32"/>
      <c r="T334" s="32"/>
      <c r="U334" s="32"/>
      <c r="V334" s="32"/>
      <c r="W334" s="32"/>
      <c r="X334" s="32"/>
      <c r="Y334" s="32"/>
      <c r="Z334" s="32"/>
      <c r="AA334" s="33"/>
      <c r="AB334" s="48" t="e">
        <f t="shared" si="14"/>
        <v>#DIV/0!</v>
      </c>
      <c r="AC334" s="49" t="e">
        <f t="shared" si="15"/>
        <v>#DIV/0!</v>
      </c>
      <c r="AD334" s="19"/>
      <c r="AE334" s="19"/>
      <c r="AF334" s="284" t="s">
        <v>126</v>
      </c>
      <c r="AG334" s="239" t="e" cm="1">
        <f t="array" ref="AG334">bdRateExtend($G334:$G337,H334:H337,$R334:$R337,S334:S337)</f>
        <v>#VALUE!</v>
      </c>
      <c r="AH334" s="241" t="e" cm="1">
        <f t="array" ref="AH334">bdRateExtend($G334:$G339,H334:H339,$R334:$R339,S334:S339)</f>
        <v>#VALUE!</v>
      </c>
      <c r="AI334" s="241" t="e" cm="1">
        <f t="array" ref="AI334">bdRateExtend($G334:$G339,I334:I339,$R334:$R339,T334:T339)</f>
        <v>#VALUE!</v>
      </c>
      <c r="AJ334" s="244" t="e" cm="1">
        <f t="array" ref="AJ334">bdRateExtend($G334:$G339,J334:J339,$R334:$R339,U334:U339)</f>
        <v>#VALUE!</v>
      </c>
      <c r="AK334" s="239" t="e" cm="1">
        <f t="array" ref="AK334">bdRateExtend($G334:$G337,K334:K337,$R334:$R337,V334:V337)</f>
        <v>#VALUE!</v>
      </c>
      <c r="AL334" s="248" t="e" cm="1">
        <f t="array" ref="AL334">bdRateExtend($G334:$G339,K334:K339,$R334:$R339,V334:V339)</f>
        <v>#VALUE!</v>
      </c>
      <c r="AM334" s="239" t="e" cm="1">
        <f t="array" ref="AM334">bdRateExtend($G334:$G337,L334:L337,$R334:$R337,W334:W337)</f>
        <v>#VALUE!</v>
      </c>
      <c r="AN334" s="248" t="e" cm="1">
        <f t="array" ref="AN334">bdRateExtend($G334:$G339,L334:L339,$R334:$R339,W334:W339)</f>
        <v>#VALUE!</v>
      </c>
      <c r="AO334" s="254" t="e" cm="1">
        <f t="array" ref="AO334">bdRateExtend($G334:$G337,M334:M337,$R334:$R337,X334:X337)</f>
        <v>#VALUE!</v>
      </c>
      <c r="AP334" s="248" t="e" cm="1">
        <f t="array" ref="AP334">bdRateExtend($G334:$G339,M334:M339,$R334:$R339,X334:X339)</f>
        <v>#VALUE!</v>
      </c>
    </row>
    <row r="335" spans="1:42" ht="17.100000000000001" customHeight="1" outlineLevel="5" x14ac:dyDescent="0.25">
      <c r="A335" s="222"/>
      <c r="B335" s="219"/>
      <c r="C335" s="229"/>
      <c r="D335" s="232"/>
      <c r="E335" s="235"/>
      <c r="F335" s="16">
        <v>31</v>
      </c>
      <c r="G335" s="34"/>
      <c r="H335" s="39"/>
      <c r="I335" s="39"/>
      <c r="J335" s="39"/>
      <c r="K335" s="39"/>
      <c r="L335" s="39"/>
      <c r="M335" s="39"/>
      <c r="N335" s="39"/>
      <c r="O335" s="39"/>
      <c r="P335" s="35"/>
      <c r="Q335" s="18"/>
      <c r="R335" s="34"/>
      <c r="S335" s="39"/>
      <c r="T335" s="39"/>
      <c r="U335" s="39"/>
      <c r="V335" s="39"/>
      <c r="W335" s="39"/>
      <c r="X335" s="39"/>
      <c r="Y335" s="39"/>
      <c r="Z335" s="39"/>
      <c r="AA335" s="35"/>
      <c r="AB335" s="50" t="e">
        <f t="shared" si="14"/>
        <v>#DIV/0!</v>
      </c>
      <c r="AC335" s="51" t="e">
        <f t="shared" si="15"/>
        <v>#DIV/0!</v>
      </c>
      <c r="AD335" s="19"/>
      <c r="AE335" s="19"/>
      <c r="AF335" s="285"/>
      <c r="AG335" s="240"/>
      <c r="AH335" s="242"/>
      <c r="AI335" s="242"/>
      <c r="AJ335" s="245"/>
      <c r="AK335" s="240"/>
      <c r="AL335" s="249"/>
      <c r="AM335" s="240"/>
      <c r="AN335" s="249"/>
      <c r="AO335" s="252"/>
      <c r="AP335" s="249"/>
    </row>
    <row r="336" spans="1:42" ht="17.100000000000001" customHeight="1" outlineLevel="5" x14ac:dyDescent="0.25">
      <c r="A336" s="222"/>
      <c r="B336" s="219"/>
      <c r="C336" s="229"/>
      <c r="D336" s="232"/>
      <c r="E336" s="235"/>
      <c r="F336" s="16">
        <v>39</v>
      </c>
      <c r="G336" s="34"/>
      <c r="H336" s="39"/>
      <c r="I336" s="39"/>
      <c r="J336" s="39"/>
      <c r="K336" s="39"/>
      <c r="L336" s="39"/>
      <c r="M336" s="39"/>
      <c r="N336" s="39"/>
      <c r="O336" s="39"/>
      <c r="P336" s="35"/>
      <c r="Q336" s="18"/>
      <c r="R336" s="34"/>
      <c r="S336" s="39"/>
      <c r="T336" s="39"/>
      <c r="U336" s="39"/>
      <c r="V336" s="39"/>
      <c r="W336" s="39"/>
      <c r="X336" s="39"/>
      <c r="Y336" s="39"/>
      <c r="Z336" s="39"/>
      <c r="AA336" s="35"/>
      <c r="AB336" s="50" t="e">
        <f t="shared" si="14"/>
        <v>#DIV/0!</v>
      </c>
      <c r="AC336" s="51" t="e">
        <f t="shared" si="15"/>
        <v>#DIV/0!</v>
      </c>
      <c r="AD336" s="19"/>
      <c r="AE336" s="19"/>
      <c r="AF336" s="285" t="s">
        <v>127</v>
      </c>
      <c r="AG336" s="240" t="e" cm="1">
        <f t="array" ref="AG336">bdRateExtend($G335:$G338,H335:H338,$R335:$R338,S335:S338)</f>
        <v>#VALUE!</v>
      </c>
      <c r="AH336" s="242"/>
      <c r="AI336" s="242"/>
      <c r="AJ336" s="245"/>
      <c r="AK336" s="240" t="e" cm="1">
        <f t="array" ref="AK336">bdRateExtend($G335:$G338,K335:K338,$R335:$R338,V335:V338)</f>
        <v>#VALUE!</v>
      </c>
      <c r="AL336" s="249"/>
      <c r="AM336" s="240" t="e" cm="1">
        <f t="array" ref="AM336">bdRateExtend($G335:$G338,L335:L338,$R335:$R338,W335:W338)</f>
        <v>#VALUE!</v>
      </c>
      <c r="AN336" s="249"/>
      <c r="AO336" s="252" t="e" cm="1">
        <f t="array" ref="AO336">bdRateExtend($G335:$G338,M335:M338,$R335:$R338,X335:X338)</f>
        <v>#VALUE!</v>
      </c>
      <c r="AP336" s="249"/>
    </row>
    <row r="337" spans="1:42" ht="17.100000000000001" customHeight="1" outlineLevel="5" x14ac:dyDescent="0.25">
      <c r="A337" s="222"/>
      <c r="B337" s="219"/>
      <c r="C337" s="229"/>
      <c r="D337" s="232"/>
      <c r="E337" s="235"/>
      <c r="F337" s="16">
        <v>47</v>
      </c>
      <c r="G337" s="34"/>
      <c r="H337" s="39"/>
      <c r="I337" s="39"/>
      <c r="J337" s="39"/>
      <c r="K337" s="39"/>
      <c r="L337" s="39"/>
      <c r="M337" s="39"/>
      <c r="N337" s="39"/>
      <c r="O337" s="39"/>
      <c r="P337" s="35"/>
      <c r="Q337" s="18"/>
      <c r="R337" s="34"/>
      <c r="S337" s="39"/>
      <c r="T337" s="39"/>
      <c r="U337" s="39"/>
      <c r="V337" s="39"/>
      <c r="W337" s="39"/>
      <c r="X337" s="39"/>
      <c r="Y337" s="39"/>
      <c r="Z337" s="39"/>
      <c r="AA337" s="35"/>
      <c r="AB337" s="50" t="e">
        <f t="shared" si="14"/>
        <v>#DIV/0!</v>
      </c>
      <c r="AC337" s="51" t="e">
        <f t="shared" si="15"/>
        <v>#DIV/0!</v>
      </c>
      <c r="AD337" s="19"/>
      <c r="AE337" s="19"/>
      <c r="AF337" s="285"/>
      <c r="AG337" s="240"/>
      <c r="AH337" s="242"/>
      <c r="AI337" s="242"/>
      <c r="AJ337" s="245"/>
      <c r="AK337" s="240"/>
      <c r="AL337" s="249"/>
      <c r="AM337" s="240"/>
      <c r="AN337" s="249"/>
      <c r="AO337" s="252"/>
      <c r="AP337" s="249"/>
    </row>
    <row r="338" spans="1:42" ht="17.100000000000001" customHeight="1" outlineLevel="5" x14ac:dyDescent="0.25">
      <c r="A338" s="222"/>
      <c r="B338" s="219"/>
      <c r="C338" s="229"/>
      <c r="D338" s="232"/>
      <c r="E338" s="235"/>
      <c r="F338" s="16">
        <v>55</v>
      </c>
      <c r="G338" s="34"/>
      <c r="H338" s="39"/>
      <c r="I338" s="39"/>
      <c r="J338" s="39"/>
      <c r="K338" s="39"/>
      <c r="L338" s="39"/>
      <c r="M338" s="39"/>
      <c r="N338" s="39"/>
      <c r="O338" s="39"/>
      <c r="P338" s="35"/>
      <c r="Q338" s="18"/>
      <c r="R338" s="34"/>
      <c r="S338" s="39"/>
      <c r="T338" s="39"/>
      <c r="U338" s="39"/>
      <c r="V338" s="39"/>
      <c r="W338" s="39"/>
      <c r="X338" s="39"/>
      <c r="Y338" s="39"/>
      <c r="Z338" s="39"/>
      <c r="AA338" s="35"/>
      <c r="AB338" s="50" t="e">
        <f t="shared" si="14"/>
        <v>#DIV/0!</v>
      </c>
      <c r="AC338" s="51" t="e">
        <f t="shared" si="15"/>
        <v>#DIV/0!</v>
      </c>
      <c r="AD338" s="19"/>
      <c r="AE338" s="19"/>
      <c r="AF338" s="285" t="s">
        <v>128</v>
      </c>
      <c r="AG338" s="240" t="e" cm="1">
        <f t="array" ref="AG338">bdRateExtend($G336:$G339,H336:H339,$R336:$R339,S336:S339)</f>
        <v>#VALUE!</v>
      </c>
      <c r="AH338" s="242"/>
      <c r="AI338" s="242"/>
      <c r="AJ338" s="245"/>
      <c r="AK338" s="240" t="e" cm="1">
        <f t="array" ref="AK338">bdRateExtend($G336:$G339,K336:K339,$R336:$R339,V336:V339)</f>
        <v>#VALUE!</v>
      </c>
      <c r="AL338" s="249"/>
      <c r="AM338" s="240" t="e" cm="1">
        <f t="array" ref="AM338">bdRateExtend($G336:$G339,L336:L339,$R336:$R339,W336:W339)</f>
        <v>#VALUE!</v>
      </c>
      <c r="AN338" s="249"/>
      <c r="AO338" s="252" t="e" cm="1">
        <f t="array" ref="AO338">bdRateExtend($G336:$G339,M336:M339,$R336:$R339,X336:X339)</f>
        <v>#VALUE!</v>
      </c>
      <c r="AP338" s="249"/>
    </row>
    <row r="339" spans="1:42" ht="17.100000000000001" customHeight="1" outlineLevel="5" thickBot="1" x14ac:dyDescent="0.3">
      <c r="A339" s="223"/>
      <c r="B339" s="220"/>
      <c r="C339" s="230"/>
      <c r="D339" s="233"/>
      <c r="E339" s="236"/>
      <c r="F339" s="9">
        <v>63</v>
      </c>
      <c r="G339" s="36"/>
      <c r="H339" s="37"/>
      <c r="I339" s="37"/>
      <c r="J339" s="37"/>
      <c r="K339" s="37"/>
      <c r="L339" s="37"/>
      <c r="M339" s="37"/>
      <c r="N339" s="37"/>
      <c r="O339" s="37"/>
      <c r="P339" s="38"/>
      <c r="Q339" s="18"/>
      <c r="R339" s="36"/>
      <c r="S339" s="37"/>
      <c r="T339" s="37"/>
      <c r="U339" s="37"/>
      <c r="V339" s="37"/>
      <c r="W339" s="37"/>
      <c r="X339" s="37"/>
      <c r="Y339" s="37"/>
      <c r="Z339" s="37"/>
      <c r="AA339" s="38"/>
      <c r="AB339" s="52" t="e">
        <f t="shared" si="14"/>
        <v>#DIV/0!</v>
      </c>
      <c r="AC339" s="53" t="e">
        <f t="shared" si="15"/>
        <v>#DIV/0!</v>
      </c>
      <c r="AD339" s="19"/>
      <c r="AE339" s="19"/>
      <c r="AF339" s="286"/>
      <c r="AG339" s="247"/>
      <c r="AH339" s="243"/>
      <c r="AI339" s="243"/>
      <c r="AJ339" s="246"/>
      <c r="AK339" s="247"/>
      <c r="AL339" s="250"/>
      <c r="AM339" s="247"/>
      <c r="AN339" s="250"/>
      <c r="AO339" s="253"/>
      <c r="AP339" s="250"/>
    </row>
    <row r="340" spans="1:42" ht="17.100000000000001" customHeight="1" outlineLevel="4" x14ac:dyDescent="0.25">
      <c r="A340" s="221" t="s">
        <v>107</v>
      </c>
      <c r="B340" s="218" t="s">
        <v>18</v>
      </c>
      <c r="C340" s="228" t="s">
        <v>82</v>
      </c>
      <c r="D340" s="231">
        <v>59.94</v>
      </c>
      <c r="E340" s="234">
        <v>10</v>
      </c>
      <c r="F340" s="7">
        <v>23</v>
      </c>
      <c r="G340" s="31"/>
      <c r="H340" s="32"/>
      <c r="I340" s="32"/>
      <c r="J340" s="32"/>
      <c r="K340" s="32"/>
      <c r="L340" s="32"/>
      <c r="M340" s="32"/>
      <c r="N340" s="32"/>
      <c r="O340" s="32"/>
      <c r="P340" s="33"/>
      <c r="Q340" s="18"/>
      <c r="R340" s="31"/>
      <c r="S340" s="32"/>
      <c r="T340" s="32"/>
      <c r="U340" s="32"/>
      <c r="V340" s="32"/>
      <c r="W340" s="32"/>
      <c r="X340" s="32"/>
      <c r="Y340" s="32"/>
      <c r="Z340" s="32"/>
      <c r="AA340" s="33"/>
      <c r="AB340" s="48" t="e">
        <f t="shared" si="14"/>
        <v>#DIV/0!</v>
      </c>
      <c r="AC340" s="49" t="e">
        <f t="shared" si="15"/>
        <v>#DIV/0!</v>
      </c>
      <c r="AD340" s="19"/>
      <c r="AE340" s="19"/>
      <c r="AF340" s="284" t="s">
        <v>126</v>
      </c>
      <c r="AG340" s="239" t="e" cm="1">
        <f t="array" ref="AG340">bdRateExtend($G340:$G343,H340:H343,$R340:$R343,S340:S343)</f>
        <v>#VALUE!</v>
      </c>
      <c r="AH340" s="241" t="e" cm="1">
        <f t="array" ref="AH340">bdRateExtend($G340:$G345,H340:H345,$R340:$R345,S340:S345)</f>
        <v>#VALUE!</v>
      </c>
      <c r="AI340" s="241" t="e" cm="1">
        <f t="array" ref="AI340">bdRateExtend($G340:$G345,I340:I345,$R340:$R345,T340:T345)</f>
        <v>#VALUE!</v>
      </c>
      <c r="AJ340" s="244" t="e" cm="1">
        <f t="array" ref="AJ340">bdRateExtend($G340:$G345,J340:J345,$R340:$R345,U340:U345)</f>
        <v>#VALUE!</v>
      </c>
      <c r="AK340" s="239" t="e" cm="1">
        <f t="array" ref="AK340">bdRateExtend($G340:$G343,K340:K343,$R340:$R343,V340:V343)</f>
        <v>#VALUE!</v>
      </c>
      <c r="AL340" s="248" t="e" cm="1">
        <f t="array" ref="AL340">bdRateExtend($G340:$G345,K340:K345,$R340:$R345,V340:V345)</f>
        <v>#VALUE!</v>
      </c>
      <c r="AM340" s="239" t="e" cm="1">
        <f t="array" ref="AM340">bdRateExtend($G340:$G343,L340:L343,$R340:$R343,W340:W343)</f>
        <v>#VALUE!</v>
      </c>
      <c r="AN340" s="248" t="e" cm="1">
        <f t="array" ref="AN340">bdRateExtend($G340:$G345,L340:L345,$R340:$R345,W340:W345)</f>
        <v>#VALUE!</v>
      </c>
      <c r="AO340" s="254" t="e" cm="1">
        <f t="array" ref="AO340">bdRateExtend($G340:$G343,M340:M343,$R340:$R343,X340:X343)</f>
        <v>#VALUE!</v>
      </c>
      <c r="AP340" s="248" t="e" cm="1">
        <f t="array" ref="AP340">bdRateExtend($G340:$G345,M340:M345,$R340:$R345,X340:X345)</f>
        <v>#VALUE!</v>
      </c>
    </row>
    <row r="341" spans="1:42" ht="17.100000000000001" customHeight="1" outlineLevel="4" x14ac:dyDescent="0.25">
      <c r="A341" s="222"/>
      <c r="B341" s="219"/>
      <c r="C341" s="229"/>
      <c r="D341" s="232"/>
      <c r="E341" s="235"/>
      <c r="F341" s="16">
        <v>31</v>
      </c>
      <c r="G341" s="34"/>
      <c r="H341" s="39"/>
      <c r="I341" s="39"/>
      <c r="J341" s="39"/>
      <c r="K341" s="39"/>
      <c r="L341" s="39"/>
      <c r="M341" s="39"/>
      <c r="N341" s="39"/>
      <c r="O341" s="39"/>
      <c r="P341" s="35"/>
      <c r="Q341" s="18"/>
      <c r="R341" s="34"/>
      <c r="S341" s="39"/>
      <c r="T341" s="39"/>
      <c r="U341" s="39"/>
      <c r="V341" s="39"/>
      <c r="W341" s="39"/>
      <c r="X341" s="39"/>
      <c r="Y341" s="39"/>
      <c r="Z341" s="39"/>
      <c r="AA341" s="35"/>
      <c r="AB341" s="50" t="e">
        <f t="shared" si="14"/>
        <v>#DIV/0!</v>
      </c>
      <c r="AC341" s="51" t="e">
        <f t="shared" si="15"/>
        <v>#DIV/0!</v>
      </c>
      <c r="AD341" s="19"/>
      <c r="AE341" s="19"/>
      <c r="AF341" s="285"/>
      <c r="AG341" s="240"/>
      <c r="AH341" s="242"/>
      <c r="AI341" s="242"/>
      <c r="AJ341" s="245"/>
      <c r="AK341" s="240"/>
      <c r="AL341" s="249"/>
      <c r="AM341" s="240"/>
      <c r="AN341" s="249"/>
      <c r="AO341" s="252"/>
      <c r="AP341" s="249"/>
    </row>
    <row r="342" spans="1:42" ht="17.100000000000001" customHeight="1" outlineLevel="4" x14ac:dyDescent="0.25">
      <c r="A342" s="222"/>
      <c r="B342" s="219"/>
      <c r="C342" s="229"/>
      <c r="D342" s="232"/>
      <c r="E342" s="235"/>
      <c r="F342" s="16">
        <v>39</v>
      </c>
      <c r="G342" s="34"/>
      <c r="H342" s="39"/>
      <c r="I342" s="39"/>
      <c r="J342" s="39"/>
      <c r="K342" s="39"/>
      <c r="L342" s="39"/>
      <c r="M342" s="39"/>
      <c r="N342" s="39"/>
      <c r="O342" s="39"/>
      <c r="P342" s="35"/>
      <c r="Q342" s="18"/>
      <c r="R342" s="34"/>
      <c r="S342" s="39"/>
      <c r="T342" s="39"/>
      <c r="U342" s="39"/>
      <c r="V342" s="39"/>
      <c r="W342" s="39"/>
      <c r="X342" s="39"/>
      <c r="Y342" s="39"/>
      <c r="Z342" s="39"/>
      <c r="AA342" s="35"/>
      <c r="AB342" s="50" t="e">
        <f t="shared" si="14"/>
        <v>#DIV/0!</v>
      </c>
      <c r="AC342" s="51" t="e">
        <f t="shared" si="15"/>
        <v>#DIV/0!</v>
      </c>
      <c r="AD342" s="19"/>
      <c r="AE342" s="19"/>
      <c r="AF342" s="285" t="s">
        <v>127</v>
      </c>
      <c r="AG342" s="240" t="e" cm="1">
        <f t="array" ref="AG342">bdRateExtend($G341:$G344,H341:H344,$R341:$R344,S341:S344)</f>
        <v>#VALUE!</v>
      </c>
      <c r="AH342" s="242"/>
      <c r="AI342" s="242"/>
      <c r="AJ342" s="245"/>
      <c r="AK342" s="240" t="e" cm="1">
        <f t="array" ref="AK342">bdRateExtend($G341:$G344,K341:K344,$R341:$R344,V341:V344)</f>
        <v>#VALUE!</v>
      </c>
      <c r="AL342" s="249"/>
      <c r="AM342" s="240" t="e" cm="1">
        <f t="array" ref="AM342">bdRateExtend($G341:$G344,L341:L344,$R341:$R344,W341:W344)</f>
        <v>#VALUE!</v>
      </c>
      <c r="AN342" s="249"/>
      <c r="AO342" s="252" t="e" cm="1">
        <f t="array" ref="AO342">bdRateExtend($G341:$G344,M341:M344,$R341:$R344,X341:X344)</f>
        <v>#VALUE!</v>
      </c>
      <c r="AP342" s="249"/>
    </row>
    <row r="343" spans="1:42" ht="17.100000000000001" customHeight="1" outlineLevel="4" x14ac:dyDescent="0.25">
      <c r="A343" s="222"/>
      <c r="B343" s="219"/>
      <c r="C343" s="229"/>
      <c r="D343" s="232"/>
      <c r="E343" s="235"/>
      <c r="F343" s="16">
        <v>47</v>
      </c>
      <c r="G343" s="34"/>
      <c r="H343" s="39"/>
      <c r="I343" s="39"/>
      <c r="J343" s="39"/>
      <c r="K343" s="39"/>
      <c r="L343" s="39"/>
      <c r="M343" s="39"/>
      <c r="N343" s="39"/>
      <c r="O343" s="39"/>
      <c r="P343" s="35"/>
      <c r="Q343" s="18"/>
      <c r="R343" s="34"/>
      <c r="S343" s="39"/>
      <c r="T343" s="39"/>
      <c r="U343" s="39"/>
      <c r="V343" s="39"/>
      <c r="W343" s="39"/>
      <c r="X343" s="39"/>
      <c r="Y343" s="39"/>
      <c r="Z343" s="39"/>
      <c r="AA343" s="35"/>
      <c r="AB343" s="50" t="e">
        <f t="shared" si="14"/>
        <v>#DIV/0!</v>
      </c>
      <c r="AC343" s="51" t="e">
        <f t="shared" si="15"/>
        <v>#DIV/0!</v>
      </c>
      <c r="AD343" s="19"/>
      <c r="AE343" s="19"/>
      <c r="AF343" s="285"/>
      <c r="AG343" s="240"/>
      <c r="AH343" s="242"/>
      <c r="AI343" s="242"/>
      <c r="AJ343" s="245"/>
      <c r="AK343" s="240"/>
      <c r="AL343" s="249"/>
      <c r="AM343" s="240"/>
      <c r="AN343" s="249"/>
      <c r="AO343" s="252"/>
      <c r="AP343" s="249"/>
    </row>
    <row r="344" spans="1:42" ht="17.100000000000001" customHeight="1" outlineLevel="4" x14ac:dyDescent="0.25">
      <c r="A344" s="222"/>
      <c r="B344" s="219"/>
      <c r="C344" s="229"/>
      <c r="D344" s="232"/>
      <c r="E344" s="235"/>
      <c r="F344" s="16">
        <v>55</v>
      </c>
      <c r="G344" s="34"/>
      <c r="H344" s="39"/>
      <c r="I344" s="39"/>
      <c r="J344" s="39"/>
      <c r="K344" s="39"/>
      <c r="L344" s="39"/>
      <c r="M344" s="39"/>
      <c r="N344" s="39"/>
      <c r="O344" s="39"/>
      <c r="P344" s="35"/>
      <c r="Q344" s="18"/>
      <c r="R344" s="34"/>
      <c r="S344" s="39"/>
      <c r="T344" s="39"/>
      <c r="U344" s="39"/>
      <c r="V344" s="39"/>
      <c r="W344" s="39"/>
      <c r="X344" s="39"/>
      <c r="Y344" s="39"/>
      <c r="Z344" s="39"/>
      <c r="AA344" s="35"/>
      <c r="AB344" s="50" t="e">
        <f t="shared" si="14"/>
        <v>#DIV/0!</v>
      </c>
      <c r="AC344" s="51" t="e">
        <f t="shared" si="15"/>
        <v>#DIV/0!</v>
      </c>
      <c r="AD344" s="19"/>
      <c r="AE344" s="19"/>
      <c r="AF344" s="285" t="s">
        <v>128</v>
      </c>
      <c r="AG344" s="240" t="e" cm="1">
        <f t="array" ref="AG344">bdRateExtend($G342:$G345,H342:H345,$R342:$R345,S342:S345)</f>
        <v>#VALUE!</v>
      </c>
      <c r="AH344" s="242"/>
      <c r="AI344" s="242"/>
      <c r="AJ344" s="245"/>
      <c r="AK344" s="240" t="e" cm="1">
        <f t="array" ref="AK344">bdRateExtend($G342:$G345,K342:K345,$R342:$R345,V342:V345)</f>
        <v>#VALUE!</v>
      </c>
      <c r="AL344" s="249"/>
      <c r="AM344" s="240" t="e" cm="1">
        <f t="array" ref="AM344">bdRateExtend($G342:$G345,L342:L345,$R342:$R345,W342:W345)</f>
        <v>#VALUE!</v>
      </c>
      <c r="AN344" s="249"/>
      <c r="AO344" s="252" t="e" cm="1">
        <f t="array" ref="AO344">bdRateExtend($G342:$G345,M342:M345,$R342:$R345,X342:X345)</f>
        <v>#VALUE!</v>
      </c>
      <c r="AP344" s="249"/>
    </row>
    <row r="345" spans="1:42" ht="17.100000000000001" customHeight="1" outlineLevel="4" thickBot="1" x14ac:dyDescent="0.3">
      <c r="A345" s="222"/>
      <c r="B345" s="220"/>
      <c r="C345" s="230"/>
      <c r="D345" s="233"/>
      <c r="E345" s="236"/>
      <c r="F345" s="9">
        <v>63</v>
      </c>
      <c r="G345" s="36"/>
      <c r="H345" s="37"/>
      <c r="I345" s="37"/>
      <c r="J345" s="37"/>
      <c r="K345" s="37"/>
      <c r="L345" s="37"/>
      <c r="M345" s="37"/>
      <c r="N345" s="37"/>
      <c r="O345" s="37"/>
      <c r="P345" s="38"/>
      <c r="Q345" s="18"/>
      <c r="R345" s="36"/>
      <c r="S345" s="37"/>
      <c r="T345" s="37"/>
      <c r="U345" s="37"/>
      <c r="V345" s="37"/>
      <c r="W345" s="37"/>
      <c r="X345" s="37"/>
      <c r="Y345" s="37"/>
      <c r="Z345" s="37"/>
      <c r="AA345" s="38"/>
      <c r="AB345" s="52" t="e">
        <f t="shared" si="14"/>
        <v>#DIV/0!</v>
      </c>
      <c r="AC345" s="53" t="e">
        <f t="shared" si="15"/>
        <v>#DIV/0!</v>
      </c>
      <c r="AD345" s="19"/>
      <c r="AE345" s="19"/>
      <c r="AF345" s="286"/>
      <c r="AG345" s="247"/>
      <c r="AH345" s="243"/>
      <c r="AI345" s="243"/>
      <c r="AJ345" s="246"/>
      <c r="AK345" s="247"/>
      <c r="AL345" s="250"/>
      <c r="AM345" s="247"/>
      <c r="AN345" s="250"/>
      <c r="AO345" s="253"/>
      <c r="AP345" s="250"/>
    </row>
    <row r="346" spans="1:42" ht="17.100000000000001" customHeight="1" outlineLevel="4" x14ac:dyDescent="0.25">
      <c r="A346" s="222"/>
      <c r="B346" s="218" t="s">
        <v>18</v>
      </c>
      <c r="C346" s="228" t="s">
        <v>83</v>
      </c>
      <c r="D346" s="231">
        <v>60</v>
      </c>
      <c r="E346" s="234">
        <v>10</v>
      </c>
      <c r="F346" s="7">
        <v>23</v>
      </c>
      <c r="G346" s="31"/>
      <c r="H346" s="32"/>
      <c r="I346" s="32"/>
      <c r="J346" s="32"/>
      <c r="K346" s="32"/>
      <c r="L346" s="32"/>
      <c r="M346" s="32"/>
      <c r="N346" s="32"/>
      <c r="O346" s="32"/>
      <c r="P346" s="33"/>
      <c r="Q346" s="18"/>
      <c r="R346" s="31"/>
      <c r="S346" s="32"/>
      <c r="T346" s="32"/>
      <c r="U346" s="32"/>
      <c r="V346" s="32"/>
      <c r="W346" s="32"/>
      <c r="X346" s="32"/>
      <c r="Y346" s="32"/>
      <c r="Z346" s="32"/>
      <c r="AA346" s="33"/>
      <c r="AB346" s="48" t="e">
        <f t="shared" si="14"/>
        <v>#DIV/0!</v>
      </c>
      <c r="AC346" s="49" t="e">
        <f t="shared" si="15"/>
        <v>#DIV/0!</v>
      </c>
      <c r="AD346" s="19"/>
      <c r="AE346" s="19"/>
      <c r="AF346" s="284" t="s">
        <v>126</v>
      </c>
      <c r="AG346" s="239" t="e" cm="1">
        <f t="array" ref="AG346">bdRateExtend($G346:$G349,H346:H349,$R346:$R349,S346:S349)</f>
        <v>#VALUE!</v>
      </c>
      <c r="AH346" s="241" t="e" cm="1">
        <f t="array" ref="AH346">bdRateExtend($G346:$G351,H346:H351,$R346:$R351,S346:S351)</f>
        <v>#VALUE!</v>
      </c>
      <c r="AI346" s="241" t="e" cm="1">
        <f t="array" ref="AI346">bdRateExtend($G346:$G351,I346:I351,$R346:$R351,T346:T351)</f>
        <v>#VALUE!</v>
      </c>
      <c r="AJ346" s="244" t="e" cm="1">
        <f t="array" ref="AJ346">bdRateExtend($G346:$G351,J346:J351,$R346:$R351,U346:U351)</f>
        <v>#VALUE!</v>
      </c>
      <c r="AK346" s="239" t="e" cm="1">
        <f t="array" ref="AK346">bdRateExtend($G346:$G349,K346:K349,$R346:$R349,V346:V349)</f>
        <v>#VALUE!</v>
      </c>
      <c r="AL346" s="248" t="e" cm="1">
        <f t="array" ref="AL346">bdRateExtend($G346:$G351,K346:K351,$R346:$R351,V346:V351)</f>
        <v>#VALUE!</v>
      </c>
      <c r="AM346" s="239" t="e" cm="1">
        <f t="array" ref="AM346">bdRateExtend($G346:$G349,L346:L349,$R346:$R349,W346:W349)</f>
        <v>#VALUE!</v>
      </c>
      <c r="AN346" s="248" t="e" cm="1">
        <f t="array" ref="AN346">bdRateExtend($G346:$G351,L346:L351,$R346:$R351,W346:W351)</f>
        <v>#VALUE!</v>
      </c>
      <c r="AO346" s="254" t="e" cm="1">
        <f t="array" ref="AO346">bdRateExtend($G346:$G349,M346:M349,$R346:$R349,X346:X349)</f>
        <v>#VALUE!</v>
      </c>
      <c r="AP346" s="248" t="e" cm="1">
        <f t="array" ref="AP346">bdRateExtend($G346:$G351,M346:M351,$R346:$R351,X346:X351)</f>
        <v>#VALUE!</v>
      </c>
    </row>
    <row r="347" spans="1:42" ht="17.100000000000001" customHeight="1" outlineLevel="4" x14ac:dyDescent="0.25">
      <c r="A347" s="222"/>
      <c r="B347" s="219"/>
      <c r="C347" s="229"/>
      <c r="D347" s="232"/>
      <c r="E347" s="235"/>
      <c r="F347" s="16">
        <v>31</v>
      </c>
      <c r="G347" s="34"/>
      <c r="H347" s="39"/>
      <c r="I347" s="39"/>
      <c r="J347" s="39"/>
      <c r="K347" s="39"/>
      <c r="L347" s="39"/>
      <c r="M347" s="39"/>
      <c r="N347" s="39"/>
      <c r="O347" s="39"/>
      <c r="P347" s="35"/>
      <c r="Q347" s="18"/>
      <c r="R347" s="34"/>
      <c r="S347" s="39"/>
      <c r="T347" s="39"/>
      <c r="U347" s="39"/>
      <c r="V347" s="39"/>
      <c r="W347" s="39"/>
      <c r="X347" s="39"/>
      <c r="Y347" s="39"/>
      <c r="Z347" s="39"/>
      <c r="AA347" s="35"/>
      <c r="AB347" s="50" t="e">
        <f t="shared" si="14"/>
        <v>#DIV/0!</v>
      </c>
      <c r="AC347" s="51" t="e">
        <f t="shared" si="15"/>
        <v>#DIV/0!</v>
      </c>
      <c r="AD347" s="19"/>
      <c r="AE347" s="19"/>
      <c r="AF347" s="285"/>
      <c r="AG347" s="240"/>
      <c r="AH347" s="242"/>
      <c r="AI347" s="242"/>
      <c r="AJ347" s="245"/>
      <c r="AK347" s="240"/>
      <c r="AL347" s="249"/>
      <c r="AM347" s="240"/>
      <c r="AN347" s="249"/>
      <c r="AO347" s="252"/>
      <c r="AP347" s="249"/>
    </row>
    <row r="348" spans="1:42" ht="17.100000000000001" customHeight="1" outlineLevel="4" x14ac:dyDescent="0.25">
      <c r="A348" s="222"/>
      <c r="B348" s="219"/>
      <c r="C348" s="229"/>
      <c r="D348" s="232"/>
      <c r="E348" s="235"/>
      <c r="F348" s="16">
        <v>39</v>
      </c>
      <c r="G348" s="34"/>
      <c r="H348" s="39"/>
      <c r="I348" s="39"/>
      <c r="J348" s="39"/>
      <c r="K348" s="39"/>
      <c r="L348" s="39"/>
      <c r="M348" s="39"/>
      <c r="N348" s="39"/>
      <c r="O348" s="39"/>
      <c r="P348" s="35"/>
      <c r="Q348" s="18"/>
      <c r="R348" s="34"/>
      <c r="S348" s="39"/>
      <c r="T348" s="39"/>
      <c r="U348" s="39"/>
      <c r="V348" s="39"/>
      <c r="W348" s="39"/>
      <c r="X348" s="39"/>
      <c r="Y348" s="39"/>
      <c r="Z348" s="39"/>
      <c r="AA348" s="35"/>
      <c r="AB348" s="50" t="e">
        <f t="shared" si="14"/>
        <v>#DIV/0!</v>
      </c>
      <c r="AC348" s="51" t="e">
        <f t="shared" si="15"/>
        <v>#DIV/0!</v>
      </c>
      <c r="AD348" s="19"/>
      <c r="AE348" s="19"/>
      <c r="AF348" s="285" t="s">
        <v>127</v>
      </c>
      <c r="AG348" s="240" t="e" cm="1">
        <f t="array" ref="AG348">bdRateExtend($G347:$G350,H347:H350,$R347:$R350,S347:S350)</f>
        <v>#VALUE!</v>
      </c>
      <c r="AH348" s="242"/>
      <c r="AI348" s="242"/>
      <c r="AJ348" s="245"/>
      <c r="AK348" s="240" t="e" cm="1">
        <f t="array" ref="AK348">bdRateExtend($G347:$G350,K347:K350,$R347:$R350,V347:V350)</f>
        <v>#VALUE!</v>
      </c>
      <c r="AL348" s="249"/>
      <c r="AM348" s="240" t="e" cm="1">
        <f t="array" ref="AM348">bdRateExtend($G347:$G350,L347:L350,$R347:$R350,W347:W350)</f>
        <v>#VALUE!</v>
      </c>
      <c r="AN348" s="249"/>
      <c r="AO348" s="252" t="e" cm="1">
        <f t="array" ref="AO348">bdRateExtend($G347:$G350,M347:M350,$R347:$R350,X347:X350)</f>
        <v>#VALUE!</v>
      </c>
      <c r="AP348" s="249"/>
    </row>
    <row r="349" spans="1:42" ht="17.100000000000001" customHeight="1" outlineLevel="4" x14ac:dyDescent="0.25">
      <c r="A349" s="222"/>
      <c r="B349" s="219"/>
      <c r="C349" s="229"/>
      <c r="D349" s="232"/>
      <c r="E349" s="235"/>
      <c r="F349" s="16">
        <v>47</v>
      </c>
      <c r="G349" s="34"/>
      <c r="H349" s="39"/>
      <c r="I349" s="39"/>
      <c r="J349" s="39"/>
      <c r="K349" s="39"/>
      <c r="L349" s="39"/>
      <c r="M349" s="39"/>
      <c r="N349" s="39"/>
      <c r="O349" s="39"/>
      <c r="P349" s="35"/>
      <c r="Q349" s="18"/>
      <c r="R349" s="34"/>
      <c r="S349" s="39"/>
      <c r="T349" s="39"/>
      <c r="U349" s="39"/>
      <c r="V349" s="39"/>
      <c r="W349" s="39"/>
      <c r="X349" s="39"/>
      <c r="Y349" s="39"/>
      <c r="Z349" s="39"/>
      <c r="AA349" s="35"/>
      <c r="AB349" s="50" t="e">
        <f t="shared" si="14"/>
        <v>#DIV/0!</v>
      </c>
      <c r="AC349" s="51" t="e">
        <f t="shared" si="15"/>
        <v>#DIV/0!</v>
      </c>
      <c r="AD349" s="19"/>
      <c r="AE349" s="19"/>
      <c r="AF349" s="285"/>
      <c r="AG349" s="240"/>
      <c r="AH349" s="242"/>
      <c r="AI349" s="242"/>
      <c r="AJ349" s="245"/>
      <c r="AK349" s="240"/>
      <c r="AL349" s="249"/>
      <c r="AM349" s="240"/>
      <c r="AN349" s="249"/>
      <c r="AO349" s="252"/>
      <c r="AP349" s="249"/>
    </row>
    <row r="350" spans="1:42" ht="17.100000000000001" customHeight="1" outlineLevel="4" x14ac:dyDescent="0.25">
      <c r="A350" s="222"/>
      <c r="B350" s="219"/>
      <c r="C350" s="229"/>
      <c r="D350" s="232"/>
      <c r="E350" s="235"/>
      <c r="F350" s="16">
        <v>55</v>
      </c>
      <c r="G350" s="34"/>
      <c r="H350" s="39"/>
      <c r="I350" s="39"/>
      <c r="J350" s="39"/>
      <c r="K350" s="39"/>
      <c r="L350" s="39"/>
      <c r="M350" s="39"/>
      <c r="N350" s="39"/>
      <c r="O350" s="39"/>
      <c r="P350" s="35"/>
      <c r="Q350" s="18"/>
      <c r="R350" s="34"/>
      <c r="S350" s="39"/>
      <c r="T350" s="39"/>
      <c r="U350" s="39"/>
      <c r="V350" s="39"/>
      <c r="W350" s="39"/>
      <c r="X350" s="39"/>
      <c r="Y350" s="39"/>
      <c r="Z350" s="39"/>
      <c r="AA350" s="35"/>
      <c r="AB350" s="50" t="e">
        <f t="shared" si="14"/>
        <v>#DIV/0!</v>
      </c>
      <c r="AC350" s="51" t="e">
        <f t="shared" si="15"/>
        <v>#DIV/0!</v>
      </c>
      <c r="AD350" s="19"/>
      <c r="AE350" s="19"/>
      <c r="AF350" s="285" t="s">
        <v>128</v>
      </c>
      <c r="AG350" s="240" t="e" cm="1">
        <f t="array" ref="AG350">bdRateExtend($G348:$G351,H348:H351,$R348:$R351,S348:S351)</f>
        <v>#VALUE!</v>
      </c>
      <c r="AH350" s="242"/>
      <c r="AI350" s="242"/>
      <c r="AJ350" s="245"/>
      <c r="AK350" s="240" t="e" cm="1">
        <f t="array" ref="AK350">bdRateExtend($G348:$G351,K348:K351,$R348:$R351,V348:V351)</f>
        <v>#VALUE!</v>
      </c>
      <c r="AL350" s="249"/>
      <c r="AM350" s="240" t="e" cm="1">
        <f t="array" ref="AM350">bdRateExtend($G348:$G351,L348:L351,$R348:$R351,W348:W351)</f>
        <v>#VALUE!</v>
      </c>
      <c r="AN350" s="249"/>
      <c r="AO350" s="252" t="e" cm="1">
        <f t="array" ref="AO350">bdRateExtend($G348:$G351,M348:M351,$R348:$R351,X348:X351)</f>
        <v>#VALUE!</v>
      </c>
      <c r="AP350" s="249"/>
    </row>
    <row r="351" spans="1:42" ht="17.100000000000001" customHeight="1" outlineLevel="4" thickBot="1" x14ac:dyDescent="0.3">
      <c r="A351" s="222"/>
      <c r="B351" s="220"/>
      <c r="C351" s="230"/>
      <c r="D351" s="233"/>
      <c r="E351" s="236"/>
      <c r="F351" s="9">
        <v>63</v>
      </c>
      <c r="G351" s="36"/>
      <c r="H351" s="37"/>
      <c r="I351" s="37"/>
      <c r="J351" s="37"/>
      <c r="K351" s="37"/>
      <c r="L351" s="37"/>
      <c r="M351" s="37"/>
      <c r="N351" s="37"/>
      <c r="O351" s="37"/>
      <c r="P351" s="38"/>
      <c r="Q351" s="18"/>
      <c r="R351" s="36"/>
      <c r="S351" s="37"/>
      <c r="T351" s="37"/>
      <c r="U351" s="37"/>
      <c r="V351" s="37"/>
      <c r="W351" s="37"/>
      <c r="X351" s="37"/>
      <c r="Y351" s="37"/>
      <c r="Z351" s="37"/>
      <c r="AA351" s="38"/>
      <c r="AB351" s="52" t="e">
        <f t="shared" si="14"/>
        <v>#DIV/0!</v>
      </c>
      <c r="AC351" s="53" t="e">
        <f t="shared" si="15"/>
        <v>#DIV/0!</v>
      </c>
      <c r="AD351" s="19"/>
      <c r="AE351" s="19"/>
      <c r="AF351" s="286"/>
      <c r="AG351" s="247"/>
      <c r="AH351" s="243"/>
      <c r="AI351" s="243"/>
      <c r="AJ351" s="246"/>
      <c r="AK351" s="247"/>
      <c r="AL351" s="250"/>
      <c r="AM351" s="247"/>
      <c r="AN351" s="250"/>
      <c r="AO351" s="253"/>
      <c r="AP351" s="250"/>
    </row>
    <row r="352" spans="1:42" ht="17.100000000000001" customHeight="1" outlineLevel="4" x14ac:dyDescent="0.25">
      <c r="A352" s="222"/>
      <c r="B352" s="218" t="s">
        <v>18</v>
      </c>
      <c r="C352" s="228" t="s">
        <v>84</v>
      </c>
      <c r="D352" s="231">
        <v>60</v>
      </c>
      <c r="E352" s="234">
        <v>10</v>
      </c>
      <c r="F352" s="7">
        <v>23</v>
      </c>
      <c r="G352" s="31"/>
      <c r="H352" s="32"/>
      <c r="I352" s="32"/>
      <c r="J352" s="32"/>
      <c r="K352" s="32"/>
      <c r="L352" s="32"/>
      <c r="M352" s="32"/>
      <c r="N352" s="32"/>
      <c r="O352" s="32"/>
      <c r="P352" s="33"/>
      <c r="Q352" s="18"/>
      <c r="R352" s="31"/>
      <c r="S352" s="32"/>
      <c r="T352" s="32"/>
      <c r="U352" s="32"/>
      <c r="V352" s="32"/>
      <c r="W352" s="32"/>
      <c r="X352" s="32"/>
      <c r="Y352" s="32"/>
      <c r="Z352" s="32"/>
      <c r="AA352" s="33"/>
      <c r="AB352" s="48" t="e">
        <f t="shared" si="14"/>
        <v>#DIV/0!</v>
      </c>
      <c r="AC352" s="49" t="e">
        <f t="shared" si="15"/>
        <v>#DIV/0!</v>
      </c>
      <c r="AD352" s="19"/>
      <c r="AE352" s="19"/>
      <c r="AF352" s="284" t="s">
        <v>126</v>
      </c>
      <c r="AG352" s="239" t="e" cm="1">
        <f t="array" ref="AG352">bdRateExtend($G352:$G355,H352:H355,$R352:$R355,S352:S355)</f>
        <v>#VALUE!</v>
      </c>
      <c r="AH352" s="241" t="e" cm="1">
        <f t="array" ref="AH352">bdRateExtend($G352:$G357,H352:H357,$R352:$R357,S352:S357)</f>
        <v>#VALUE!</v>
      </c>
      <c r="AI352" s="241" t="e" cm="1">
        <f t="array" ref="AI352">bdRateExtend($G352:$G357,I352:I357,$R352:$R357,T352:T357)</f>
        <v>#VALUE!</v>
      </c>
      <c r="AJ352" s="244" t="e" cm="1">
        <f t="array" ref="AJ352">bdRateExtend($G352:$G357,J352:J357,$R352:$R357,U352:U357)</f>
        <v>#VALUE!</v>
      </c>
      <c r="AK352" s="239" t="e" cm="1">
        <f t="array" ref="AK352">bdRateExtend($G352:$G355,K352:K355,$R352:$R355,V352:V355)</f>
        <v>#VALUE!</v>
      </c>
      <c r="AL352" s="248" t="e" cm="1">
        <f t="array" ref="AL352">bdRateExtend($G352:$G357,K352:K357,$R352:$R357,V352:V357)</f>
        <v>#VALUE!</v>
      </c>
      <c r="AM352" s="239" t="e" cm="1">
        <f t="array" ref="AM352">bdRateExtend($G352:$G355,L352:L355,$R352:$R355,W352:W355)</f>
        <v>#VALUE!</v>
      </c>
      <c r="AN352" s="248" t="e" cm="1">
        <f t="array" ref="AN352">bdRateExtend($G352:$G357,L352:L357,$R352:$R357,W352:W357)</f>
        <v>#VALUE!</v>
      </c>
      <c r="AO352" s="254" t="e" cm="1">
        <f t="array" ref="AO352">bdRateExtend($G352:$G355,M352:M355,$R352:$R355,X352:X355)</f>
        <v>#VALUE!</v>
      </c>
      <c r="AP352" s="248" t="e" cm="1">
        <f t="array" ref="AP352">bdRateExtend($G352:$G357,M352:M357,$R352:$R357,X352:X357)</f>
        <v>#VALUE!</v>
      </c>
    </row>
    <row r="353" spans="1:42" ht="17.100000000000001" customHeight="1" outlineLevel="4" x14ac:dyDescent="0.25">
      <c r="A353" s="222"/>
      <c r="B353" s="219"/>
      <c r="C353" s="229"/>
      <c r="D353" s="232"/>
      <c r="E353" s="235"/>
      <c r="F353" s="16">
        <v>31</v>
      </c>
      <c r="G353" s="34"/>
      <c r="H353" s="39"/>
      <c r="I353" s="39"/>
      <c r="J353" s="39"/>
      <c r="K353" s="39"/>
      <c r="L353" s="39"/>
      <c r="M353" s="39"/>
      <c r="N353" s="39"/>
      <c r="O353" s="39"/>
      <c r="P353" s="35"/>
      <c r="Q353" s="18"/>
      <c r="R353" s="34"/>
      <c r="S353" s="39"/>
      <c r="T353" s="39"/>
      <c r="U353" s="39"/>
      <c r="V353" s="39"/>
      <c r="W353" s="39"/>
      <c r="X353" s="39"/>
      <c r="Y353" s="39"/>
      <c r="Z353" s="39"/>
      <c r="AA353" s="35"/>
      <c r="AB353" s="50" t="e">
        <f t="shared" si="14"/>
        <v>#DIV/0!</v>
      </c>
      <c r="AC353" s="51" t="e">
        <f t="shared" si="15"/>
        <v>#DIV/0!</v>
      </c>
      <c r="AD353" s="19"/>
      <c r="AE353" s="19"/>
      <c r="AF353" s="285"/>
      <c r="AG353" s="240"/>
      <c r="AH353" s="242"/>
      <c r="AI353" s="242"/>
      <c r="AJ353" s="245"/>
      <c r="AK353" s="240"/>
      <c r="AL353" s="249"/>
      <c r="AM353" s="240"/>
      <c r="AN353" s="249"/>
      <c r="AO353" s="252"/>
      <c r="AP353" s="249"/>
    </row>
    <row r="354" spans="1:42" ht="17.100000000000001" customHeight="1" outlineLevel="4" x14ac:dyDescent="0.25">
      <c r="A354" s="222"/>
      <c r="B354" s="219"/>
      <c r="C354" s="229"/>
      <c r="D354" s="232"/>
      <c r="E354" s="235"/>
      <c r="F354" s="16">
        <v>39</v>
      </c>
      <c r="G354" s="34"/>
      <c r="H354" s="39"/>
      <c r="I354" s="39"/>
      <c r="J354" s="39"/>
      <c r="K354" s="39"/>
      <c r="L354" s="39"/>
      <c r="M354" s="39"/>
      <c r="N354" s="39"/>
      <c r="O354" s="39"/>
      <c r="P354" s="35"/>
      <c r="Q354" s="18"/>
      <c r="R354" s="34"/>
      <c r="S354" s="39"/>
      <c r="T354" s="39"/>
      <c r="U354" s="39"/>
      <c r="V354" s="39"/>
      <c r="W354" s="39"/>
      <c r="X354" s="39"/>
      <c r="Y354" s="39"/>
      <c r="Z354" s="39"/>
      <c r="AA354" s="35"/>
      <c r="AB354" s="50" t="e">
        <f t="shared" si="14"/>
        <v>#DIV/0!</v>
      </c>
      <c r="AC354" s="51" t="e">
        <f t="shared" si="15"/>
        <v>#DIV/0!</v>
      </c>
      <c r="AD354" s="19"/>
      <c r="AE354" s="19"/>
      <c r="AF354" s="285" t="s">
        <v>127</v>
      </c>
      <c r="AG354" s="240" t="e" cm="1">
        <f t="array" ref="AG354">bdRateExtend($G353:$G356,H353:H356,$R353:$R356,S353:S356)</f>
        <v>#VALUE!</v>
      </c>
      <c r="AH354" s="242"/>
      <c r="AI354" s="242"/>
      <c r="AJ354" s="245"/>
      <c r="AK354" s="240" t="e" cm="1">
        <f t="array" ref="AK354">bdRateExtend($G353:$G356,K353:K356,$R353:$R356,V353:V356)</f>
        <v>#VALUE!</v>
      </c>
      <c r="AL354" s="249"/>
      <c r="AM354" s="240" t="e" cm="1">
        <f t="array" ref="AM354">bdRateExtend($G353:$G356,L353:L356,$R353:$R356,W353:W356)</f>
        <v>#VALUE!</v>
      </c>
      <c r="AN354" s="249"/>
      <c r="AO354" s="252" t="e" cm="1">
        <f t="array" ref="AO354">bdRateExtend($G353:$G356,M353:M356,$R353:$R356,X353:X356)</f>
        <v>#VALUE!</v>
      </c>
      <c r="AP354" s="249"/>
    </row>
    <row r="355" spans="1:42" ht="17.100000000000001" customHeight="1" outlineLevel="4" x14ac:dyDescent="0.25">
      <c r="A355" s="222"/>
      <c r="B355" s="219"/>
      <c r="C355" s="229"/>
      <c r="D355" s="232"/>
      <c r="E355" s="235"/>
      <c r="F355" s="16">
        <v>47</v>
      </c>
      <c r="G355" s="34"/>
      <c r="H355" s="39"/>
      <c r="I355" s="39"/>
      <c r="J355" s="39"/>
      <c r="K355" s="39"/>
      <c r="L355" s="39"/>
      <c r="M355" s="39"/>
      <c r="N355" s="39"/>
      <c r="O355" s="39"/>
      <c r="P355" s="35"/>
      <c r="Q355" s="18"/>
      <c r="R355" s="34"/>
      <c r="S355" s="39"/>
      <c r="T355" s="39"/>
      <c r="U355" s="39"/>
      <c r="V355" s="39"/>
      <c r="W355" s="39"/>
      <c r="X355" s="39"/>
      <c r="Y355" s="39"/>
      <c r="Z355" s="39"/>
      <c r="AA355" s="35"/>
      <c r="AB355" s="50" t="e">
        <f t="shared" si="14"/>
        <v>#DIV/0!</v>
      </c>
      <c r="AC355" s="51" t="e">
        <f t="shared" si="15"/>
        <v>#DIV/0!</v>
      </c>
      <c r="AD355" s="19"/>
      <c r="AE355" s="19"/>
      <c r="AF355" s="285"/>
      <c r="AG355" s="240"/>
      <c r="AH355" s="242"/>
      <c r="AI355" s="242"/>
      <c r="AJ355" s="245"/>
      <c r="AK355" s="240"/>
      <c r="AL355" s="249"/>
      <c r="AM355" s="240"/>
      <c r="AN355" s="249"/>
      <c r="AO355" s="252"/>
      <c r="AP355" s="249"/>
    </row>
    <row r="356" spans="1:42" ht="17.100000000000001" customHeight="1" outlineLevel="4" x14ac:dyDescent="0.25">
      <c r="A356" s="222"/>
      <c r="B356" s="219"/>
      <c r="C356" s="229"/>
      <c r="D356" s="232"/>
      <c r="E356" s="235"/>
      <c r="F356" s="16">
        <v>55</v>
      </c>
      <c r="G356" s="34"/>
      <c r="H356" s="39"/>
      <c r="I356" s="39"/>
      <c r="J356" s="39"/>
      <c r="K356" s="39"/>
      <c r="L356" s="39"/>
      <c r="M356" s="39"/>
      <c r="N356" s="39"/>
      <c r="O356" s="39"/>
      <c r="P356" s="35"/>
      <c r="Q356" s="18"/>
      <c r="R356" s="34"/>
      <c r="S356" s="39"/>
      <c r="T356" s="39"/>
      <c r="U356" s="39"/>
      <c r="V356" s="39"/>
      <c r="W356" s="39"/>
      <c r="X356" s="39"/>
      <c r="Y356" s="39"/>
      <c r="Z356" s="39"/>
      <c r="AA356" s="35"/>
      <c r="AB356" s="50" t="e">
        <f t="shared" si="14"/>
        <v>#DIV/0!</v>
      </c>
      <c r="AC356" s="51" t="e">
        <f t="shared" si="15"/>
        <v>#DIV/0!</v>
      </c>
      <c r="AD356" s="19"/>
      <c r="AE356" s="19"/>
      <c r="AF356" s="285" t="s">
        <v>128</v>
      </c>
      <c r="AG356" s="240" t="e" cm="1">
        <f t="array" ref="AG356">bdRateExtend($G354:$G357,H354:H357,$R354:$R357,S354:S357)</f>
        <v>#VALUE!</v>
      </c>
      <c r="AH356" s="242"/>
      <c r="AI356" s="242"/>
      <c r="AJ356" s="245"/>
      <c r="AK356" s="240" t="e" cm="1">
        <f t="array" ref="AK356">bdRateExtend($G354:$G357,K354:K357,$R354:$R357,V354:V357)</f>
        <v>#VALUE!</v>
      </c>
      <c r="AL356" s="249"/>
      <c r="AM356" s="240" t="e" cm="1">
        <f t="array" ref="AM356">bdRateExtend($G354:$G357,L354:L357,$R354:$R357,W354:W357)</f>
        <v>#VALUE!</v>
      </c>
      <c r="AN356" s="249"/>
      <c r="AO356" s="252" t="e" cm="1">
        <f t="array" ref="AO356">bdRateExtend($G354:$G357,M354:M357,$R354:$R357,X354:X357)</f>
        <v>#VALUE!</v>
      </c>
      <c r="AP356" s="249"/>
    </row>
    <row r="357" spans="1:42" ht="17.100000000000001" customHeight="1" outlineLevel="4" thickBot="1" x14ac:dyDescent="0.3">
      <c r="A357" s="222"/>
      <c r="B357" s="220"/>
      <c r="C357" s="230"/>
      <c r="D357" s="233"/>
      <c r="E357" s="236"/>
      <c r="F357" s="9">
        <v>63</v>
      </c>
      <c r="G357" s="36"/>
      <c r="H357" s="37"/>
      <c r="I357" s="37"/>
      <c r="J357" s="37"/>
      <c r="K357" s="37"/>
      <c r="L357" s="37"/>
      <c r="M357" s="37"/>
      <c r="N357" s="37"/>
      <c r="O357" s="37"/>
      <c r="P357" s="38"/>
      <c r="Q357" s="18"/>
      <c r="R357" s="36"/>
      <c r="S357" s="37"/>
      <c r="T357" s="37"/>
      <c r="U357" s="37"/>
      <c r="V357" s="37"/>
      <c r="W357" s="37"/>
      <c r="X357" s="37"/>
      <c r="Y357" s="37"/>
      <c r="Z357" s="37"/>
      <c r="AA357" s="38"/>
      <c r="AB357" s="52" t="e">
        <f t="shared" si="14"/>
        <v>#DIV/0!</v>
      </c>
      <c r="AC357" s="53" t="e">
        <f t="shared" si="15"/>
        <v>#DIV/0!</v>
      </c>
      <c r="AD357" s="19"/>
      <c r="AE357" s="19"/>
      <c r="AF357" s="286"/>
      <c r="AG357" s="247"/>
      <c r="AH357" s="243"/>
      <c r="AI357" s="243"/>
      <c r="AJ357" s="246"/>
      <c r="AK357" s="247"/>
      <c r="AL357" s="250"/>
      <c r="AM357" s="247"/>
      <c r="AN357" s="250"/>
      <c r="AO357" s="253"/>
      <c r="AP357" s="250"/>
    </row>
    <row r="358" spans="1:42" ht="17.100000000000001" customHeight="1" outlineLevel="4" x14ac:dyDescent="0.25">
      <c r="A358" s="222"/>
      <c r="B358" s="218" t="s">
        <v>97</v>
      </c>
      <c r="C358" s="228" t="s">
        <v>85</v>
      </c>
      <c r="D358" s="231">
        <v>59.94</v>
      </c>
      <c r="E358" s="234">
        <v>10</v>
      </c>
      <c r="F358" s="7">
        <v>23</v>
      </c>
      <c r="G358" s="31"/>
      <c r="H358" s="32"/>
      <c r="I358" s="32"/>
      <c r="J358" s="32"/>
      <c r="K358" s="32"/>
      <c r="L358" s="32"/>
      <c r="M358" s="32"/>
      <c r="N358" s="32"/>
      <c r="O358" s="32"/>
      <c r="P358" s="33"/>
      <c r="Q358" s="18"/>
      <c r="R358" s="31"/>
      <c r="S358" s="32"/>
      <c r="T358" s="32"/>
      <c r="U358" s="32"/>
      <c r="V358" s="32"/>
      <c r="W358" s="32"/>
      <c r="X358" s="32"/>
      <c r="Y358" s="32"/>
      <c r="Z358" s="32"/>
      <c r="AA358" s="33"/>
      <c r="AB358" s="48" t="e">
        <f t="shared" ref="AB358:AB405" si="16">Y358/N358</f>
        <v>#DIV/0!</v>
      </c>
      <c r="AC358" s="49" t="e">
        <f t="shared" ref="AC358:AC405" si="17">Z358/O358</f>
        <v>#DIV/0!</v>
      </c>
      <c r="AD358" s="19"/>
      <c r="AE358" s="19"/>
      <c r="AF358" s="284" t="s">
        <v>126</v>
      </c>
      <c r="AG358" s="239" t="e" cm="1">
        <f t="array" ref="AG358">bdRateExtend($G358:$G361,H358:H361,$R358:$R361,S358:S361)</f>
        <v>#VALUE!</v>
      </c>
      <c r="AH358" s="241" t="e" cm="1">
        <f t="array" ref="AH358">bdRateExtend($G358:$G363,H358:H363,$R358:$R363,S358:S363)</f>
        <v>#VALUE!</v>
      </c>
      <c r="AI358" s="241" t="e" cm="1">
        <f t="array" ref="AI358">bdRateExtend($G358:$G363,I358:I363,$R358:$R363,T358:T363)</f>
        <v>#VALUE!</v>
      </c>
      <c r="AJ358" s="244" t="e" cm="1">
        <f t="array" ref="AJ358">bdRateExtend($G358:$G363,J358:J363,$R358:$R363,U358:U363)</f>
        <v>#VALUE!</v>
      </c>
      <c r="AK358" s="239" t="e" cm="1">
        <f t="array" ref="AK358">bdRateExtend($G358:$G361,K358:K361,$R358:$R361,V358:V361)</f>
        <v>#VALUE!</v>
      </c>
      <c r="AL358" s="248" t="e" cm="1">
        <f t="array" ref="AL358">bdRateExtend($G358:$G363,K358:K363,$R358:$R363,V358:V363)</f>
        <v>#VALUE!</v>
      </c>
      <c r="AM358" s="239" t="e" cm="1">
        <f t="array" ref="AM358">bdRateExtend($G358:$G361,L358:L361,$R358:$R361,W358:W361)</f>
        <v>#VALUE!</v>
      </c>
      <c r="AN358" s="248" t="e" cm="1">
        <f t="array" ref="AN358">bdRateExtend($G358:$G363,L358:L363,$R358:$R363,W358:W363)</f>
        <v>#VALUE!</v>
      </c>
      <c r="AO358" s="254" t="e" cm="1">
        <f t="array" ref="AO358">bdRateExtend($G358:$G361,M358:M361,$R358:$R361,X358:X361)</f>
        <v>#VALUE!</v>
      </c>
      <c r="AP358" s="248" t="e" cm="1">
        <f t="array" ref="AP358">bdRateExtend($G358:$G363,M358:M363,$R358:$R363,X358:X363)</f>
        <v>#VALUE!</v>
      </c>
    </row>
    <row r="359" spans="1:42" ht="17.100000000000001" customHeight="1" outlineLevel="4" x14ac:dyDescent="0.25">
      <c r="A359" s="222"/>
      <c r="B359" s="219"/>
      <c r="C359" s="229"/>
      <c r="D359" s="232"/>
      <c r="E359" s="235"/>
      <c r="F359" s="16">
        <v>31</v>
      </c>
      <c r="G359" s="34"/>
      <c r="H359" s="39"/>
      <c r="I359" s="39"/>
      <c r="J359" s="39"/>
      <c r="K359" s="39"/>
      <c r="L359" s="39"/>
      <c r="M359" s="39"/>
      <c r="N359" s="39"/>
      <c r="O359" s="39"/>
      <c r="P359" s="35"/>
      <c r="Q359" s="18"/>
      <c r="R359" s="34"/>
      <c r="S359" s="39"/>
      <c r="T359" s="39"/>
      <c r="U359" s="39"/>
      <c r="V359" s="39"/>
      <c r="W359" s="39"/>
      <c r="X359" s="39"/>
      <c r="Y359" s="39"/>
      <c r="Z359" s="39"/>
      <c r="AA359" s="35"/>
      <c r="AB359" s="50" t="e">
        <f t="shared" si="16"/>
        <v>#DIV/0!</v>
      </c>
      <c r="AC359" s="51" t="e">
        <f t="shared" si="17"/>
        <v>#DIV/0!</v>
      </c>
      <c r="AD359" s="19"/>
      <c r="AE359" s="19"/>
      <c r="AF359" s="285"/>
      <c r="AG359" s="240"/>
      <c r="AH359" s="242"/>
      <c r="AI359" s="242"/>
      <c r="AJ359" s="245"/>
      <c r="AK359" s="240"/>
      <c r="AL359" s="249"/>
      <c r="AM359" s="240"/>
      <c r="AN359" s="249"/>
      <c r="AO359" s="252"/>
      <c r="AP359" s="249"/>
    </row>
    <row r="360" spans="1:42" ht="17.100000000000001" customHeight="1" outlineLevel="4" x14ac:dyDescent="0.25">
      <c r="A360" s="222"/>
      <c r="B360" s="219"/>
      <c r="C360" s="229"/>
      <c r="D360" s="232"/>
      <c r="E360" s="235"/>
      <c r="F360" s="16">
        <v>39</v>
      </c>
      <c r="G360" s="34"/>
      <c r="H360" s="39"/>
      <c r="I360" s="39"/>
      <c r="J360" s="39"/>
      <c r="K360" s="39"/>
      <c r="L360" s="39"/>
      <c r="M360" s="39"/>
      <c r="N360" s="39"/>
      <c r="O360" s="39"/>
      <c r="P360" s="35"/>
      <c r="Q360" s="18"/>
      <c r="R360" s="34"/>
      <c r="S360" s="39"/>
      <c r="T360" s="39"/>
      <c r="U360" s="39"/>
      <c r="V360" s="39"/>
      <c r="W360" s="39"/>
      <c r="X360" s="39"/>
      <c r="Y360" s="39"/>
      <c r="Z360" s="39"/>
      <c r="AA360" s="35"/>
      <c r="AB360" s="50" t="e">
        <f t="shared" si="16"/>
        <v>#DIV/0!</v>
      </c>
      <c r="AC360" s="51" t="e">
        <f t="shared" si="17"/>
        <v>#DIV/0!</v>
      </c>
      <c r="AD360" s="19"/>
      <c r="AE360" s="19"/>
      <c r="AF360" s="285" t="s">
        <v>127</v>
      </c>
      <c r="AG360" s="240" t="e" cm="1">
        <f t="array" ref="AG360">bdRateExtend($G359:$G362,H359:H362,$R359:$R362,S359:S362)</f>
        <v>#VALUE!</v>
      </c>
      <c r="AH360" s="242"/>
      <c r="AI360" s="242"/>
      <c r="AJ360" s="245"/>
      <c r="AK360" s="240" t="e" cm="1">
        <f t="array" ref="AK360">bdRateExtend($G359:$G362,K359:K362,$R359:$R362,V359:V362)</f>
        <v>#VALUE!</v>
      </c>
      <c r="AL360" s="249"/>
      <c r="AM360" s="240" t="e" cm="1">
        <f t="array" ref="AM360">bdRateExtend($G359:$G362,L359:L362,$R359:$R362,W359:W362)</f>
        <v>#VALUE!</v>
      </c>
      <c r="AN360" s="249"/>
      <c r="AO360" s="252" t="e" cm="1">
        <f t="array" ref="AO360">bdRateExtend($G359:$G362,M359:M362,$R359:$R362,X359:X362)</f>
        <v>#VALUE!</v>
      </c>
      <c r="AP360" s="249"/>
    </row>
    <row r="361" spans="1:42" ht="17.100000000000001" customHeight="1" outlineLevel="4" x14ac:dyDescent="0.25">
      <c r="A361" s="222"/>
      <c r="B361" s="219"/>
      <c r="C361" s="229"/>
      <c r="D361" s="232"/>
      <c r="E361" s="235"/>
      <c r="F361" s="16">
        <v>47</v>
      </c>
      <c r="G361" s="34"/>
      <c r="H361" s="39"/>
      <c r="I361" s="39"/>
      <c r="J361" s="39"/>
      <c r="K361" s="39"/>
      <c r="L361" s="39"/>
      <c r="M361" s="39"/>
      <c r="N361" s="39"/>
      <c r="O361" s="39"/>
      <c r="P361" s="35"/>
      <c r="Q361" s="18"/>
      <c r="R361" s="34"/>
      <c r="S361" s="39"/>
      <c r="T361" s="39"/>
      <c r="U361" s="39"/>
      <c r="V361" s="39"/>
      <c r="W361" s="39"/>
      <c r="X361" s="39"/>
      <c r="Y361" s="39"/>
      <c r="Z361" s="39"/>
      <c r="AA361" s="35"/>
      <c r="AB361" s="50" t="e">
        <f t="shared" si="16"/>
        <v>#DIV/0!</v>
      </c>
      <c r="AC361" s="51" t="e">
        <f t="shared" si="17"/>
        <v>#DIV/0!</v>
      </c>
      <c r="AD361" s="19"/>
      <c r="AE361" s="19"/>
      <c r="AF361" s="285"/>
      <c r="AG361" s="240"/>
      <c r="AH361" s="242"/>
      <c r="AI361" s="242"/>
      <c r="AJ361" s="245"/>
      <c r="AK361" s="240"/>
      <c r="AL361" s="249"/>
      <c r="AM361" s="240"/>
      <c r="AN361" s="249"/>
      <c r="AO361" s="252"/>
      <c r="AP361" s="249"/>
    </row>
    <row r="362" spans="1:42" ht="17.100000000000001" customHeight="1" outlineLevel="4" x14ac:dyDescent="0.25">
      <c r="A362" s="222"/>
      <c r="B362" s="219"/>
      <c r="C362" s="229"/>
      <c r="D362" s="232"/>
      <c r="E362" s="235"/>
      <c r="F362" s="16">
        <v>55</v>
      </c>
      <c r="G362" s="34"/>
      <c r="H362" s="39"/>
      <c r="I362" s="39"/>
      <c r="J362" s="39"/>
      <c r="K362" s="39"/>
      <c r="L362" s="39"/>
      <c r="M362" s="39"/>
      <c r="N362" s="39"/>
      <c r="O362" s="39"/>
      <c r="P362" s="35"/>
      <c r="Q362" s="18"/>
      <c r="R362" s="34"/>
      <c r="S362" s="39"/>
      <c r="T362" s="39"/>
      <c r="U362" s="39"/>
      <c r="V362" s="39"/>
      <c r="W362" s="39"/>
      <c r="X362" s="39"/>
      <c r="Y362" s="39"/>
      <c r="Z362" s="39"/>
      <c r="AA362" s="35"/>
      <c r="AB362" s="50" t="e">
        <f t="shared" si="16"/>
        <v>#DIV/0!</v>
      </c>
      <c r="AC362" s="51" t="e">
        <f t="shared" si="17"/>
        <v>#DIV/0!</v>
      </c>
      <c r="AD362" s="19"/>
      <c r="AE362" s="19"/>
      <c r="AF362" s="285" t="s">
        <v>128</v>
      </c>
      <c r="AG362" s="240" t="e" cm="1">
        <f t="array" ref="AG362">bdRateExtend($G360:$G363,H360:H363,$R360:$R363,S360:S363)</f>
        <v>#VALUE!</v>
      </c>
      <c r="AH362" s="242"/>
      <c r="AI362" s="242"/>
      <c r="AJ362" s="245"/>
      <c r="AK362" s="240" t="e" cm="1">
        <f t="array" ref="AK362">bdRateExtend($G360:$G363,K360:K363,$R360:$R363,V360:V363)</f>
        <v>#VALUE!</v>
      </c>
      <c r="AL362" s="249"/>
      <c r="AM362" s="240" t="e" cm="1">
        <f t="array" ref="AM362">bdRateExtend($G360:$G363,L360:L363,$R360:$R363,W360:W363)</f>
        <v>#VALUE!</v>
      </c>
      <c r="AN362" s="249"/>
      <c r="AO362" s="252" t="e" cm="1">
        <f t="array" ref="AO362">bdRateExtend($G360:$G363,M360:M363,$R360:$R363,X360:X363)</f>
        <v>#VALUE!</v>
      </c>
      <c r="AP362" s="249"/>
    </row>
    <row r="363" spans="1:42" ht="17.100000000000001" customHeight="1" outlineLevel="4" thickBot="1" x14ac:dyDescent="0.3">
      <c r="A363" s="223"/>
      <c r="B363" s="220"/>
      <c r="C363" s="230"/>
      <c r="D363" s="233"/>
      <c r="E363" s="236"/>
      <c r="F363" s="9">
        <v>63</v>
      </c>
      <c r="G363" s="36"/>
      <c r="H363" s="37"/>
      <c r="I363" s="37"/>
      <c r="J363" s="37"/>
      <c r="K363" s="37"/>
      <c r="L363" s="37"/>
      <c r="M363" s="37"/>
      <c r="N363" s="37"/>
      <c r="O363" s="37"/>
      <c r="P363" s="38"/>
      <c r="Q363" s="18"/>
      <c r="R363" s="36"/>
      <c r="S363" s="37"/>
      <c r="T363" s="37"/>
      <c r="U363" s="37"/>
      <c r="V363" s="37"/>
      <c r="W363" s="37"/>
      <c r="X363" s="37"/>
      <c r="Y363" s="37"/>
      <c r="Z363" s="37"/>
      <c r="AA363" s="38"/>
      <c r="AB363" s="52" t="e">
        <f t="shared" si="16"/>
        <v>#DIV/0!</v>
      </c>
      <c r="AC363" s="53" t="e">
        <f t="shared" si="17"/>
        <v>#DIV/0!</v>
      </c>
      <c r="AD363" s="19"/>
      <c r="AE363" s="19"/>
      <c r="AF363" s="286"/>
      <c r="AG363" s="247"/>
      <c r="AH363" s="243"/>
      <c r="AI363" s="243"/>
      <c r="AJ363" s="246"/>
      <c r="AK363" s="247"/>
      <c r="AL363" s="250"/>
      <c r="AM363" s="247"/>
      <c r="AN363" s="250"/>
      <c r="AO363" s="253"/>
      <c r="AP363" s="250"/>
    </row>
    <row r="364" spans="1:42" ht="17.100000000000001" customHeight="1" outlineLevel="3" x14ac:dyDescent="0.25">
      <c r="A364" s="221" t="s">
        <v>106</v>
      </c>
      <c r="B364" s="218" t="s">
        <v>93</v>
      </c>
      <c r="C364" s="228" t="s">
        <v>86</v>
      </c>
      <c r="D364" s="231">
        <v>24</v>
      </c>
      <c r="E364" s="234">
        <v>10</v>
      </c>
      <c r="F364" s="7">
        <v>23</v>
      </c>
      <c r="G364" s="31"/>
      <c r="H364" s="32"/>
      <c r="I364" s="32"/>
      <c r="J364" s="32"/>
      <c r="K364" s="32"/>
      <c r="L364" s="32"/>
      <c r="M364" s="32"/>
      <c r="N364" s="32"/>
      <c r="O364" s="32"/>
      <c r="P364" s="33"/>
      <c r="Q364" s="18"/>
      <c r="R364" s="31"/>
      <c r="S364" s="32"/>
      <c r="T364" s="32"/>
      <c r="U364" s="32"/>
      <c r="V364" s="32"/>
      <c r="W364" s="32"/>
      <c r="X364" s="32"/>
      <c r="Y364" s="32"/>
      <c r="Z364" s="32"/>
      <c r="AA364" s="33"/>
      <c r="AB364" s="48" t="e">
        <f t="shared" si="16"/>
        <v>#DIV/0!</v>
      </c>
      <c r="AC364" s="49" t="e">
        <f t="shared" si="17"/>
        <v>#DIV/0!</v>
      </c>
      <c r="AD364" s="19"/>
      <c r="AE364" s="19"/>
      <c r="AF364" s="284" t="s">
        <v>126</v>
      </c>
      <c r="AG364" s="239" t="e" cm="1">
        <f t="array" ref="AG364">bdRateExtend($G364:$G367,H364:H367,$R364:$R367,S364:S367)</f>
        <v>#VALUE!</v>
      </c>
      <c r="AH364" s="241" t="e" cm="1">
        <f t="array" ref="AH364">bdRateExtend($G364:$G369,H364:H369,$R364:$R369,S364:S369)</f>
        <v>#VALUE!</v>
      </c>
      <c r="AI364" s="241" t="e" cm="1">
        <f t="array" ref="AI364">bdRateExtend($G364:$G369,I364:I369,$R364:$R369,T364:T369)</f>
        <v>#VALUE!</v>
      </c>
      <c r="AJ364" s="244" t="e" cm="1">
        <f t="array" ref="AJ364">bdRateExtend($G364:$G369,J364:J369,$R364:$R369,U364:U369)</f>
        <v>#VALUE!</v>
      </c>
      <c r="AK364" s="239" t="e" cm="1">
        <f t="array" ref="AK364">bdRateExtend($G364:$G367,K364:K367,$R364:$R367,V364:V367)</f>
        <v>#VALUE!</v>
      </c>
      <c r="AL364" s="248" t="e" cm="1">
        <f t="array" ref="AL364">bdRateExtend($G364:$G369,K364:K369,$R364:$R369,V364:V369)</f>
        <v>#VALUE!</v>
      </c>
      <c r="AM364" s="239" t="e" cm="1">
        <f t="array" ref="AM364">bdRateExtend($G364:$G367,L364:L367,$R364:$R367,W364:W367)</f>
        <v>#VALUE!</v>
      </c>
      <c r="AN364" s="248" t="e" cm="1">
        <f t="array" ref="AN364">bdRateExtend($G364:$G369,L364:L369,$R364:$R369,W364:W369)</f>
        <v>#VALUE!</v>
      </c>
      <c r="AO364" s="254" t="e" cm="1">
        <f t="array" ref="AO364">bdRateExtend($G364:$G367,M364:M367,$R364:$R367,X364:X367)</f>
        <v>#VALUE!</v>
      </c>
      <c r="AP364" s="248" t="e" cm="1">
        <f t="array" ref="AP364">bdRateExtend($G364:$G369,M364:M369,$R364:$R369,X364:X369)</f>
        <v>#VALUE!</v>
      </c>
    </row>
    <row r="365" spans="1:42" ht="17.100000000000001" customHeight="1" outlineLevel="3" x14ac:dyDescent="0.25">
      <c r="A365" s="222"/>
      <c r="B365" s="219"/>
      <c r="C365" s="229"/>
      <c r="D365" s="232"/>
      <c r="E365" s="235"/>
      <c r="F365" s="16">
        <v>31</v>
      </c>
      <c r="G365" s="34"/>
      <c r="H365" s="39"/>
      <c r="I365" s="39"/>
      <c r="J365" s="39"/>
      <c r="K365" s="39"/>
      <c r="L365" s="39"/>
      <c r="M365" s="39"/>
      <c r="N365" s="39"/>
      <c r="O365" s="39"/>
      <c r="P365" s="35"/>
      <c r="Q365" s="18"/>
      <c r="R365" s="34"/>
      <c r="S365" s="39"/>
      <c r="T365" s="39"/>
      <c r="U365" s="39"/>
      <c r="V365" s="39"/>
      <c r="W365" s="39"/>
      <c r="X365" s="39"/>
      <c r="Y365" s="39"/>
      <c r="Z365" s="39"/>
      <c r="AA365" s="35"/>
      <c r="AB365" s="50" t="e">
        <f t="shared" si="16"/>
        <v>#DIV/0!</v>
      </c>
      <c r="AC365" s="51" t="e">
        <f t="shared" si="17"/>
        <v>#DIV/0!</v>
      </c>
      <c r="AD365" s="19"/>
      <c r="AE365" s="19"/>
      <c r="AF365" s="285"/>
      <c r="AG365" s="240"/>
      <c r="AH365" s="242"/>
      <c r="AI365" s="242"/>
      <c r="AJ365" s="245"/>
      <c r="AK365" s="240"/>
      <c r="AL365" s="249"/>
      <c r="AM365" s="240"/>
      <c r="AN365" s="249"/>
      <c r="AO365" s="252"/>
      <c r="AP365" s="249"/>
    </row>
    <row r="366" spans="1:42" ht="17.100000000000001" customHeight="1" outlineLevel="3" x14ac:dyDescent="0.25">
      <c r="A366" s="222"/>
      <c r="B366" s="219"/>
      <c r="C366" s="229"/>
      <c r="D366" s="232"/>
      <c r="E366" s="235"/>
      <c r="F366" s="16">
        <v>39</v>
      </c>
      <c r="G366" s="34"/>
      <c r="H366" s="39"/>
      <c r="I366" s="39"/>
      <c r="J366" s="39"/>
      <c r="K366" s="39"/>
      <c r="L366" s="39"/>
      <c r="M366" s="39"/>
      <c r="N366" s="39"/>
      <c r="O366" s="39"/>
      <c r="P366" s="35"/>
      <c r="Q366" s="18"/>
      <c r="R366" s="34"/>
      <c r="S366" s="39"/>
      <c r="T366" s="39"/>
      <c r="U366" s="39"/>
      <c r="V366" s="39"/>
      <c r="W366" s="39"/>
      <c r="X366" s="39"/>
      <c r="Y366" s="39"/>
      <c r="Z366" s="39"/>
      <c r="AA366" s="35"/>
      <c r="AB366" s="50" t="e">
        <f t="shared" si="16"/>
        <v>#DIV/0!</v>
      </c>
      <c r="AC366" s="51" t="e">
        <f t="shared" si="17"/>
        <v>#DIV/0!</v>
      </c>
      <c r="AD366" s="19"/>
      <c r="AE366" s="19"/>
      <c r="AF366" s="285" t="s">
        <v>127</v>
      </c>
      <c r="AG366" s="240" t="e" cm="1">
        <f t="array" ref="AG366">bdRateExtend($G365:$G368,H365:H368,$R365:$R368,S365:S368)</f>
        <v>#VALUE!</v>
      </c>
      <c r="AH366" s="242"/>
      <c r="AI366" s="242"/>
      <c r="AJ366" s="245"/>
      <c r="AK366" s="240" t="e" cm="1">
        <f t="array" ref="AK366">bdRateExtend($G365:$G368,K365:K368,$R365:$R368,V365:V368)</f>
        <v>#VALUE!</v>
      </c>
      <c r="AL366" s="249"/>
      <c r="AM366" s="240" t="e" cm="1">
        <f t="array" ref="AM366">bdRateExtend($G365:$G368,L365:L368,$R365:$R368,W365:W368)</f>
        <v>#VALUE!</v>
      </c>
      <c r="AN366" s="249"/>
      <c r="AO366" s="252" t="e" cm="1">
        <f t="array" ref="AO366">bdRateExtend($G365:$G368,M365:M368,$R365:$R368,X365:X368)</f>
        <v>#VALUE!</v>
      </c>
      <c r="AP366" s="249"/>
    </row>
    <row r="367" spans="1:42" ht="17.100000000000001" customHeight="1" outlineLevel="3" x14ac:dyDescent="0.25">
      <c r="A367" s="222"/>
      <c r="B367" s="219"/>
      <c r="C367" s="229"/>
      <c r="D367" s="232"/>
      <c r="E367" s="235"/>
      <c r="F367" s="16">
        <v>47</v>
      </c>
      <c r="G367" s="34"/>
      <c r="H367" s="39"/>
      <c r="I367" s="39"/>
      <c r="J367" s="39"/>
      <c r="K367" s="39"/>
      <c r="L367" s="39"/>
      <c r="M367" s="39"/>
      <c r="N367" s="39"/>
      <c r="O367" s="39"/>
      <c r="P367" s="35"/>
      <c r="Q367" s="18"/>
      <c r="R367" s="34"/>
      <c r="S367" s="39"/>
      <c r="T367" s="39"/>
      <c r="U367" s="39"/>
      <c r="V367" s="39"/>
      <c r="W367" s="39"/>
      <c r="X367" s="39"/>
      <c r="Y367" s="39"/>
      <c r="Z367" s="39"/>
      <c r="AA367" s="35"/>
      <c r="AB367" s="50" t="e">
        <f t="shared" si="16"/>
        <v>#DIV/0!</v>
      </c>
      <c r="AC367" s="51" t="e">
        <f t="shared" si="17"/>
        <v>#DIV/0!</v>
      </c>
      <c r="AD367" s="19"/>
      <c r="AE367" s="19"/>
      <c r="AF367" s="285"/>
      <c r="AG367" s="240"/>
      <c r="AH367" s="242"/>
      <c r="AI367" s="242"/>
      <c r="AJ367" s="245"/>
      <c r="AK367" s="240"/>
      <c r="AL367" s="249"/>
      <c r="AM367" s="240"/>
      <c r="AN367" s="249"/>
      <c r="AO367" s="252"/>
      <c r="AP367" s="249"/>
    </row>
    <row r="368" spans="1:42" ht="17.100000000000001" customHeight="1" outlineLevel="3" x14ac:dyDescent="0.25">
      <c r="A368" s="222"/>
      <c r="B368" s="219"/>
      <c r="C368" s="229"/>
      <c r="D368" s="232"/>
      <c r="E368" s="235"/>
      <c r="F368" s="16">
        <v>55</v>
      </c>
      <c r="G368" s="34"/>
      <c r="H368" s="39"/>
      <c r="I368" s="39"/>
      <c r="J368" s="39"/>
      <c r="K368" s="39"/>
      <c r="L368" s="39"/>
      <c r="M368" s="39"/>
      <c r="N368" s="39"/>
      <c r="O368" s="39"/>
      <c r="P368" s="35"/>
      <c r="Q368" s="18"/>
      <c r="R368" s="34"/>
      <c r="S368" s="39"/>
      <c r="T368" s="39"/>
      <c r="U368" s="39"/>
      <c r="V368" s="39"/>
      <c r="W368" s="39"/>
      <c r="X368" s="39"/>
      <c r="Y368" s="39"/>
      <c r="Z368" s="39"/>
      <c r="AA368" s="35"/>
      <c r="AB368" s="50" t="e">
        <f t="shared" si="16"/>
        <v>#DIV/0!</v>
      </c>
      <c r="AC368" s="51" t="e">
        <f t="shared" si="17"/>
        <v>#DIV/0!</v>
      </c>
      <c r="AD368" s="19"/>
      <c r="AE368" s="19"/>
      <c r="AF368" s="285" t="s">
        <v>128</v>
      </c>
      <c r="AG368" s="240" t="e" cm="1">
        <f t="array" ref="AG368">bdRateExtend($G366:$G369,H366:H369,$R366:$R369,S366:S369)</f>
        <v>#VALUE!</v>
      </c>
      <c r="AH368" s="242"/>
      <c r="AI368" s="242"/>
      <c r="AJ368" s="245"/>
      <c r="AK368" s="240" t="e" cm="1">
        <f t="array" ref="AK368">bdRateExtend($G366:$G369,K366:K369,$R366:$R369,V366:V369)</f>
        <v>#VALUE!</v>
      </c>
      <c r="AL368" s="249"/>
      <c r="AM368" s="240" t="e" cm="1">
        <f t="array" ref="AM368">bdRateExtend($G366:$G369,L366:L369,$R366:$R369,W366:W369)</f>
        <v>#VALUE!</v>
      </c>
      <c r="AN368" s="249"/>
      <c r="AO368" s="252" t="e" cm="1">
        <f t="array" ref="AO368">bdRateExtend($G366:$G369,M366:M369,$R366:$R369,X366:X369)</f>
        <v>#VALUE!</v>
      </c>
      <c r="AP368" s="249"/>
    </row>
    <row r="369" spans="1:42" ht="17.100000000000001" customHeight="1" outlineLevel="3" thickBot="1" x14ac:dyDescent="0.3">
      <c r="A369" s="222"/>
      <c r="B369" s="220"/>
      <c r="C369" s="230"/>
      <c r="D369" s="233"/>
      <c r="E369" s="236"/>
      <c r="F369" s="9">
        <v>63</v>
      </c>
      <c r="G369" s="36"/>
      <c r="H369" s="37"/>
      <c r="I369" s="37"/>
      <c r="J369" s="37"/>
      <c r="K369" s="37"/>
      <c r="L369" s="37"/>
      <c r="M369" s="37"/>
      <c r="N369" s="37"/>
      <c r="O369" s="37"/>
      <c r="P369" s="38"/>
      <c r="Q369" s="18"/>
      <c r="R369" s="36"/>
      <c r="S369" s="37"/>
      <c r="T369" s="37"/>
      <c r="U369" s="37"/>
      <c r="V369" s="37"/>
      <c r="W369" s="37"/>
      <c r="X369" s="37"/>
      <c r="Y369" s="37"/>
      <c r="Z369" s="37"/>
      <c r="AA369" s="38"/>
      <c r="AB369" s="52" t="e">
        <f t="shared" si="16"/>
        <v>#DIV/0!</v>
      </c>
      <c r="AC369" s="53" t="e">
        <f t="shared" si="17"/>
        <v>#DIV/0!</v>
      </c>
      <c r="AD369" s="19"/>
      <c r="AE369" s="19"/>
      <c r="AF369" s="286"/>
      <c r="AG369" s="247"/>
      <c r="AH369" s="243"/>
      <c r="AI369" s="243"/>
      <c r="AJ369" s="246"/>
      <c r="AK369" s="247"/>
      <c r="AL369" s="250"/>
      <c r="AM369" s="247"/>
      <c r="AN369" s="250"/>
      <c r="AO369" s="253"/>
      <c r="AP369" s="250"/>
    </row>
    <row r="370" spans="1:42" ht="17.100000000000001" customHeight="1" outlineLevel="3" x14ac:dyDescent="0.25">
      <c r="A370" s="222"/>
      <c r="B370" s="218" t="s">
        <v>93</v>
      </c>
      <c r="C370" s="228" t="s">
        <v>87</v>
      </c>
      <c r="D370" s="231">
        <v>24</v>
      </c>
      <c r="E370" s="234">
        <v>8</v>
      </c>
      <c r="F370" s="7">
        <v>23</v>
      </c>
      <c r="G370" s="31"/>
      <c r="H370" s="32"/>
      <c r="I370" s="32"/>
      <c r="J370" s="32"/>
      <c r="K370" s="32"/>
      <c r="L370" s="32"/>
      <c r="M370" s="32"/>
      <c r="N370" s="32"/>
      <c r="O370" s="32"/>
      <c r="P370" s="33"/>
      <c r="Q370" s="18"/>
      <c r="R370" s="31"/>
      <c r="S370" s="32"/>
      <c r="T370" s="32"/>
      <c r="U370" s="32"/>
      <c r="V370" s="32"/>
      <c r="W370" s="32"/>
      <c r="X370" s="32"/>
      <c r="Y370" s="32"/>
      <c r="Z370" s="32"/>
      <c r="AA370" s="33"/>
      <c r="AB370" s="48" t="e">
        <f t="shared" si="16"/>
        <v>#DIV/0!</v>
      </c>
      <c r="AC370" s="49" t="e">
        <f t="shared" si="17"/>
        <v>#DIV/0!</v>
      </c>
      <c r="AD370" s="19"/>
      <c r="AE370" s="19"/>
      <c r="AF370" s="284" t="s">
        <v>126</v>
      </c>
      <c r="AG370" s="239" t="e" cm="1">
        <f t="array" ref="AG370">bdRateExtend($G370:$G373,H370:H373,$R370:$R373,S370:S373)</f>
        <v>#VALUE!</v>
      </c>
      <c r="AH370" s="241" t="e" cm="1">
        <f t="array" ref="AH370">bdRateExtend($G370:$G375,H370:H375,$R370:$R375,S370:S375)</f>
        <v>#VALUE!</v>
      </c>
      <c r="AI370" s="241" t="e" cm="1">
        <f t="array" ref="AI370">bdRateExtend($G370:$G375,I370:I375,$R370:$R375,T370:T375)</f>
        <v>#VALUE!</v>
      </c>
      <c r="AJ370" s="244" t="e" cm="1">
        <f t="array" ref="AJ370">bdRateExtend($G370:$G375,J370:J375,$R370:$R375,U370:U375)</f>
        <v>#VALUE!</v>
      </c>
      <c r="AK370" s="239" t="e" cm="1">
        <f t="array" ref="AK370">bdRateExtend($G370:$G373,K370:K373,$R370:$R373,V370:V373)</f>
        <v>#VALUE!</v>
      </c>
      <c r="AL370" s="248" t="e" cm="1">
        <f t="array" ref="AL370">bdRateExtend($G370:$G375,K370:K375,$R370:$R375,V370:V375)</f>
        <v>#VALUE!</v>
      </c>
      <c r="AM370" s="239" t="e" cm="1">
        <f t="array" ref="AM370">bdRateExtend($G370:$G373,L370:L373,$R370:$R373,W370:W373)</f>
        <v>#VALUE!</v>
      </c>
      <c r="AN370" s="248" t="e" cm="1">
        <f t="array" ref="AN370">bdRateExtend($G370:$G375,L370:L375,$R370:$R375,W370:W375)</f>
        <v>#VALUE!</v>
      </c>
      <c r="AO370" s="254" t="e" cm="1">
        <f t="array" ref="AO370">bdRateExtend($G370:$G373,M370:M373,$R370:$R373,X370:X373)</f>
        <v>#VALUE!</v>
      </c>
      <c r="AP370" s="248" t="e" cm="1">
        <f t="array" ref="AP370">bdRateExtend($G370:$G375,M370:M375,$R370:$R375,X370:X375)</f>
        <v>#VALUE!</v>
      </c>
    </row>
    <row r="371" spans="1:42" ht="17.100000000000001" customHeight="1" outlineLevel="3" x14ac:dyDescent="0.25">
      <c r="A371" s="222"/>
      <c r="B371" s="219"/>
      <c r="C371" s="229"/>
      <c r="D371" s="232"/>
      <c r="E371" s="235"/>
      <c r="F371" s="16">
        <v>31</v>
      </c>
      <c r="G371" s="34"/>
      <c r="H371" s="39"/>
      <c r="I371" s="39"/>
      <c r="J371" s="39"/>
      <c r="K371" s="39"/>
      <c r="L371" s="39"/>
      <c r="M371" s="39"/>
      <c r="N371" s="39"/>
      <c r="O371" s="39"/>
      <c r="P371" s="35"/>
      <c r="Q371" s="18"/>
      <c r="R371" s="34"/>
      <c r="S371" s="39"/>
      <c r="T371" s="39"/>
      <c r="U371" s="39"/>
      <c r="V371" s="39"/>
      <c r="W371" s="39"/>
      <c r="X371" s="39"/>
      <c r="Y371" s="39"/>
      <c r="Z371" s="39"/>
      <c r="AA371" s="35"/>
      <c r="AB371" s="50" t="e">
        <f t="shared" si="16"/>
        <v>#DIV/0!</v>
      </c>
      <c r="AC371" s="51" t="e">
        <f t="shared" si="17"/>
        <v>#DIV/0!</v>
      </c>
      <c r="AD371" s="19"/>
      <c r="AE371" s="19"/>
      <c r="AF371" s="285"/>
      <c r="AG371" s="240"/>
      <c r="AH371" s="242"/>
      <c r="AI371" s="242"/>
      <c r="AJ371" s="245"/>
      <c r="AK371" s="240"/>
      <c r="AL371" s="249"/>
      <c r="AM371" s="240"/>
      <c r="AN371" s="249"/>
      <c r="AO371" s="252"/>
      <c r="AP371" s="249"/>
    </row>
    <row r="372" spans="1:42" ht="17.100000000000001" customHeight="1" outlineLevel="3" x14ac:dyDescent="0.25">
      <c r="A372" s="222"/>
      <c r="B372" s="219"/>
      <c r="C372" s="229"/>
      <c r="D372" s="232"/>
      <c r="E372" s="235"/>
      <c r="F372" s="16">
        <v>39</v>
      </c>
      <c r="G372" s="34"/>
      <c r="H372" s="39"/>
      <c r="I372" s="39"/>
      <c r="J372" s="39"/>
      <c r="K372" s="39"/>
      <c r="L372" s="39"/>
      <c r="M372" s="39"/>
      <c r="N372" s="39"/>
      <c r="O372" s="39"/>
      <c r="P372" s="35"/>
      <c r="Q372" s="18"/>
      <c r="R372" s="34"/>
      <c r="S372" s="39"/>
      <c r="T372" s="39"/>
      <c r="U372" s="39"/>
      <c r="V372" s="39"/>
      <c r="W372" s="39"/>
      <c r="X372" s="39"/>
      <c r="Y372" s="39"/>
      <c r="Z372" s="39"/>
      <c r="AA372" s="35"/>
      <c r="AB372" s="50" t="e">
        <f t="shared" si="16"/>
        <v>#DIV/0!</v>
      </c>
      <c r="AC372" s="51" t="e">
        <f t="shared" si="17"/>
        <v>#DIV/0!</v>
      </c>
      <c r="AD372" s="19"/>
      <c r="AE372" s="19"/>
      <c r="AF372" s="285" t="s">
        <v>127</v>
      </c>
      <c r="AG372" s="240" t="e" cm="1">
        <f t="array" ref="AG372">bdRateExtend($G371:$G374,H371:H374,$R371:$R374,S371:S374)</f>
        <v>#VALUE!</v>
      </c>
      <c r="AH372" s="242"/>
      <c r="AI372" s="242"/>
      <c r="AJ372" s="245"/>
      <c r="AK372" s="240" t="e" cm="1">
        <f t="array" ref="AK372">bdRateExtend($G371:$G374,K371:K374,$R371:$R374,V371:V374)</f>
        <v>#VALUE!</v>
      </c>
      <c r="AL372" s="249"/>
      <c r="AM372" s="240" t="e" cm="1">
        <f t="array" ref="AM372">bdRateExtend($G371:$G374,L371:L374,$R371:$R374,W371:W374)</f>
        <v>#VALUE!</v>
      </c>
      <c r="AN372" s="249"/>
      <c r="AO372" s="252" t="e" cm="1">
        <f t="array" ref="AO372">bdRateExtend($G371:$G374,M371:M374,$R371:$R374,X371:X374)</f>
        <v>#VALUE!</v>
      </c>
      <c r="AP372" s="249"/>
    </row>
    <row r="373" spans="1:42" ht="17.100000000000001" customHeight="1" outlineLevel="3" x14ac:dyDescent="0.25">
      <c r="A373" s="222"/>
      <c r="B373" s="219"/>
      <c r="C373" s="229"/>
      <c r="D373" s="232"/>
      <c r="E373" s="235"/>
      <c r="F373" s="16">
        <v>47</v>
      </c>
      <c r="G373" s="34"/>
      <c r="H373" s="39"/>
      <c r="I373" s="39"/>
      <c r="J373" s="39"/>
      <c r="K373" s="39"/>
      <c r="L373" s="39"/>
      <c r="M373" s="39"/>
      <c r="N373" s="39"/>
      <c r="O373" s="39"/>
      <c r="P373" s="35"/>
      <c r="Q373" s="18"/>
      <c r="R373" s="34"/>
      <c r="S373" s="39"/>
      <c r="T373" s="39"/>
      <c r="U373" s="39"/>
      <c r="V373" s="39"/>
      <c r="W373" s="39"/>
      <c r="X373" s="39"/>
      <c r="Y373" s="39"/>
      <c r="Z373" s="39"/>
      <c r="AA373" s="35"/>
      <c r="AB373" s="50" t="e">
        <f t="shared" si="16"/>
        <v>#DIV/0!</v>
      </c>
      <c r="AC373" s="51" t="e">
        <f t="shared" si="17"/>
        <v>#DIV/0!</v>
      </c>
      <c r="AD373" s="19"/>
      <c r="AE373" s="19"/>
      <c r="AF373" s="285"/>
      <c r="AG373" s="240"/>
      <c r="AH373" s="242"/>
      <c r="AI373" s="242"/>
      <c r="AJ373" s="245"/>
      <c r="AK373" s="240"/>
      <c r="AL373" s="249"/>
      <c r="AM373" s="240"/>
      <c r="AN373" s="249"/>
      <c r="AO373" s="252"/>
      <c r="AP373" s="249"/>
    </row>
    <row r="374" spans="1:42" ht="17.100000000000001" customHeight="1" outlineLevel="3" x14ac:dyDescent="0.25">
      <c r="A374" s="222"/>
      <c r="B374" s="219"/>
      <c r="C374" s="229"/>
      <c r="D374" s="232"/>
      <c r="E374" s="235"/>
      <c r="F374" s="16">
        <v>55</v>
      </c>
      <c r="G374" s="34"/>
      <c r="H374" s="39"/>
      <c r="I374" s="39"/>
      <c r="J374" s="39"/>
      <c r="K374" s="39"/>
      <c r="L374" s="39"/>
      <c r="M374" s="39"/>
      <c r="N374" s="39"/>
      <c r="O374" s="39"/>
      <c r="P374" s="35"/>
      <c r="Q374" s="18"/>
      <c r="R374" s="34"/>
      <c r="S374" s="39"/>
      <c r="T374" s="39"/>
      <c r="U374" s="39"/>
      <c r="V374" s="39"/>
      <c r="W374" s="39"/>
      <c r="X374" s="39"/>
      <c r="Y374" s="39"/>
      <c r="Z374" s="39"/>
      <c r="AA374" s="35"/>
      <c r="AB374" s="50" t="e">
        <f t="shared" si="16"/>
        <v>#DIV/0!</v>
      </c>
      <c r="AC374" s="51" t="e">
        <f t="shared" si="17"/>
        <v>#DIV/0!</v>
      </c>
      <c r="AD374" s="19"/>
      <c r="AE374" s="19"/>
      <c r="AF374" s="285" t="s">
        <v>128</v>
      </c>
      <c r="AG374" s="240" t="e" cm="1">
        <f t="array" ref="AG374">bdRateExtend($G372:$G375,H372:H375,$R372:$R375,S372:S375)</f>
        <v>#VALUE!</v>
      </c>
      <c r="AH374" s="242"/>
      <c r="AI374" s="242"/>
      <c r="AJ374" s="245"/>
      <c r="AK374" s="240" t="e" cm="1">
        <f t="array" ref="AK374">bdRateExtend($G372:$G375,K372:K375,$R372:$R375,V372:V375)</f>
        <v>#VALUE!</v>
      </c>
      <c r="AL374" s="249"/>
      <c r="AM374" s="240" t="e" cm="1">
        <f t="array" ref="AM374">bdRateExtend($G372:$G375,L372:L375,$R372:$R375,W372:W375)</f>
        <v>#VALUE!</v>
      </c>
      <c r="AN374" s="249"/>
      <c r="AO374" s="252" t="e" cm="1">
        <f t="array" ref="AO374">bdRateExtend($G372:$G375,M372:M375,$R372:$R375,X372:X375)</f>
        <v>#VALUE!</v>
      </c>
      <c r="AP374" s="249"/>
    </row>
    <row r="375" spans="1:42" ht="17.100000000000001" customHeight="1" outlineLevel="3" thickBot="1" x14ac:dyDescent="0.3">
      <c r="A375" s="222"/>
      <c r="B375" s="220"/>
      <c r="C375" s="230"/>
      <c r="D375" s="233"/>
      <c r="E375" s="236"/>
      <c r="F375" s="9">
        <v>63</v>
      </c>
      <c r="G375" s="36"/>
      <c r="H375" s="37"/>
      <c r="I375" s="37"/>
      <c r="J375" s="37"/>
      <c r="K375" s="37"/>
      <c r="L375" s="37"/>
      <c r="M375" s="37"/>
      <c r="N375" s="37"/>
      <c r="O375" s="37"/>
      <c r="P375" s="38"/>
      <c r="Q375" s="18"/>
      <c r="R375" s="36"/>
      <c r="S375" s="37"/>
      <c r="T375" s="37"/>
      <c r="U375" s="37"/>
      <c r="V375" s="37"/>
      <c r="W375" s="37"/>
      <c r="X375" s="37"/>
      <c r="Y375" s="37"/>
      <c r="Z375" s="37"/>
      <c r="AA375" s="38"/>
      <c r="AB375" s="52" t="e">
        <f t="shared" si="16"/>
        <v>#DIV/0!</v>
      </c>
      <c r="AC375" s="53" t="e">
        <f t="shared" si="17"/>
        <v>#DIV/0!</v>
      </c>
      <c r="AD375" s="19"/>
      <c r="AE375" s="19"/>
      <c r="AF375" s="286"/>
      <c r="AG375" s="247"/>
      <c r="AH375" s="243"/>
      <c r="AI375" s="243"/>
      <c r="AJ375" s="246"/>
      <c r="AK375" s="247"/>
      <c r="AL375" s="250"/>
      <c r="AM375" s="247"/>
      <c r="AN375" s="250"/>
      <c r="AO375" s="253"/>
      <c r="AP375" s="250"/>
    </row>
    <row r="376" spans="1:42" ht="17.100000000000001" customHeight="1" outlineLevel="3" x14ac:dyDescent="0.25">
      <c r="A376" s="222"/>
      <c r="B376" s="218" t="s">
        <v>2</v>
      </c>
      <c r="C376" s="228" t="s">
        <v>88</v>
      </c>
      <c r="D376" s="231">
        <v>59.94</v>
      </c>
      <c r="E376" s="234">
        <v>10</v>
      </c>
      <c r="F376" s="7">
        <v>23</v>
      </c>
      <c r="G376" s="31"/>
      <c r="H376" s="32"/>
      <c r="I376" s="32"/>
      <c r="J376" s="32"/>
      <c r="K376" s="32"/>
      <c r="L376" s="32"/>
      <c r="M376" s="32"/>
      <c r="N376" s="32"/>
      <c r="O376" s="32"/>
      <c r="P376" s="33"/>
      <c r="Q376" s="18"/>
      <c r="R376" s="31"/>
      <c r="S376" s="32"/>
      <c r="T376" s="32"/>
      <c r="U376" s="32"/>
      <c r="V376" s="32"/>
      <c r="W376" s="32"/>
      <c r="X376" s="32"/>
      <c r="Y376" s="32"/>
      <c r="Z376" s="32"/>
      <c r="AA376" s="33"/>
      <c r="AB376" s="48" t="e">
        <f t="shared" si="16"/>
        <v>#DIV/0!</v>
      </c>
      <c r="AC376" s="49" t="e">
        <f t="shared" si="17"/>
        <v>#DIV/0!</v>
      </c>
      <c r="AD376" s="19"/>
      <c r="AE376" s="19"/>
      <c r="AF376" s="284" t="s">
        <v>126</v>
      </c>
      <c r="AG376" s="239" t="e" cm="1">
        <f t="array" ref="AG376">bdRateExtend($G376:$G379,H376:H379,$R376:$R379,S376:S379)</f>
        <v>#VALUE!</v>
      </c>
      <c r="AH376" s="241" t="e" cm="1">
        <f t="array" ref="AH376">bdRateExtend($G376:$G381,H376:H381,$R376:$R381,S376:S381)</f>
        <v>#VALUE!</v>
      </c>
      <c r="AI376" s="241" t="e" cm="1">
        <f t="array" ref="AI376">bdRateExtend($G376:$G381,I376:I381,$R376:$R381,T376:T381)</f>
        <v>#VALUE!</v>
      </c>
      <c r="AJ376" s="244" t="e" cm="1">
        <f t="array" ref="AJ376">bdRateExtend($G376:$G381,J376:J381,$R376:$R381,U376:U381)</f>
        <v>#VALUE!</v>
      </c>
      <c r="AK376" s="239" t="e" cm="1">
        <f t="array" ref="AK376">bdRateExtend($G376:$G379,K376:K379,$R376:$R379,V376:V379)</f>
        <v>#VALUE!</v>
      </c>
      <c r="AL376" s="248" t="e" cm="1">
        <f t="array" ref="AL376">bdRateExtend($G376:$G381,K376:K381,$R376:$R381,V376:V381)</f>
        <v>#VALUE!</v>
      </c>
      <c r="AM376" s="239" t="e" cm="1">
        <f t="array" ref="AM376">bdRateExtend($G376:$G379,L376:L379,$R376:$R379,W376:W379)</f>
        <v>#VALUE!</v>
      </c>
      <c r="AN376" s="248" t="e" cm="1">
        <f t="array" ref="AN376">bdRateExtend($G376:$G381,L376:L381,$R376:$R381,W376:W381)</f>
        <v>#VALUE!</v>
      </c>
      <c r="AO376" s="254" t="e" cm="1">
        <f t="array" ref="AO376">bdRateExtend($G376:$G379,M376:M379,$R376:$R379,X376:X379)</f>
        <v>#VALUE!</v>
      </c>
      <c r="AP376" s="248" t="e" cm="1">
        <f t="array" ref="AP376">bdRateExtend($G376:$G381,M376:M381,$R376:$R381,X376:X381)</f>
        <v>#VALUE!</v>
      </c>
    </row>
    <row r="377" spans="1:42" ht="17.100000000000001" customHeight="1" outlineLevel="3" x14ac:dyDescent="0.25">
      <c r="A377" s="222"/>
      <c r="B377" s="219"/>
      <c r="C377" s="229"/>
      <c r="D377" s="232"/>
      <c r="E377" s="235"/>
      <c r="F377" s="16">
        <v>31</v>
      </c>
      <c r="G377" s="34"/>
      <c r="H377" s="39"/>
      <c r="I377" s="39"/>
      <c r="J377" s="39"/>
      <c r="K377" s="39"/>
      <c r="L377" s="39"/>
      <c r="M377" s="39"/>
      <c r="N377" s="39"/>
      <c r="O377" s="39"/>
      <c r="P377" s="35"/>
      <c r="Q377" s="18"/>
      <c r="R377" s="34"/>
      <c r="S377" s="39"/>
      <c r="T377" s="39"/>
      <c r="U377" s="39"/>
      <c r="V377" s="39"/>
      <c r="W377" s="39"/>
      <c r="X377" s="39"/>
      <c r="Y377" s="39"/>
      <c r="Z377" s="39"/>
      <c r="AA377" s="35"/>
      <c r="AB377" s="50" t="e">
        <f t="shared" si="16"/>
        <v>#DIV/0!</v>
      </c>
      <c r="AC377" s="51" t="e">
        <f t="shared" si="17"/>
        <v>#DIV/0!</v>
      </c>
      <c r="AD377" s="19"/>
      <c r="AE377" s="19"/>
      <c r="AF377" s="285"/>
      <c r="AG377" s="240"/>
      <c r="AH377" s="242"/>
      <c r="AI377" s="242"/>
      <c r="AJ377" s="245"/>
      <c r="AK377" s="240"/>
      <c r="AL377" s="249"/>
      <c r="AM377" s="240"/>
      <c r="AN377" s="249"/>
      <c r="AO377" s="252"/>
      <c r="AP377" s="249"/>
    </row>
    <row r="378" spans="1:42" ht="17.100000000000001" customHeight="1" outlineLevel="3" x14ac:dyDescent="0.25">
      <c r="A378" s="222"/>
      <c r="B378" s="219"/>
      <c r="C378" s="229"/>
      <c r="D378" s="232"/>
      <c r="E378" s="235"/>
      <c r="F378" s="16">
        <v>39</v>
      </c>
      <c r="G378" s="34"/>
      <c r="H378" s="39"/>
      <c r="I378" s="39"/>
      <c r="J378" s="39"/>
      <c r="K378" s="39"/>
      <c r="L378" s="39"/>
      <c r="M378" s="39"/>
      <c r="N378" s="39"/>
      <c r="O378" s="39"/>
      <c r="P378" s="35"/>
      <c r="Q378" s="18"/>
      <c r="R378" s="34"/>
      <c r="S378" s="39"/>
      <c r="T378" s="39"/>
      <c r="U378" s="39"/>
      <c r="V378" s="39"/>
      <c r="W378" s="39"/>
      <c r="X378" s="39"/>
      <c r="Y378" s="39"/>
      <c r="Z378" s="39"/>
      <c r="AA378" s="35"/>
      <c r="AB378" s="50" t="e">
        <f t="shared" si="16"/>
        <v>#DIV/0!</v>
      </c>
      <c r="AC378" s="51" t="e">
        <f t="shared" si="17"/>
        <v>#DIV/0!</v>
      </c>
      <c r="AD378" s="19"/>
      <c r="AE378" s="19"/>
      <c r="AF378" s="285" t="s">
        <v>127</v>
      </c>
      <c r="AG378" s="240" t="e" cm="1">
        <f t="array" ref="AG378">bdRateExtend($G377:$G380,H377:H380,$R377:$R380,S377:S380)</f>
        <v>#VALUE!</v>
      </c>
      <c r="AH378" s="242"/>
      <c r="AI378" s="242"/>
      <c r="AJ378" s="245"/>
      <c r="AK378" s="240" t="e" cm="1">
        <f t="array" ref="AK378">bdRateExtend($G377:$G380,K377:K380,$R377:$R380,V377:V380)</f>
        <v>#VALUE!</v>
      </c>
      <c r="AL378" s="249"/>
      <c r="AM378" s="240" t="e" cm="1">
        <f t="array" ref="AM378">bdRateExtend($G377:$G380,L377:L380,$R377:$R380,W377:W380)</f>
        <v>#VALUE!</v>
      </c>
      <c r="AN378" s="249"/>
      <c r="AO378" s="252" t="e" cm="1">
        <f t="array" ref="AO378">bdRateExtend($G377:$G380,M377:M380,$R377:$R380,X377:X380)</f>
        <v>#VALUE!</v>
      </c>
      <c r="AP378" s="249"/>
    </row>
    <row r="379" spans="1:42" ht="17.100000000000001" customHeight="1" outlineLevel="3" x14ac:dyDescent="0.25">
      <c r="A379" s="222"/>
      <c r="B379" s="219"/>
      <c r="C379" s="229"/>
      <c r="D379" s="232"/>
      <c r="E379" s="235"/>
      <c r="F379" s="16">
        <v>47</v>
      </c>
      <c r="G379" s="34"/>
      <c r="H379" s="39"/>
      <c r="I379" s="39"/>
      <c r="J379" s="39"/>
      <c r="K379" s="39"/>
      <c r="L379" s="39"/>
      <c r="M379" s="39"/>
      <c r="N379" s="39"/>
      <c r="O379" s="39"/>
      <c r="P379" s="35"/>
      <c r="Q379" s="18"/>
      <c r="R379" s="34"/>
      <c r="S379" s="39"/>
      <c r="T379" s="39"/>
      <c r="U379" s="39"/>
      <c r="V379" s="39"/>
      <c r="W379" s="39"/>
      <c r="X379" s="39"/>
      <c r="Y379" s="39"/>
      <c r="Z379" s="39"/>
      <c r="AA379" s="35"/>
      <c r="AB379" s="50" t="e">
        <f t="shared" si="16"/>
        <v>#DIV/0!</v>
      </c>
      <c r="AC379" s="51" t="e">
        <f t="shared" si="17"/>
        <v>#DIV/0!</v>
      </c>
      <c r="AD379" s="19"/>
      <c r="AE379" s="19"/>
      <c r="AF379" s="285"/>
      <c r="AG379" s="240"/>
      <c r="AH379" s="242"/>
      <c r="AI379" s="242"/>
      <c r="AJ379" s="245"/>
      <c r="AK379" s="240"/>
      <c r="AL379" s="249"/>
      <c r="AM379" s="240"/>
      <c r="AN379" s="249"/>
      <c r="AO379" s="252"/>
      <c r="AP379" s="249"/>
    </row>
    <row r="380" spans="1:42" ht="17.100000000000001" customHeight="1" outlineLevel="3" x14ac:dyDescent="0.25">
      <c r="A380" s="222"/>
      <c r="B380" s="219"/>
      <c r="C380" s="229"/>
      <c r="D380" s="232"/>
      <c r="E380" s="235"/>
      <c r="F380" s="16">
        <v>55</v>
      </c>
      <c r="G380" s="34"/>
      <c r="H380" s="39"/>
      <c r="I380" s="39"/>
      <c r="J380" s="39"/>
      <c r="K380" s="39"/>
      <c r="L380" s="39"/>
      <c r="M380" s="39"/>
      <c r="N380" s="39"/>
      <c r="O380" s="39"/>
      <c r="P380" s="35"/>
      <c r="Q380" s="18"/>
      <c r="R380" s="34"/>
      <c r="S380" s="39"/>
      <c r="T380" s="39"/>
      <c r="U380" s="39"/>
      <c r="V380" s="39"/>
      <c r="W380" s="39"/>
      <c r="X380" s="39"/>
      <c r="Y380" s="39"/>
      <c r="Z380" s="39"/>
      <c r="AA380" s="35"/>
      <c r="AB380" s="50" t="e">
        <f t="shared" si="16"/>
        <v>#DIV/0!</v>
      </c>
      <c r="AC380" s="51" t="e">
        <f t="shared" si="17"/>
        <v>#DIV/0!</v>
      </c>
      <c r="AD380" s="19"/>
      <c r="AE380" s="19"/>
      <c r="AF380" s="285" t="s">
        <v>128</v>
      </c>
      <c r="AG380" s="240" t="e" cm="1">
        <f t="array" ref="AG380">bdRateExtend($G378:$G381,H378:H381,$R378:$R381,S378:S381)</f>
        <v>#VALUE!</v>
      </c>
      <c r="AH380" s="242"/>
      <c r="AI380" s="242"/>
      <c r="AJ380" s="245"/>
      <c r="AK380" s="240" t="e" cm="1">
        <f t="array" ref="AK380">bdRateExtend($G378:$G381,K378:K381,$R378:$R381,V378:V381)</f>
        <v>#VALUE!</v>
      </c>
      <c r="AL380" s="249"/>
      <c r="AM380" s="240" t="e" cm="1">
        <f t="array" ref="AM380">bdRateExtend($G378:$G381,L378:L381,$R378:$R381,W378:W381)</f>
        <v>#VALUE!</v>
      </c>
      <c r="AN380" s="249"/>
      <c r="AO380" s="252" t="e" cm="1">
        <f t="array" ref="AO380">bdRateExtend($G378:$G381,M378:M381,$R378:$R381,X378:X381)</f>
        <v>#VALUE!</v>
      </c>
      <c r="AP380" s="249"/>
    </row>
    <row r="381" spans="1:42" ht="17.100000000000001" customHeight="1" outlineLevel="3" thickBot="1" x14ac:dyDescent="0.3">
      <c r="A381" s="222"/>
      <c r="B381" s="220"/>
      <c r="C381" s="230"/>
      <c r="D381" s="233"/>
      <c r="E381" s="236"/>
      <c r="F381" s="9">
        <v>63</v>
      </c>
      <c r="G381" s="36"/>
      <c r="H381" s="37"/>
      <c r="I381" s="37"/>
      <c r="J381" s="37"/>
      <c r="K381" s="37"/>
      <c r="L381" s="37"/>
      <c r="M381" s="37"/>
      <c r="N381" s="37"/>
      <c r="O381" s="37"/>
      <c r="P381" s="38"/>
      <c r="Q381" s="18"/>
      <c r="R381" s="36"/>
      <c r="S381" s="37"/>
      <c r="T381" s="37"/>
      <c r="U381" s="37"/>
      <c r="V381" s="37"/>
      <c r="W381" s="37"/>
      <c r="X381" s="37"/>
      <c r="Y381" s="37"/>
      <c r="Z381" s="37"/>
      <c r="AA381" s="38"/>
      <c r="AB381" s="52" t="e">
        <f t="shared" si="16"/>
        <v>#DIV/0!</v>
      </c>
      <c r="AC381" s="53" t="e">
        <f t="shared" si="17"/>
        <v>#DIV/0!</v>
      </c>
      <c r="AD381" s="19"/>
      <c r="AE381" s="19"/>
      <c r="AF381" s="286"/>
      <c r="AG381" s="247"/>
      <c r="AH381" s="243"/>
      <c r="AI381" s="243"/>
      <c r="AJ381" s="246"/>
      <c r="AK381" s="247"/>
      <c r="AL381" s="250"/>
      <c r="AM381" s="247"/>
      <c r="AN381" s="250"/>
      <c r="AO381" s="253"/>
      <c r="AP381" s="250"/>
    </row>
    <row r="382" spans="1:42" ht="17.100000000000001" customHeight="1" outlineLevel="3" x14ac:dyDescent="0.25">
      <c r="A382" s="222"/>
      <c r="B382" s="218" t="s">
        <v>2</v>
      </c>
      <c r="C382" s="228" t="s">
        <v>89</v>
      </c>
      <c r="D382" s="231">
        <v>59.94</v>
      </c>
      <c r="E382" s="234">
        <v>10</v>
      </c>
      <c r="F382" s="7">
        <v>23</v>
      </c>
      <c r="G382" s="31"/>
      <c r="H382" s="32"/>
      <c r="I382" s="32"/>
      <c r="J382" s="32"/>
      <c r="K382" s="32"/>
      <c r="L382" s="32"/>
      <c r="M382" s="32"/>
      <c r="N382" s="32"/>
      <c r="O382" s="32"/>
      <c r="P382" s="33"/>
      <c r="Q382" s="18"/>
      <c r="R382" s="31"/>
      <c r="S382" s="32"/>
      <c r="T382" s="32"/>
      <c r="U382" s="32"/>
      <c r="V382" s="32"/>
      <c r="W382" s="32"/>
      <c r="X382" s="32"/>
      <c r="Y382" s="32"/>
      <c r="Z382" s="32"/>
      <c r="AA382" s="33"/>
      <c r="AB382" s="48" t="e">
        <f t="shared" si="16"/>
        <v>#DIV/0!</v>
      </c>
      <c r="AC382" s="49" t="e">
        <f t="shared" si="17"/>
        <v>#DIV/0!</v>
      </c>
      <c r="AD382" s="19"/>
      <c r="AE382" s="19"/>
      <c r="AF382" s="284" t="s">
        <v>126</v>
      </c>
      <c r="AG382" s="239" t="e" cm="1">
        <f t="array" ref="AG382">bdRateExtend($G382:$G385,H382:H385,$R382:$R385,S382:S385)</f>
        <v>#VALUE!</v>
      </c>
      <c r="AH382" s="241" t="e" cm="1">
        <f t="array" ref="AH382">bdRateExtend($G382:$G387,H382:H387,$R382:$R387,S382:S387)</f>
        <v>#VALUE!</v>
      </c>
      <c r="AI382" s="241" t="e" cm="1">
        <f t="array" ref="AI382">bdRateExtend($G382:$G387,I382:I387,$R382:$R387,T382:T387)</f>
        <v>#VALUE!</v>
      </c>
      <c r="AJ382" s="244" t="e" cm="1">
        <f t="array" ref="AJ382">bdRateExtend($G382:$G387,J382:J387,$R382:$R387,U382:U387)</f>
        <v>#VALUE!</v>
      </c>
      <c r="AK382" s="239" t="e" cm="1">
        <f t="array" ref="AK382">bdRateExtend($G382:$G385,K382:K385,$R382:$R385,V382:V385)</f>
        <v>#VALUE!</v>
      </c>
      <c r="AL382" s="248" t="e" cm="1">
        <f t="array" ref="AL382">bdRateExtend($G382:$G387,K382:K387,$R382:$R387,V382:V387)</f>
        <v>#VALUE!</v>
      </c>
      <c r="AM382" s="239" t="e" cm="1">
        <f t="array" ref="AM382">bdRateExtend($G382:$G385,L382:L385,$R382:$R385,W382:W385)</f>
        <v>#VALUE!</v>
      </c>
      <c r="AN382" s="248" t="e" cm="1">
        <f t="array" ref="AN382">bdRateExtend($G382:$G387,L382:L387,$R382:$R387,W382:W387)</f>
        <v>#VALUE!</v>
      </c>
      <c r="AO382" s="254" t="e" cm="1">
        <f t="array" ref="AO382">bdRateExtend($G382:$G385,M382:M385,$R382:$R385,X382:X385)</f>
        <v>#VALUE!</v>
      </c>
      <c r="AP382" s="248" t="e" cm="1">
        <f t="array" ref="AP382">bdRateExtend($G382:$G387,M382:M387,$R382:$R387,X382:X387)</f>
        <v>#VALUE!</v>
      </c>
    </row>
    <row r="383" spans="1:42" ht="17.100000000000001" customHeight="1" outlineLevel="3" x14ac:dyDescent="0.25">
      <c r="A383" s="222"/>
      <c r="B383" s="219"/>
      <c r="C383" s="229"/>
      <c r="D383" s="232"/>
      <c r="E383" s="235"/>
      <c r="F383" s="16">
        <v>31</v>
      </c>
      <c r="G383" s="34"/>
      <c r="H383" s="39"/>
      <c r="I383" s="39"/>
      <c r="J383" s="39"/>
      <c r="K383" s="39"/>
      <c r="L383" s="39"/>
      <c r="M383" s="39"/>
      <c r="N383" s="39"/>
      <c r="O383" s="39"/>
      <c r="P383" s="35"/>
      <c r="Q383" s="18"/>
      <c r="R383" s="34"/>
      <c r="S383" s="39"/>
      <c r="T383" s="39"/>
      <c r="U383" s="39"/>
      <c r="V383" s="39"/>
      <c r="W383" s="39"/>
      <c r="X383" s="39"/>
      <c r="Y383" s="39"/>
      <c r="Z383" s="39"/>
      <c r="AA383" s="35"/>
      <c r="AB383" s="50" t="e">
        <f t="shared" si="16"/>
        <v>#DIV/0!</v>
      </c>
      <c r="AC383" s="51" t="e">
        <f t="shared" si="17"/>
        <v>#DIV/0!</v>
      </c>
      <c r="AD383" s="19"/>
      <c r="AE383" s="19"/>
      <c r="AF383" s="285"/>
      <c r="AG383" s="240"/>
      <c r="AH383" s="242"/>
      <c r="AI383" s="242"/>
      <c r="AJ383" s="245"/>
      <c r="AK383" s="240"/>
      <c r="AL383" s="249"/>
      <c r="AM383" s="240"/>
      <c r="AN383" s="249"/>
      <c r="AO383" s="252"/>
      <c r="AP383" s="249"/>
    </row>
    <row r="384" spans="1:42" ht="17.100000000000001" customHeight="1" outlineLevel="3" x14ac:dyDescent="0.25">
      <c r="A384" s="222"/>
      <c r="B384" s="219"/>
      <c r="C384" s="229"/>
      <c r="D384" s="232"/>
      <c r="E384" s="235"/>
      <c r="F384" s="16">
        <v>39</v>
      </c>
      <c r="G384" s="34"/>
      <c r="H384" s="39"/>
      <c r="I384" s="39"/>
      <c r="J384" s="39"/>
      <c r="K384" s="39"/>
      <c r="L384" s="39"/>
      <c r="M384" s="39"/>
      <c r="N384" s="39"/>
      <c r="O384" s="39"/>
      <c r="P384" s="35"/>
      <c r="Q384" s="18"/>
      <c r="R384" s="34"/>
      <c r="S384" s="39"/>
      <c r="T384" s="39"/>
      <c r="U384" s="39"/>
      <c r="V384" s="39"/>
      <c r="W384" s="39"/>
      <c r="X384" s="39"/>
      <c r="Y384" s="39"/>
      <c r="Z384" s="39"/>
      <c r="AA384" s="35"/>
      <c r="AB384" s="50" t="e">
        <f t="shared" si="16"/>
        <v>#DIV/0!</v>
      </c>
      <c r="AC384" s="51" t="e">
        <f t="shared" si="17"/>
        <v>#DIV/0!</v>
      </c>
      <c r="AD384" s="19"/>
      <c r="AE384" s="19"/>
      <c r="AF384" s="285" t="s">
        <v>127</v>
      </c>
      <c r="AG384" s="240" t="e" cm="1">
        <f t="array" ref="AG384">bdRateExtend($G383:$G386,H383:H386,$R383:$R386,S383:S386)</f>
        <v>#VALUE!</v>
      </c>
      <c r="AH384" s="242"/>
      <c r="AI384" s="242"/>
      <c r="AJ384" s="245"/>
      <c r="AK384" s="240" t="e" cm="1">
        <f t="array" ref="AK384">bdRateExtend($G383:$G386,K383:K386,$R383:$R386,V383:V386)</f>
        <v>#VALUE!</v>
      </c>
      <c r="AL384" s="249"/>
      <c r="AM384" s="240" t="e" cm="1">
        <f t="array" ref="AM384">bdRateExtend($G383:$G386,L383:L386,$R383:$R386,W383:W386)</f>
        <v>#VALUE!</v>
      </c>
      <c r="AN384" s="249"/>
      <c r="AO384" s="252" t="e" cm="1">
        <f t="array" ref="AO384">bdRateExtend($G383:$G386,M383:M386,$R383:$R386,X383:X386)</f>
        <v>#VALUE!</v>
      </c>
      <c r="AP384" s="249"/>
    </row>
    <row r="385" spans="1:42" ht="17.100000000000001" customHeight="1" outlineLevel="3" x14ac:dyDescent="0.25">
      <c r="A385" s="222"/>
      <c r="B385" s="219"/>
      <c r="C385" s="229"/>
      <c r="D385" s="232"/>
      <c r="E385" s="235"/>
      <c r="F385" s="16">
        <v>47</v>
      </c>
      <c r="G385" s="34"/>
      <c r="H385" s="39"/>
      <c r="I385" s="39"/>
      <c r="J385" s="39"/>
      <c r="K385" s="39"/>
      <c r="L385" s="39"/>
      <c r="M385" s="39"/>
      <c r="N385" s="39"/>
      <c r="O385" s="39"/>
      <c r="P385" s="35"/>
      <c r="Q385" s="18"/>
      <c r="R385" s="34"/>
      <c r="S385" s="39"/>
      <c r="T385" s="39"/>
      <c r="U385" s="39"/>
      <c r="V385" s="39"/>
      <c r="W385" s="39"/>
      <c r="X385" s="39"/>
      <c r="Y385" s="39"/>
      <c r="Z385" s="39"/>
      <c r="AA385" s="35"/>
      <c r="AB385" s="50" t="e">
        <f t="shared" si="16"/>
        <v>#DIV/0!</v>
      </c>
      <c r="AC385" s="51" t="e">
        <f t="shared" si="17"/>
        <v>#DIV/0!</v>
      </c>
      <c r="AD385" s="19"/>
      <c r="AE385" s="19"/>
      <c r="AF385" s="285"/>
      <c r="AG385" s="240"/>
      <c r="AH385" s="242"/>
      <c r="AI385" s="242"/>
      <c r="AJ385" s="245"/>
      <c r="AK385" s="240"/>
      <c r="AL385" s="249"/>
      <c r="AM385" s="240"/>
      <c r="AN385" s="249"/>
      <c r="AO385" s="252"/>
      <c r="AP385" s="249"/>
    </row>
    <row r="386" spans="1:42" ht="17.100000000000001" customHeight="1" outlineLevel="3" x14ac:dyDescent="0.25">
      <c r="A386" s="222"/>
      <c r="B386" s="219"/>
      <c r="C386" s="229"/>
      <c r="D386" s="232"/>
      <c r="E386" s="235"/>
      <c r="F386" s="16">
        <v>55</v>
      </c>
      <c r="G386" s="34"/>
      <c r="H386" s="39"/>
      <c r="I386" s="39"/>
      <c r="J386" s="39"/>
      <c r="K386" s="39"/>
      <c r="L386" s="39"/>
      <c r="M386" s="39"/>
      <c r="N386" s="39"/>
      <c r="O386" s="39"/>
      <c r="P386" s="35"/>
      <c r="Q386" s="18"/>
      <c r="R386" s="34"/>
      <c r="S386" s="39"/>
      <c r="T386" s="39"/>
      <c r="U386" s="39"/>
      <c r="V386" s="39"/>
      <c r="W386" s="39"/>
      <c r="X386" s="39"/>
      <c r="Y386" s="39"/>
      <c r="Z386" s="39"/>
      <c r="AA386" s="35"/>
      <c r="AB386" s="50" t="e">
        <f t="shared" si="16"/>
        <v>#DIV/0!</v>
      </c>
      <c r="AC386" s="51" t="e">
        <f t="shared" si="17"/>
        <v>#DIV/0!</v>
      </c>
      <c r="AD386" s="19"/>
      <c r="AE386" s="19"/>
      <c r="AF386" s="285" t="s">
        <v>128</v>
      </c>
      <c r="AG386" s="240" t="e" cm="1">
        <f t="array" ref="AG386">bdRateExtend($G384:$G387,H384:H387,$R384:$R387,S384:S387)</f>
        <v>#VALUE!</v>
      </c>
      <c r="AH386" s="242"/>
      <c r="AI386" s="242"/>
      <c r="AJ386" s="245"/>
      <c r="AK386" s="240" t="e" cm="1">
        <f t="array" ref="AK386">bdRateExtend($G384:$G387,K384:K387,$R384:$R387,V384:V387)</f>
        <v>#VALUE!</v>
      </c>
      <c r="AL386" s="249"/>
      <c r="AM386" s="240" t="e" cm="1">
        <f t="array" ref="AM386">bdRateExtend($G384:$G387,L384:L387,$R384:$R387,W384:W387)</f>
        <v>#VALUE!</v>
      </c>
      <c r="AN386" s="249"/>
      <c r="AO386" s="252" t="e" cm="1">
        <f t="array" ref="AO386">bdRateExtend($G384:$G387,M384:M387,$R384:$R387,X384:X387)</f>
        <v>#VALUE!</v>
      </c>
      <c r="AP386" s="249"/>
    </row>
    <row r="387" spans="1:42" ht="17.100000000000001" customHeight="1" outlineLevel="3" thickBot="1" x14ac:dyDescent="0.3">
      <c r="A387" s="222"/>
      <c r="B387" s="220"/>
      <c r="C387" s="230"/>
      <c r="D387" s="233"/>
      <c r="E387" s="236"/>
      <c r="F387" s="9">
        <v>63</v>
      </c>
      <c r="G387" s="36"/>
      <c r="H387" s="37"/>
      <c r="I387" s="37"/>
      <c r="J387" s="37"/>
      <c r="K387" s="37"/>
      <c r="L387" s="37"/>
      <c r="M387" s="37"/>
      <c r="N387" s="37"/>
      <c r="O387" s="37"/>
      <c r="P387" s="38"/>
      <c r="Q387" s="18"/>
      <c r="R387" s="36"/>
      <c r="S387" s="37"/>
      <c r="T387" s="37"/>
      <c r="U387" s="37"/>
      <c r="V387" s="37"/>
      <c r="W387" s="37"/>
      <c r="X387" s="37"/>
      <c r="Y387" s="37"/>
      <c r="Z387" s="37"/>
      <c r="AA387" s="38"/>
      <c r="AB387" s="52" t="e">
        <f t="shared" si="16"/>
        <v>#DIV/0!</v>
      </c>
      <c r="AC387" s="53" t="e">
        <f t="shared" si="17"/>
        <v>#DIV/0!</v>
      </c>
      <c r="AD387" s="19"/>
      <c r="AE387" s="19"/>
      <c r="AF387" s="286"/>
      <c r="AG387" s="247"/>
      <c r="AH387" s="243"/>
      <c r="AI387" s="243"/>
      <c r="AJ387" s="246"/>
      <c r="AK387" s="247"/>
      <c r="AL387" s="250"/>
      <c r="AM387" s="247"/>
      <c r="AN387" s="250"/>
      <c r="AO387" s="253"/>
      <c r="AP387" s="250"/>
    </row>
    <row r="388" spans="1:42" ht="17.100000000000001" customHeight="1" outlineLevel="3" x14ac:dyDescent="0.25">
      <c r="A388" s="222"/>
      <c r="B388" s="218" t="s">
        <v>2</v>
      </c>
      <c r="C388" s="228" t="s">
        <v>90</v>
      </c>
      <c r="D388" s="231">
        <v>24</v>
      </c>
      <c r="E388" s="234">
        <v>10</v>
      </c>
      <c r="F388" s="7">
        <v>23</v>
      </c>
      <c r="G388" s="31"/>
      <c r="H388" s="32"/>
      <c r="I388" s="32"/>
      <c r="J388" s="32"/>
      <c r="K388" s="32"/>
      <c r="L388" s="32"/>
      <c r="M388" s="32"/>
      <c r="N388" s="32"/>
      <c r="O388" s="32"/>
      <c r="P388" s="33"/>
      <c r="Q388" s="18"/>
      <c r="R388" s="31"/>
      <c r="S388" s="32"/>
      <c r="T388" s="32"/>
      <c r="U388" s="32"/>
      <c r="V388" s="32"/>
      <c r="W388" s="32"/>
      <c r="X388" s="32"/>
      <c r="Y388" s="32"/>
      <c r="Z388" s="32"/>
      <c r="AA388" s="33"/>
      <c r="AB388" s="48" t="e">
        <f t="shared" si="16"/>
        <v>#DIV/0!</v>
      </c>
      <c r="AC388" s="49" t="e">
        <f t="shared" si="17"/>
        <v>#DIV/0!</v>
      </c>
      <c r="AD388" s="19"/>
      <c r="AE388" s="19"/>
      <c r="AF388" s="284" t="s">
        <v>126</v>
      </c>
      <c r="AG388" s="239" t="e" cm="1">
        <f t="array" ref="AG388">bdRateExtend($G388:$G391,H388:H391,$R388:$R391,S388:S391)</f>
        <v>#VALUE!</v>
      </c>
      <c r="AH388" s="241" t="e" cm="1">
        <f t="array" ref="AH388">bdRateExtend($G388:$G393,H388:H393,$R388:$R393,S388:S393)</f>
        <v>#VALUE!</v>
      </c>
      <c r="AI388" s="241" t="e" cm="1">
        <f t="array" ref="AI388">bdRateExtend($G388:$G393,I388:I393,$R388:$R393,T388:T393)</f>
        <v>#VALUE!</v>
      </c>
      <c r="AJ388" s="244" t="e" cm="1">
        <f t="array" ref="AJ388">bdRateExtend($G388:$G393,J388:J393,$R388:$R393,U388:U393)</f>
        <v>#VALUE!</v>
      </c>
      <c r="AK388" s="239" t="e" cm="1">
        <f t="array" ref="AK388">bdRateExtend($G388:$G391,K388:K391,$R388:$R391,V388:V391)</f>
        <v>#VALUE!</v>
      </c>
      <c r="AL388" s="248" t="e" cm="1">
        <f t="array" ref="AL388">bdRateExtend($G388:$G393,K388:K393,$R388:$R393,V388:V393)</f>
        <v>#VALUE!</v>
      </c>
      <c r="AM388" s="239" t="e" cm="1">
        <f t="array" ref="AM388">bdRateExtend($G388:$G391,L388:L391,$R388:$R391,W388:W391)</f>
        <v>#VALUE!</v>
      </c>
      <c r="AN388" s="248" t="e" cm="1">
        <f t="array" ref="AN388">bdRateExtend($G388:$G393,L388:L393,$R388:$R393,W388:W393)</f>
        <v>#VALUE!</v>
      </c>
      <c r="AO388" s="254" t="e" cm="1">
        <f t="array" ref="AO388">bdRateExtend($G388:$G391,M388:M391,$R388:$R391,X388:X391)</f>
        <v>#VALUE!</v>
      </c>
      <c r="AP388" s="248" t="e" cm="1">
        <f t="array" ref="AP388">bdRateExtend($G388:$G393,M388:M393,$R388:$R393,X388:X393)</f>
        <v>#VALUE!</v>
      </c>
    </row>
    <row r="389" spans="1:42" ht="17.100000000000001" customHeight="1" outlineLevel="3" x14ac:dyDescent="0.25">
      <c r="A389" s="222"/>
      <c r="B389" s="219"/>
      <c r="C389" s="229"/>
      <c r="D389" s="232"/>
      <c r="E389" s="235"/>
      <c r="F389" s="16">
        <v>31</v>
      </c>
      <c r="G389" s="34"/>
      <c r="H389" s="39"/>
      <c r="I389" s="39"/>
      <c r="J389" s="39"/>
      <c r="K389" s="39"/>
      <c r="L389" s="39"/>
      <c r="M389" s="39"/>
      <c r="N389" s="39"/>
      <c r="O389" s="39"/>
      <c r="P389" s="35"/>
      <c r="Q389" s="18"/>
      <c r="R389" s="34"/>
      <c r="S389" s="39"/>
      <c r="T389" s="39"/>
      <c r="U389" s="39"/>
      <c r="V389" s="39"/>
      <c r="W389" s="39"/>
      <c r="X389" s="39"/>
      <c r="Y389" s="39"/>
      <c r="Z389" s="39"/>
      <c r="AA389" s="35"/>
      <c r="AB389" s="50" t="e">
        <f t="shared" si="16"/>
        <v>#DIV/0!</v>
      </c>
      <c r="AC389" s="51" t="e">
        <f t="shared" si="17"/>
        <v>#DIV/0!</v>
      </c>
      <c r="AD389" s="19"/>
      <c r="AE389" s="19"/>
      <c r="AF389" s="285"/>
      <c r="AG389" s="240"/>
      <c r="AH389" s="242"/>
      <c r="AI389" s="242"/>
      <c r="AJ389" s="245"/>
      <c r="AK389" s="240"/>
      <c r="AL389" s="249"/>
      <c r="AM389" s="240"/>
      <c r="AN389" s="249"/>
      <c r="AO389" s="252"/>
      <c r="AP389" s="249"/>
    </row>
    <row r="390" spans="1:42" ht="17.100000000000001" customHeight="1" outlineLevel="3" x14ac:dyDescent="0.25">
      <c r="A390" s="222"/>
      <c r="B390" s="219"/>
      <c r="C390" s="229"/>
      <c r="D390" s="232"/>
      <c r="E390" s="235"/>
      <c r="F390" s="16">
        <v>39</v>
      </c>
      <c r="G390" s="34"/>
      <c r="H390" s="39"/>
      <c r="I390" s="39"/>
      <c r="J390" s="39"/>
      <c r="K390" s="39"/>
      <c r="L390" s="39"/>
      <c r="M390" s="39"/>
      <c r="N390" s="39"/>
      <c r="O390" s="39"/>
      <c r="P390" s="35"/>
      <c r="Q390" s="18"/>
      <c r="R390" s="34"/>
      <c r="S390" s="39"/>
      <c r="T390" s="39"/>
      <c r="U390" s="39"/>
      <c r="V390" s="39"/>
      <c r="W390" s="39"/>
      <c r="X390" s="39"/>
      <c r="Y390" s="39"/>
      <c r="Z390" s="39"/>
      <c r="AA390" s="35"/>
      <c r="AB390" s="50" t="e">
        <f t="shared" si="16"/>
        <v>#DIV/0!</v>
      </c>
      <c r="AC390" s="51" t="e">
        <f t="shared" si="17"/>
        <v>#DIV/0!</v>
      </c>
      <c r="AD390" s="19"/>
      <c r="AE390" s="19"/>
      <c r="AF390" s="285" t="s">
        <v>127</v>
      </c>
      <c r="AG390" s="240" t="e" cm="1">
        <f t="array" ref="AG390">bdRateExtend($G389:$G392,H389:H392,$R389:$R392,S389:S392)</f>
        <v>#VALUE!</v>
      </c>
      <c r="AH390" s="242"/>
      <c r="AI390" s="242"/>
      <c r="AJ390" s="245"/>
      <c r="AK390" s="240" t="e" cm="1">
        <f t="array" ref="AK390">bdRateExtend($G389:$G392,K389:K392,$R389:$R392,V389:V392)</f>
        <v>#VALUE!</v>
      </c>
      <c r="AL390" s="249"/>
      <c r="AM390" s="240" t="e" cm="1">
        <f t="array" ref="AM390">bdRateExtend($G389:$G392,L389:L392,$R389:$R392,W389:W392)</f>
        <v>#VALUE!</v>
      </c>
      <c r="AN390" s="249"/>
      <c r="AO390" s="252" t="e" cm="1">
        <f t="array" ref="AO390">bdRateExtend($G389:$G392,M389:M392,$R389:$R392,X389:X392)</f>
        <v>#VALUE!</v>
      </c>
      <c r="AP390" s="249"/>
    </row>
    <row r="391" spans="1:42" ht="17.100000000000001" customHeight="1" outlineLevel="3" x14ac:dyDescent="0.25">
      <c r="A391" s="222"/>
      <c r="B391" s="219"/>
      <c r="C391" s="229"/>
      <c r="D391" s="232"/>
      <c r="E391" s="235"/>
      <c r="F391" s="16">
        <v>47</v>
      </c>
      <c r="G391" s="34"/>
      <c r="H391" s="39"/>
      <c r="I391" s="39"/>
      <c r="J391" s="39"/>
      <c r="K391" s="39"/>
      <c r="L391" s="39"/>
      <c r="M391" s="39"/>
      <c r="N391" s="39"/>
      <c r="O391" s="39"/>
      <c r="P391" s="35"/>
      <c r="Q391" s="18"/>
      <c r="R391" s="34"/>
      <c r="S391" s="39"/>
      <c r="T391" s="39"/>
      <c r="U391" s="39"/>
      <c r="V391" s="39"/>
      <c r="W391" s="39"/>
      <c r="X391" s="39"/>
      <c r="Y391" s="39"/>
      <c r="Z391" s="39"/>
      <c r="AA391" s="35"/>
      <c r="AB391" s="50" t="e">
        <f t="shared" si="16"/>
        <v>#DIV/0!</v>
      </c>
      <c r="AC391" s="51" t="e">
        <f t="shared" si="17"/>
        <v>#DIV/0!</v>
      </c>
      <c r="AD391" s="19"/>
      <c r="AE391" s="19"/>
      <c r="AF391" s="285"/>
      <c r="AG391" s="240"/>
      <c r="AH391" s="242"/>
      <c r="AI391" s="242"/>
      <c r="AJ391" s="245"/>
      <c r="AK391" s="240"/>
      <c r="AL391" s="249"/>
      <c r="AM391" s="240"/>
      <c r="AN391" s="249"/>
      <c r="AO391" s="252"/>
      <c r="AP391" s="249"/>
    </row>
    <row r="392" spans="1:42" ht="17.100000000000001" customHeight="1" outlineLevel="3" x14ac:dyDescent="0.25">
      <c r="A392" s="222"/>
      <c r="B392" s="219"/>
      <c r="C392" s="229"/>
      <c r="D392" s="232"/>
      <c r="E392" s="235"/>
      <c r="F392" s="16">
        <v>55</v>
      </c>
      <c r="G392" s="34"/>
      <c r="H392" s="39"/>
      <c r="I392" s="39"/>
      <c r="J392" s="39"/>
      <c r="K392" s="39"/>
      <c r="L392" s="39"/>
      <c r="M392" s="39"/>
      <c r="N392" s="39"/>
      <c r="O392" s="39"/>
      <c r="P392" s="35"/>
      <c r="Q392" s="18"/>
      <c r="R392" s="34"/>
      <c r="S392" s="39"/>
      <c r="T392" s="39"/>
      <c r="U392" s="39"/>
      <c r="V392" s="39"/>
      <c r="W392" s="39"/>
      <c r="X392" s="39"/>
      <c r="Y392" s="39"/>
      <c r="Z392" s="39"/>
      <c r="AA392" s="35"/>
      <c r="AB392" s="50" t="e">
        <f t="shared" si="16"/>
        <v>#DIV/0!</v>
      </c>
      <c r="AC392" s="51" t="e">
        <f t="shared" si="17"/>
        <v>#DIV/0!</v>
      </c>
      <c r="AD392" s="19"/>
      <c r="AE392" s="19"/>
      <c r="AF392" s="285" t="s">
        <v>128</v>
      </c>
      <c r="AG392" s="240" t="e" cm="1">
        <f t="array" ref="AG392">bdRateExtend($G390:$G393,H390:H393,$R390:$R393,S390:S393)</f>
        <v>#VALUE!</v>
      </c>
      <c r="AH392" s="242"/>
      <c r="AI392" s="242"/>
      <c r="AJ392" s="245"/>
      <c r="AK392" s="240" t="e" cm="1">
        <f t="array" ref="AK392">bdRateExtend($G390:$G393,K390:K393,$R390:$R393,V390:V393)</f>
        <v>#VALUE!</v>
      </c>
      <c r="AL392" s="249"/>
      <c r="AM392" s="240" t="e" cm="1">
        <f t="array" ref="AM392">bdRateExtend($G390:$G393,L390:L393,$R390:$R393,W390:W393)</f>
        <v>#VALUE!</v>
      </c>
      <c r="AN392" s="249"/>
      <c r="AO392" s="252" t="e" cm="1">
        <f t="array" ref="AO392">bdRateExtend($G390:$G393,M390:M393,$R390:$R393,X390:X393)</f>
        <v>#VALUE!</v>
      </c>
      <c r="AP392" s="249"/>
    </row>
    <row r="393" spans="1:42" ht="17.100000000000001" customHeight="1" outlineLevel="3" thickBot="1" x14ac:dyDescent="0.3">
      <c r="A393" s="222"/>
      <c r="B393" s="220"/>
      <c r="C393" s="230"/>
      <c r="D393" s="233"/>
      <c r="E393" s="236"/>
      <c r="F393" s="9">
        <v>63</v>
      </c>
      <c r="G393" s="36"/>
      <c r="H393" s="37"/>
      <c r="I393" s="37"/>
      <c r="J393" s="37"/>
      <c r="K393" s="37"/>
      <c r="L393" s="37"/>
      <c r="M393" s="37"/>
      <c r="N393" s="37"/>
      <c r="O393" s="37"/>
      <c r="P393" s="38"/>
      <c r="Q393" s="18"/>
      <c r="R393" s="36"/>
      <c r="S393" s="37"/>
      <c r="T393" s="37"/>
      <c r="U393" s="37"/>
      <c r="V393" s="37"/>
      <c r="W393" s="37"/>
      <c r="X393" s="37"/>
      <c r="Y393" s="37"/>
      <c r="Z393" s="37"/>
      <c r="AA393" s="38"/>
      <c r="AB393" s="52" t="e">
        <f t="shared" si="16"/>
        <v>#DIV/0!</v>
      </c>
      <c r="AC393" s="53" t="e">
        <f t="shared" si="17"/>
        <v>#DIV/0!</v>
      </c>
      <c r="AD393" s="19"/>
      <c r="AE393" s="19"/>
      <c r="AF393" s="286"/>
      <c r="AG393" s="247"/>
      <c r="AH393" s="243"/>
      <c r="AI393" s="243"/>
      <c r="AJ393" s="246"/>
      <c r="AK393" s="247"/>
      <c r="AL393" s="250"/>
      <c r="AM393" s="247"/>
      <c r="AN393" s="250"/>
      <c r="AO393" s="253"/>
      <c r="AP393" s="250"/>
    </row>
    <row r="394" spans="1:42" ht="17.100000000000001" customHeight="1" outlineLevel="3" x14ac:dyDescent="0.25">
      <c r="A394" s="222"/>
      <c r="B394" s="218" t="s">
        <v>2</v>
      </c>
      <c r="C394" s="228" t="s">
        <v>91</v>
      </c>
      <c r="D394" s="231">
        <v>24</v>
      </c>
      <c r="E394" s="234">
        <v>10</v>
      </c>
      <c r="F394" s="7">
        <v>23</v>
      </c>
      <c r="G394" s="31"/>
      <c r="H394" s="32"/>
      <c r="I394" s="32"/>
      <c r="J394" s="32"/>
      <c r="K394" s="32"/>
      <c r="L394" s="32"/>
      <c r="M394" s="32"/>
      <c r="N394" s="32"/>
      <c r="O394" s="32"/>
      <c r="P394" s="33"/>
      <c r="Q394" s="18"/>
      <c r="R394" s="31"/>
      <c r="S394" s="32"/>
      <c r="T394" s="32"/>
      <c r="U394" s="32"/>
      <c r="V394" s="32"/>
      <c r="W394" s="32"/>
      <c r="X394" s="32"/>
      <c r="Y394" s="32"/>
      <c r="Z394" s="32"/>
      <c r="AA394" s="33"/>
      <c r="AB394" s="48" t="e">
        <f t="shared" si="16"/>
        <v>#DIV/0!</v>
      </c>
      <c r="AC394" s="49" t="e">
        <f t="shared" si="17"/>
        <v>#DIV/0!</v>
      </c>
      <c r="AD394" s="19"/>
      <c r="AE394" s="19"/>
      <c r="AF394" s="284" t="s">
        <v>126</v>
      </c>
      <c r="AG394" s="239" t="e" cm="1">
        <f t="array" ref="AG394">bdRateExtend($G394:$G397,H394:H397,$R394:$R397,S394:S397)</f>
        <v>#VALUE!</v>
      </c>
      <c r="AH394" s="241" t="e" cm="1">
        <f t="array" ref="AH394">bdRateExtend($G394:$G399,H394:H399,$R394:$R399,S394:S399)</f>
        <v>#VALUE!</v>
      </c>
      <c r="AI394" s="241" t="e" cm="1">
        <f t="array" ref="AI394">bdRateExtend($G394:$G399,I394:I399,$R394:$R399,T394:T399)</f>
        <v>#VALUE!</v>
      </c>
      <c r="AJ394" s="244" t="e" cm="1">
        <f t="array" ref="AJ394">bdRateExtend($G394:$G399,J394:J399,$R394:$R399,U394:U399)</f>
        <v>#VALUE!</v>
      </c>
      <c r="AK394" s="239" t="e" cm="1">
        <f t="array" ref="AK394">bdRateExtend($G394:$G397,K394:K397,$R394:$R397,V394:V397)</f>
        <v>#VALUE!</v>
      </c>
      <c r="AL394" s="248" t="e" cm="1">
        <f t="array" ref="AL394">bdRateExtend($G394:$G399,K394:K399,$R394:$R399,V394:V399)</f>
        <v>#VALUE!</v>
      </c>
      <c r="AM394" s="239" t="e" cm="1">
        <f t="array" ref="AM394">bdRateExtend($G394:$G397,L394:L397,$R394:$R397,W394:W397)</f>
        <v>#VALUE!</v>
      </c>
      <c r="AN394" s="248" t="e" cm="1">
        <f t="array" ref="AN394">bdRateExtend($G394:$G399,L394:L399,$R394:$R399,W394:W399)</f>
        <v>#VALUE!</v>
      </c>
      <c r="AO394" s="254" t="e" cm="1">
        <f t="array" ref="AO394">bdRateExtend($G394:$G397,M394:M397,$R394:$R397,X394:X397)</f>
        <v>#VALUE!</v>
      </c>
      <c r="AP394" s="248" t="e" cm="1">
        <f t="array" ref="AP394">bdRateExtend($G394:$G399,M394:M399,$R394:$R399,X394:X399)</f>
        <v>#VALUE!</v>
      </c>
    </row>
    <row r="395" spans="1:42" ht="17.100000000000001" customHeight="1" outlineLevel="3" x14ac:dyDescent="0.25">
      <c r="A395" s="222"/>
      <c r="B395" s="219"/>
      <c r="C395" s="229"/>
      <c r="D395" s="232"/>
      <c r="E395" s="235"/>
      <c r="F395" s="16">
        <v>31</v>
      </c>
      <c r="G395" s="34"/>
      <c r="H395" s="39"/>
      <c r="I395" s="39"/>
      <c r="J395" s="39"/>
      <c r="K395" s="39"/>
      <c r="L395" s="39"/>
      <c r="M395" s="39"/>
      <c r="N395" s="39"/>
      <c r="O395" s="39"/>
      <c r="P395" s="35"/>
      <c r="Q395" s="18"/>
      <c r="R395" s="34"/>
      <c r="S395" s="39"/>
      <c r="T395" s="39"/>
      <c r="U395" s="39"/>
      <c r="V395" s="39"/>
      <c r="W395" s="39"/>
      <c r="X395" s="39"/>
      <c r="Y395" s="39"/>
      <c r="Z395" s="39"/>
      <c r="AA395" s="35"/>
      <c r="AB395" s="50" t="e">
        <f t="shared" si="16"/>
        <v>#DIV/0!</v>
      </c>
      <c r="AC395" s="51" t="e">
        <f t="shared" si="17"/>
        <v>#DIV/0!</v>
      </c>
      <c r="AD395" s="19"/>
      <c r="AE395" s="19"/>
      <c r="AF395" s="285"/>
      <c r="AG395" s="240"/>
      <c r="AH395" s="242"/>
      <c r="AI395" s="242"/>
      <c r="AJ395" s="245"/>
      <c r="AK395" s="240"/>
      <c r="AL395" s="249"/>
      <c r="AM395" s="240"/>
      <c r="AN395" s="249"/>
      <c r="AO395" s="252"/>
      <c r="AP395" s="249"/>
    </row>
    <row r="396" spans="1:42" ht="17.100000000000001" customHeight="1" outlineLevel="3" x14ac:dyDescent="0.25">
      <c r="A396" s="222"/>
      <c r="B396" s="219"/>
      <c r="C396" s="229"/>
      <c r="D396" s="232"/>
      <c r="E396" s="235"/>
      <c r="F396" s="16">
        <v>39</v>
      </c>
      <c r="G396" s="34"/>
      <c r="H396" s="39"/>
      <c r="I396" s="39"/>
      <c r="J396" s="39"/>
      <c r="K396" s="39"/>
      <c r="L396" s="39"/>
      <c r="M396" s="39"/>
      <c r="N396" s="39"/>
      <c r="O396" s="39"/>
      <c r="P396" s="35"/>
      <c r="Q396" s="18"/>
      <c r="R396" s="34"/>
      <c r="S396" s="39"/>
      <c r="T396" s="39"/>
      <c r="U396" s="39"/>
      <c r="V396" s="39"/>
      <c r="W396" s="39"/>
      <c r="X396" s="39"/>
      <c r="Y396" s="39"/>
      <c r="Z396" s="39"/>
      <c r="AA396" s="35"/>
      <c r="AB396" s="50" t="e">
        <f t="shared" si="16"/>
        <v>#DIV/0!</v>
      </c>
      <c r="AC396" s="51" t="e">
        <f t="shared" si="17"/>
        <v>#DIV/0!</v>
      </c>
      <c r="AD396" s="19"/>
      <c r="AE396" s="19"/>
      <c r="AF396" s="285" t="s">
        <v>127</v>
      </c>
      <c r="AG396" s="240" t="e" cm="1">
        <f t="array" ref="AG396">bdRateExtend($G395:$G398,H395:H398,$R395:$R398,S395:S398)</f>
        <v>#VALUE!</v>
      </c>
      <c r="AH396" s="242"/>
      <c r="AI396" s="242"/>
      <c r="AJ396" s="245"/>
      <c r="AK396" s="240" t="e" cm="1">
        <f t="array" ref="AK396">bdRateExtend($G395:$G398,K395:K398,$R395:$R398,V395:V398)</f>
        <v>#VALUE!</v>
      </c>
      <c r="AL396" s="249"/>
      <c r="AM396" s="240" t="e" cm="1">
        <f t="array" ref="AM396">bdRateExtend($G395:$G398,L395:L398,$R395:$R398,W395:W398)</f>
        <v>#VALUE!</v>
      </c>
      <c r="AN396" s="249"/>
      <c r="AO396" s="252" t="e" cm="1">
        <f t="array" ref="AO396">bdRateExtend($G395:$G398,M395:M398,$R395:$R398,X395:X398)</f>
        <v>#VALUE!</v>
      </c>
      <c r="AP396" s="249"/>
    </row>
    <row r="397" spans="1:42" ht="17.100000000000001" customHeight="1" outlineLevel="3" x14ac:dyDescent="0.25">
      <c r="A397" s="222"/>
      <c r="B397" s="219"/>
      <c r="C397" s="229"/>
      <c r="D397" s="232"/>
      <c r="E397" s="235"/>
      <c r="F397" s="16">
        <v>47</v>
      </c>
      <c r="G397" s="34"/>
      <c r="H397" s="39"/>
      <c r="I397" s="39"/>
      <c r="J397" s="39"/>
      <c r="K397" s="39"/>
      <c r="L397" s="39"/>
      <c r="M397" s="39"/>
      <c r="N397" s="39"/>
      <c r="O397" s="39"/>
      <c r="P397" s="35"/>
      <c r="Q397" s="18"/>
      <c r="R397" s="34"/>
      <c r="S397" s="39"/>
      <c r="T397" s="39"/>
      <c r="U397" s="39"/>
      <c r="V397" s="39"/>
      <c r="W397" s="39"/>
      <c r="X397" s="39"/>
      <c r="Y397" s="39"/>
      <c r="Z397" s="39"/>
      <c r="AA397" s="35"/>
      <c r="AB397" s="50" t="e">
        <f t="shared" si="16"/>
        <v>#DIV/0!</v>
      </c>
      <c r="AC397" s="51" t="e">
        <f t="shared" si="17"/>
        <v>#DIV/0!</v>
      </c>
      <c r="AD397" s="19"/>
      <c r="AE397" s="19"/>
      <c r="AF397" s="285"/>
      <c r="AG397" s="240"/>
      <c r="AH397" s="242"/>
      <c r="AI397" s="242"/>
      <c r="AJ397" s="245"/>
      <c r="AK397" s="240"/>
      <c r="AL397" s="249"/>
      <c r="AM397" s="240"/>
      <c r="AN397" s="249"/>
      <c r="AO397" s="252"/>
      <c r="AP397" s="249"/>
    </row>
    <row r="398" spans="1:42" ht="17.100000000000001" customHeight="1" outlineLevel="3" x14ac:dyDescent="0.25">
      <c r="A398" s="222"/>
      <c r="B398" s="219"/>
      <c r="C398" s="229"/>
      <c r="D398" s="232"/>
      <c r="E398" s="235"/>
      <c r="F398" s="16">
        <v>55</v>
      </c>
      <c r="G398" s="34"/>
      <c r="H398" s="39"/>
      <c r="I398" s="39"/>
      <c r="J398" s="39"/>
      <c r="K398" s="39"/>
      <c r="L398" s="39"/>
      <c r="M398" s="39"/>
      <c r="N398" s="39"/>
      <c r="O398" s="39"/>
      <c r="P398" s="35"/>
      <c r="Q398" s="18"/>
      <c r="R398" s="34"/>
      <c r="S398" s="39"/>
      <c r="T398" s="39"/>
      <c r="U398" s="39"/>
      <c r="V398" s="39"/>
      <c r="W398" s="39"/>
      <c r="X398" s="39"/>
      <c r="Y398" s="39"/>
      <c r="Z398" s="39"/>
      <c r="AA398" s="35"/>
      <c r="AB398" s="50" t="e">
        <f t="shared" si="16"/>
        <v>#DIV/0!</v>
      </c>
      <c r="AC398" s="51" t="e">
        <f t="shared" si="17"/>
        <v>#DIV/0!</v>
      </c>
      <c r="AD398" s="19"/>
      <c r="AE398" s="19"/>
      <c r="AF398" s="285" t="s">
        <v>128</v>
      </c>
      <c r="AG398" s="240" t="e" cm="1">
        <f t="array" ref="AG398">bdRateExtend($G396:$G399,H396:H399,$R396:$R399,S396:S399)</f>
        <v>#VALUE!</v>
      </c>
      <c r="AH398" s="242"/>
      <c r="AI398" s="242"/>
      <c r="AJ398" s="245"/>
      <c r="AK398" s="240" t="e" cm="1">
        <f t="array" ref="AK398">bdRateExtend($G396:$G399,K396:K399,$R396:$R399,V396:V399)</f>
        <v>#VALUE!</v>
      </c>
      <c r="AL398" s="249"/>
      <c r="AM398" s="240" t="e" cm="1">
        <f t="array" ref="AM398">bdRateExtend($G396:$G399,L396:L399,$R396:$R399,W396:W399)</f>
        <v>#VALUE!</v>
      </c>
      <c r="AN398" s="249"/>
      <c r="AO398" s="252" t="e" cm="1">
        <f t="array" ref="AO398">bdRateExtend($G396:$G399,M396:M399,$R396:$R399,X396:X399)</f>
        <v>#VALUE!</v>
      </c>
      <c r="AP398" s="249"/>
    </row>
    <row r="399" spans="1:42" ht="17.100000000000001" customHeight="1" outlineLevel="3" thickBot="1" x14ac:dyDescent="0.3">
      <c r="A399" s="222"/>
      <c r="B399" s="220"/>
      <c r="C399" s="230"/>
      <c r="D399" s="233"/>
      <c r="E399" s="236"/>
      <c r="F399" s="9">
        <v>63</v>
      </c>
      <c r="G399" s="36"/>
      <c r="H399" s="37"/>
      <c r="I399" s="37"/>
      <c r="J399" s="37"/>
      <c r="K399" s="37"/>
      <c r="L399" s="37"/>
      <c r="M399" s="37"/>
      <c r="N399" s="37"/>
      <c r="O399" s="37"/>
      <c r="P399" s="38"/>
      <c r="Q399" s="18"/>
      <c r="R399" s="36"/>
      <c r="S399" s="37"/>
      <c r="T399" s="37"/>
      <c r="U399" s="37"/>
      <c r="V399" s="37"/>
      <c r="W399" s="37"/>
      <c r="X399" s="37"/>
      <c r="Y399" s="37"/>
      <c r="Z399" s="37"/>
      <c r="AA399" s="38"/>
      <c r="AB399" s="52" t="e">
        <f t="shared" si="16"/>
        <v>#DIV/0!</v>
      </c>
      <c r="AC399" s="53" t="e">
        <f t="shared" si="17"/>
        <v>#DIV/0!</v>
      </c>
      <c r="AD399" s="19"/>
      <c r="AE399" s="19"/>
      <c r="AF399" s="286"/>
      <c r="AG399" s="247"/>
      <c r="AH399" s="243"/>
      <c r="AI399" s="243"/>
      <c r="AJ399" s="246"/>
      <c r="AK399" s="247"/>
      <c r="AL399" s="250"/>
      <c r="AM399" s="247"/>
      <c r="AN399" s="250"/>
      <c r="AO399" s="253"/>
      <c r="AP399" s="250"/>
    </row>
    <row r="400" spans="1:42" ht="17.100000000000001" customHeight="1" outlineLevel="3" x14ac:dyDescent="0.25">
      <c r="A400" s="222"/>
      <c r="B400" s="218" t="s">
        <v>96</v>
      </c>
      <c r="C400" s="228" t="s">
        <v>92</v>
      </c>
      <c r="D400" s="231">
        <v>59.94</v>
      </c>
      <c r="E400" s="234">
        <v>10</v>
      </c>
      <c r="F400" s="7">
        <v>23</v>
      </c>
      <c r="G400" s="31"/>
      <c r="H400" s="32"/>
      <c r="I400" s="32"/>
      <c r="J400" s="32"/>
      <c r="K400" s="32"/>
      <c r="L400" s="32"/>
      <c r="M400" s="32"/>
      <c r="N400" s="32"/>
      <c r="O400" s="32"/>
      <c r="P400" s="33"/>
      <c r="Q400" s="18"/>
      <c r="R400" s="31"/>
      <c r="S400" s="32"/>
      <c r="T400" s="32"/>
      <c r="U400" s="32"/>
      <c r="V400" s="32"/>
      <c r="W400" s="32"/>
      <c r="X400" s="32"/>
      <c r="Y400" s="32"/>
      <c r="Z400" s="32"/>
      <c r="AA400" s="33"/>
      <c r="AB400" s="48" t="e">
        <f t="shared" si="16"/>
        <v>#DIV/0!</v>
      </c>
      <c r="AC400" s="49" t="e">
        <f t="shared" si="17"/>
        <v>#DIV/0!</v>
      </c>
      <c r="AD400" s="19"/>
      <c r="AE400" s="19"/>
      <c r="AF400" s="284" t="s">
        <v>126</v>
      </c>
      <c r="AG400" s="239" t="e" cm="1">
        <f t="array" ref="AG400">bdRateExtend($G400:$G403,H400:H403,$R400:$R403,S400:S403)</f>
        <v>#VALUE!</v>
      </c>
      <c r="AH400" s="241" t="e" cm="1">
        <f t="array" ref="AH400">bdRateExtend($G400:$G405,H400:H405,$R400:$R405,S400:S405)</f>
        <v>#VALUE!</v>
      </c>
      <c r="AI400" s="241" t="e" cm="1">
        <f t="array" ref="AI400">bdRateExtend($G400:$G405,I400:I405,$R400:$R405,T400:T405)</f>
        <v>#VALUE!</v>
      </c>
      <c r="AJ400" s="244" t="e" cm="1">
        <f t="array" ref="AJ400">bdRateExtend($G400:$G405,J400:J405,$R400:$R405,U400:U405)</f>
        <v>#VALUE!</v>
      </c>
      <c r="AK400" s="239" t="e" cm="1">
        <f t="array" ref="AK400">bdRateExtend($G400:$G403,K400:K403,$R400:$R403,V400:V403)</f>
        <v>#VALUE!</v>
      </c>
      <c r="AL400" s="248" t="e" cm="1">
        <f t="array" ref="AL400">bdRateExtend($G400:$G405,K400:K405,$R400:$R405,V400:V405)</f>
        <v>#VALUE!</v>
      </c>
      <c r="AM400" s="239" t="e" cm="1">
        <f t="array" ref="AM400">bdRateExtend($G400:$G403,L400:L403,$R400:$R403,W400:W403)</f>
        <v>#VALUE!</v>
      </c>
      <c r="AN400" s="248" t="e" cm="1">
        <f t="array" ref="AN400">bdRateExtend($G400:$G405,L400:L405,$R400:$R405,W400:W405)</f>
        <v>#VALUE!</v>
      </c>
      <c r="AO400" s="254" t="e" cm="1">
        <f t="array" ref="AO400">bdRateExtend($G400:$G403,M400:M403,$R400:$R403,X400:X403)</f>
        <v>#VALUE!</v>
      </c>
      <c r="AP400" s="248" t="e" cm="1">
        <f t="array" ref="AP400">bdRateExtend($G400:$G405,M400:M405,$R400:$R405,X400:X405)</f>
        <v>#VALUE!</v>
      </c>
    </row>
    <row r="401" spans="1:42" ht="17.100000000000001" customHeight="1" outlineLevel="3" x14ac:dyDescent="0.25">
      <c r="A401" s="222"/>
      <c r="B401" s="219"/>
      <c r="C401" s="229"/>
      <c r="D401" s="232"/>
      <c r="E401" s="235"/>
      <c r="F401" s="16">
        <v>31</v>
      </c>
      <c r="G401" s="34"/>
      <c r="H401" s="39"/>
      <c r="I401" s="39"/>
      <c r="J401" s="39"/>
      <c r="K401" s="39"/>
      <c r="L401" s="39"/>
      <c r="M401" s="39"/>
      <c r="N401" s="39"/>
      <c r="O401" s="39"/>
      <c r="P401" s="35"/>
      <c r="Q401" s="18"/>
      <c r="R401" s="34"/>
      <c r="S401" s="39"/>
      <c r="T401" s="39"/>
      <c r="U401" s="39"/>
      <c r="V401" s="39"/>
      <c r="W401" s="39"/>
      <c r="X401" s="39"/>
      <c r="Y401" s="39"/>
      <c r="Z401" s="39"/>
      <c r="AA401" s="35"/>
      <c r="AB401" s="50" t="e">
        <f t="shared" si="16"/>
        <v>#DIV/0!</v>
      </c>
      <c r="AC401" s="51" t="e">
        <f t="shared" si="17"/>
        <v>#DIV/0!</v>
      </c>
      <c r="AD401" s="19"/>
      <c r="AE401" s="19"/>
      <c r="AF401" s="285"/>
      <c r="AG401" s="240"/>
      <c r="AH401" s="242"/>
      <c r="AI401" s="242"/>
      <c r="AJ401" s="245"/>
      <c r="AK401" s="240"/>
      <c r="AL401" s="249"/>
      <c r="AM401" s="240"/>
      <c r="AN401" s="249"/>
      <c r="AO401" s="252"/>
      <c r="AP401" s="249"/>
    </row>
    <row r="402" spans="1:42" ht="17.100000000000001" customHeight="1" outlineLevel="3" x14ac:dyDescent="0.25">
      <c r="A402" s="222"/>
      <c r="B402" s="219"/>
      <c r="C402" s="229"/>
      <c r="D402" s="232"/>
      <c r="E402" s="235"/>
      <c r="F402" s="16">
        <v>39</v>
      </c>
      <c r="G402" s="34"/>
      <c r="H402" s="39"/>
      <c r="I402" s="39"/>
      <c r="J402" s="39"/>
      <c r="K402" s="39"/>
      <c r="L402" s="39"/>
      <c r="M402" s="39"/>
      <c r="N402" s="39"/>
      <c r="O402" s="39"/>
      <c r="P402" s="35"/>
      <c r="Q402" s="18"/>
      <c r="R402" s="34"/>
      <c r="S402" s="39"/>
      <c r="T402" s="39"/>
      <c r="U402" s="39"/>
      <c r="V402" s="39"/>
      <c r="W402" s="39"/>
      <c r="X402" s="39"/>
      <c r="Y402" s="39"/>
      <c r="Z402" s="39"/>
      <c r="AA402" s="35"/>
      <c r="AB402" s="50" t="e">
        <f t="shared" si="16"/>
        <v>#DIV/0!</v>
      </c>
      <c r="AC402" s="51" t="e">
        <f t="shared" si="17"/>
        <v>#DIV/0!</v>
      </c>
      <c r="AD402" s="19"/>
      <c r="AE402" s="19"/>
      <c r="AF402" s="285" t="s">
        <v>127</v>
      </c>
      <c r="AG402" s="240" t="e" cm="1">
        <f t="array" ref="AG402">bdRateExtend($G401:$G404,H401:H404,$R401:$R404,S401:S404)</f>
        <v>#VALUE!</v>
      </c>
      <c r="AH402" s="242"/>
      <c r="AI402" s="242"/>
      <c r="AJ402" s="245"/>
      <c r="AK402" s="240" t="e" cm="1">
        <f t="array" ref="AK402">bdRateExtend($G401:$G404,K401:K404,$R401:$R404,V401:V404)</f>
        <v>#VALUE!</v>
      </c>
      <c r="AL402" s="249"/>
      <c r="AM402" s="240" t="e" cm="1">
        <f t="array" ref="AM402">bdRateExtend($G401:$G404,L401:L404,$R401:$R404,W401:W404)</f>
        <v>#VALUE!</v>
      </c>
      <c r="AN402" s="249"/>
      <c r="AO402" s="252" t="e" cm="1">
        <f t="array" ref="AO402">bdRateExtend($G401:$G404,M401:M404,$R401:$R404,X401:X404)</f>
        <v>#VALUE!</v>
      </c>
      <c r="AP402" s="249"/>
    </row>
    <row r="403" spans="1:42" ht="17.100000000000001" customHeight="1" outlineLevel="3" x14ac:dyDescent="0.25">
      <c r="A403" s="222"/>
      <c r="B403" s="219"/>
      <c r="C403" s="229"/>
      <c r="D403" s="232"/>
      <c r="E403" s="235"/>
      <c r="F403" s="16">
        <v>47</v>
      </c>
      <c r="G403" s="34"/>
      <c r="H403" s="39"/>
      <c r="I403" s="39"/>
      <c r="J403" s="39"/>
      <c r="K403" s="39"/>
      <c r="L403" s="39"/>
      <c r="M403" s="39"/>
      <c r="N403" s="39"/>
      <c r="O403" s="39"/>
      <c r="P403" s="35"/>
      <c r="Q403" s="18"/>
      <c r="R403" s="34"/>
      <c r="S403" s="39"/>
      <c r="T403" s="39"/>
      <c r="U403" s="39"/>
      <c r="V403" s="39"/>
      <c r="W403" s="39"/>
      <c r="X403" s="39"/>
      <c r="Y403" s="39"/>
      <c r="Z403" s="39"/>
      <c r="AA403" s="35"/>
      <c r="AB403" s="50" t="e">
        <f t="shared" si="16"/>
        <v>#DIV/0!</v>
      </c>
      <c r="AC403" s="51" t="e">
        <f t="shared" si="17"/>
        <v>#DIV/0!</v>
      </c>
      <c r="AD403" s="19"/>
      <c r="AE403" s="19"/>
      <c r="AF403" s="285"/>
      <c r="AG403" s="240"/>
      <c r="AH403" s="242"/>
      <c r="AI403" s="242"/>
      <c r="AJ403" s="245"/>
      <c r="AK403" s="240"/>
      <c r="AL403" s="249"/>
      <c r="AM403" s="240"/>
      <c r="AN403" s="249"/>
      <c r="AO403" s="252"/>
      <c r="AP403" s="249"/>
    </row>
    <row r="404" spans="1:42" ht="17.100000000000001" customHeight="1" outlineLevel="3" x14ac:dyDescent="0.25">
      <c r="A404" s="222"/>
      <c r="B404" s="219"/>
      <c r="C404" s="229"/>
      <c r="D404" s="232"/>
      <c r="E404" s="235"/>
      <c r="F404" s="16">
        <v>55</v>
      </c>
      <c r="G404" s="34"/>
      <c r="H404" s="39"/>
      <c r="I404" s="39"/>
      <c r="J404" s="39"/>
      <c r="K404" s="39"/>
      <c r="L404" s="39"/>
      <c r="M404" s="39"/>
      <c r="N404" s="39"/>
      <c r="O404" s="39"/>
      <c r="P404" s="35"/>
      <c r="Q404" s="18"/>
      <c r="R404" s="34"/>
      <c r="S404" s="39"/>
      <c r="T404" s="39"/>
      <c r="U404" s="39"/>
      <c r="V404" s="39"/>
      <c r="W404" s="39"/>
      <c r="X404" s="39"/>
      <c r="Y404" s="39"/>
      <c r="Z404" s="39"/>
      <c r="AA404" s="35"/>
      <c r="AB404" s="50" t="e">
        <f t="shared" si="16"/>
        <v>#DIV/0!</v>
      </c>
      <c r="AC404" s="51" t="e">
        <f t="shared" si="17"/>
        <v>#DIV/0!</v>
      </c>
      <c r="AD404" s="19"/>
      <c r="AE404" s="19"/>
      <c r="AF404" s="285" t="s">
        <v>128</v>
      </c>
      <c r="AG404" s="240" t="e" cm="1">
        <f t="array" ref="AG404">bdRateExtend($G402:$G405,H402:H405,$R402:$R405,S402:S405)</f>
        <v>#VALUE!</v>
      </c>
      <c r="AH404" s="242"/>
      <c r="AI404" s="242"/>
      <c r="AJ404" s="245"/>
      <c r="AK404" s="240" t="e" cm="1">
        <f t="array" ref="AK404">bdRateExtend($G402:$G405,K402:K405,$R402:$R405,V402:V405)</f>
        <v>#VALUE!</v>
      </c>
      <c r="AL404" s="249"/>
      <c r="AM404" s="240" t="e" cm="1">
        <f t="array" ref="AM404">bdRateExtend($G402:$G405,L402:L405,$R402:$R405,W402:W405)</f>
        <v>#VALUE!</v>
      </c>
      <c r="AN404" s="249"/>
      <c r="AO404" s="252" t="e" cm="1">
        <f t="array" ref="AO404">bdRateExtend($G402:$G405,M402:M405,$R402:$R405,X402:X405)</f>
        <v>#VALUE!</v>
      </c>
      <c r="AP404" s="249"/>
    </row>
    <row r="405" spans="1:42" ht="17.100000000000001" customHeight="1" outlineLevel="3" thickBot="1" x14ac:dyDescent="0.3">
      <c r="A405" s="223"/>
      <c r="B405" s="224"/>
      <c r="C405" s="230"/>
      <c r="D405" s="237"/>
      <c r="E405" s="238"/>
      <c r="F405" s="21">
        <v>63</v>
      </c>
      <c r="G405" s="40"/>
      <c r="H405" s="41"/>
      <c r="I405" s="41"/>
      <c r="J405" s="41"/>
      <c r="K405" s="41"/>
      <c r="L405" s="41"/>
      <c r="M405" s="41"/>
      <c r="N405" s="41"/>
      <c r="O405" s="41"/>
      <c r="P405" s="42"/>
      <c r="Q405" s="20"/>
      <c r="R405" s="40"/>
      <c r="S405" s="41"/>
      <c r="T405" s="41"/>
      <c r="U405" s="41"/>
      <c r="V405" s="41"/>
      <c r="W405" s="41"/>
      <c r="X405" s="41"/>
      <c r="Y405" s="41"/>
      <c r="Z405" s="41"/>
      <c r="AA405" s="42"/>
      <c r="AB405" s="52" t="e">
        <f t="shared" si="16"/>
        <v>#DIV/0!</v>
      </c>
      <c r="AC405" s="53" t="e">
        <f t="shared" si="17"/>
        <v>#DIV/0!</v>
      </c>
      <c r="AD405" s="19"/>
      <c r="AE405" s="19"/>
      <c r="AF405" s="286"/>
      <c r="AG405" s="247"/>
      <c r="AH405" s="243"/>
      <c r="AI405" s="243"/>
      <c r="AJ405" s="246"/>
      <c r="AK405" s="247"/>
      <c r="AL405" s="250"/>
      <c r="AM405" s="247"/>
      <c r="AN405" s="250"/>
      <c r="AO405" s="253"/>
      <c r="AP405" s="250"/>
    </row>
    <row r="406" spans="1:42" ht="17.100000000000001" customHeight="1" thickBot="1" x14ac:dyDescent="0.3">
      <c r="A406" s="70"/>
      <c r="B406" s="71"/>
      <c r="C406" s="72"/>
      <c r="D406" s="71"/>
      <c r="E406" s="71"/>
      <c r="F406" s="71"/>
      <c r="G406" s="73"/>
      <c r="H406" s="73"/>
      <c r="I406" s="73"/>
      <c r="J406" s="73"/>
      <c r="K406" s="73"/>
      <c r="L406" s="73"/>
      <c r="M406" s="73"/>
      <c r="N406" s="73"/>
      <c r="O406" s="73"/>
      <c r="P406" s="73"/>
      <c r="Q406" s="74"/>
      <c r="R406" s="73"/>
      <c r="S406" s="73"/>
      <c r="T406" s="73"/>
      <c r="U406" s="73"/>
      <c r="V406" s="73"/>
      <c r="W406" s="73"/>
      <c r="X406" s="73"/>
      <c r="Y406" s="73"/>
      <c r="Z406" s="73"/>
      <c r="AA406" s="73"/>
      <c r="AB406" s="75"/>
      <c r="AC406" s="75"/>
      <c r="AD406" s="19"/>
      <c r="AE406" s="19"/>
      <c r="AF406" s="19"/>
      <c r="AG406" s="24"/>
      <c r="AH406" s="24"/>
      <c r="AI406" s="24"/>
      <c r="AJ406" s="24"/>
      <c r="AK406" s="24"/>
      <c r="AL406" s="24"/>
      <c r="AM406" s="24"/>
      <c r="AN406" s="24"/>
      <c r="AO406" s="24"/>
      <c r="AP406" s="24"/>
    </row>
    <row r="407" spans="1:42" ht="17.100000000000001" customHeight="1" x14ac:dyDescent="0.25">
      <c r="A407" s="70"/>
      <c r="B407" s="71"/>
      <c r="C407" s="72"/>
      <c r="D407" s="71"/>
      <c r="E407" s="71"/>
      <c r="F407" s="71"/>
      <c r="G407" s="73"/>
      <c r="H407" s="73"/>
      <c r="I407" s="73"/>
      <c r="J407" s="73"/>
      <c r="K407" s="73"/>
      <c r="L407" s="73"/>
      <c r="M407" s="73"/>
      <c r="N407" s="73"/>
      <c r="O407" s="262" t="s">
        <v>121</v>
      </c>
      <c r="P407" s="262"/>
      <c r="Q407" s="76"/>
      <c r="R407" s="77"/>
      <c r="S407" s="77"/>
      <c r="T407" s="77"/>
      <c r="U407" s="77"/>
      <c r="V407" s="77"/>
      <c r="W407" s="77"/>
      <c r="X407" s="77"/>
      <c r="Y407" s="77"/>
      <c r="Z407" s="262" t="s">
        <v>121</v>
      </c>
      <c r="AA407" s="262"/>
      <c r="AB407" s="78"/>
      <c r="AC407" s="75"/>
      <c r="AD407" s="91"/>
      <c r="AE407" s="92"/>
      <c r="AF407" s="93"/>
      <c r="AG407" s="260" t="s">
        <v>3</v>
      </c>
      <c r="AH407" s="260"/>
      <c r="AI407" s="260"/>
      <c r="AJ407" s="260"/>
      <c r="AK407" s="260" t="s">
        <v>1</v>
      </c>
      <c r="AL407" s="260"/>
      <c r="AM407" s="260" t="s">
        <v>116</v>
      </c>
      <c r="AN407" s="260"/>
      <c r="AO407" s="260" t="s">
        <v>0</v>
      </c>
      <c r="AP407" s="261"/>
    </row>
    <row r="408" spans="1:42" ht="17.100000000000001" customHeight="1" thickBot="1" x14ac:dyDescent="0.3">
      <c r="A408" s="70"/>
      <c r="B408" s="71"/>
      <c r="C408" s="72"/>
      <c r="D408" s="71"/>
      <c r="E408" s="71"/>
      <c r="F408" s="71"/>
      <c r="G408" s="73"/>
      <c r="H408" s="73"/>
      <c r="I408" s="73"/>
      <c r="J408" s="73"/>
      <c r="K408" s="73"/>
      <c r="L408" s="73"/>
      <c r="M408" s="73"/>
      <c r="N408" s="73"/>
      <c r="O408" s="5" t="s">
        <v>129</v>
      </c>
      <c r="P408" s="5" t="s">
        <v>130</v>
      </c>
      <c r="Z408" s="5" t="s">
        <v>129</v>
      </c>
      <c r="AA408" s="5" t="s">
        <v>130</v>
      </c>
      <c r="AC408" s="75"/>
      <c r="AD408" s="94"/>
      <c r="AE408" s="66"/>
      <c r="AF408" s="269" t="s">
        <v>98</v>
      </c>
      <c r="AG408" s="269"/>
      <c r="AH408" s="67" t="s">
        <v>15</v>
      </c>
      <c r="AI408" s="67" t="s">
        <v>16</v>
      </c>
      <c r="AJ408" s="67" t="s">
        <v>17</v>
      </c>
      <c r="AK408" s="67" t="s">
        <v>98</v>
      </c>
      <c r="AL408" s="67" t="s">
        <v>15</v>
      </c>
      <c r="AM408" s="67" t="s">
        <v>98</v>
      </c>
      <c r="AN408" s="67" t="s">
        <v>15</v>
      </c>
      <c r="AO408" s="67" t="s">
        <v>98</v>
      </c>
      <c r="AP408" s="95" t="s">
        <v>15</v>
      </c>
    </row>
    <row r="409" spans="1:42" ht="17.100000000000001" customHeight="1" x14ac:dyDescent="0.25">
      <c r="C409" s="4" t="s">
        <v>99</v>
      </c>
      <c r="N409" s="6" t="s">
        <v>132</v>
      </c>
      <c r="O409" s="43" t="e">
        <f>GEOMEAN(O4:O51)</f>
        <v>#NUM!</v>
      </c>
      <c r="P409" s="43" t="e">
        <f>GEOMEAN(P4:P51)</f>
        <v>#NUM!</v>
      </c>
      <c r="Z409" s="43" t="e">
        <f>GEOMEAN(Z4:Z51)</f>
        <v>#NUM!</v>
      </c>
      <c r="AA409" s="43" t="e">
        <f>GEOMEAN(AA4:AA51)</f>
        <v>#NUM!</v>
      </c>
      <c r="AB409" s="43" t="e">
        <f>GEOMEAN(AB4:AB51)</f>
        <v>#DIV/0!</v>
      </c>
      <c r="AC409" s="43" t="e">
        <f>GEOMEAN(AC4:AC51)</f>
        <v>#DIV/0!</v>
      </c>
      <c r="AD409" s="256" t="str">
        <f>C409</f>
        <v>Class A1_4K</v>
      </c>
      <c r="AE409" s="68" t="s">
        <v>123</v>
      </c>
      <c r="AF409" s="257" t="s">
        <v>126</v>
      </c>
      <c r="AG409" s="58" t="e">
        <f>AVERAGE(AG4,AG10,AG16,AG22,AG28,AG34,AG40,AG46)</f>
        <v>#VALUE!</v>
      </c>
      <c r="AH409" s="26" t="e">
        <f>AVERAGE(AH4:AH51)</f>
        <v>#VALUE!</v>
      </c>
      <c r="AI409" s="26" t="e">
        <f>AVERAGE(AI4:AI51)</f>
        <v>#VALUE!</v>
      </c>
      <c r="AJ409" s="27" t="e">
        <f>AVERAGE(AJ4:AJ51)</f>
        <v>#VALUE!</v>
      </c>
      <c r="AK409" s="58" t="e">
        <f>AVERAGE(AK4,AK10,AK16,AK22,AK28,AK34,AK40,AK46)</f>
        <v>#VALUE!</v>
      </c>
      <c r="AL409" s="27" t="e">
        <f>AVERAGE(AL4:AL51)</f>
        <v>#VALUE!</v>
      </c>
      <c r="AM409" s="58" t="e">
        <f>AVERAGE(AM4,AM10,AM16,AM22,AM28,AM34,AM40,AM46)</f>
        <v>#VALUE!</v>
      </c>
      <c r="AN409" s="27" t="e">
        <f>AVERAGE(AN4:AN51)</f>
        <v>#VALUE!</v>
      </c>
      <c r="AO409" s="58" t="e">
        <f>AVERAGE(AO4,AO10,AO16,AO22,AO28,AO34,AO40,AO46)</f>
        <v>#VALUE!</v>
      </c>
      <c r="AP409" s="27" t="e">
        <f>AVERAGE(AP4:AP51)</f>
        <v>#VALUE!</v>
      </c>
    </row>
    <row r="410" spans="1:42" ht="17.100000000000001" customHeight="1" x14ac:dyDescent="0.25">
      <c r="N410" s="6" t="s">
        <v>133</v>
      </c>
      <c r="O410" s="43">
        <f>SUM(O4:O51)</f>
        <v>0</v>
      </c>
      <c r="P410" s="43">
        <f>SUM(P4:P51)</f>
        <v>0</v>
      </c>
      <c r="Z410" s="43">
        <f>SUM(Z4:Z51)</f>
        <v>0</v>
      </c>
      <c r="AA410" s="43">
        <f>SUM(AA4:AA51)</f>
        <v>0</v>
      </c>
      <c r="AB410" s="43" t="e">
        <f>SUM(AB4:AB51)</f>
        <v>#DIV/0!</v>
      </c>
      <c r="AC410" s="43" t="e">
        <f>SUM(AC4:AC51)</f>
        <v>#DIV/0!</v>
      </c>
      <c r="AD410" s="256"/>
      <c r="AE410" s="69" t="s">
        <v>124</v>
      </c>
      <c r="AF410" s="258"/>
      <c r="AG410" s="59" t="e">
        <f>MIN(AG4,AG10,AG16,AG22,AG28,AG34,AG40,AG46)</f>
        <v>#VALUE!</v>
      </c>
      <c r="AH410" s="25" t="e">
        <f>MIN(AH4:AH51)</f>
        <v>#VALUE!</v>
      </c>
      <c r="AI410" s="25" t="e">
        <f>MIN(AI4:AI51)</f>
        <v>#VALUE!</v>
      </c>
      <c r="AJ410" s="29" t="e">
        <f>MIN(AJ4:AJ51)</f>
        <v>#VALUE!</v>
      </c>
      <c r="AK410" s="59" t="e">
        <f>MIN(AK4,AK10,AK16,AK22,AK28,AK34,AK40,AK46)</f>
        <v>#VALUE!</v>
      </c>
      <c r="AL410" s="29" t="e">
        <f>MIN(AL4:AL51)</f>
        <v>#VALUE!</v>
      </c>
      <c r="AM410" s="59" t="e">
        <f>MIN(AM4,AM10,AM16,AM22,AM28,AM34,AM40,AM46)</f>
        <v>#VALUE!</v>
      </c>
      <c r="AN410" s="29" t="e">
        <f>MIN(AN4:AN51)</f>
        <v>#VALUE!</v>
      </c>
      <c r="AO410" s="59" t="e">
        <f>MIN(AO4,AO10,AO16,AO22,AO28,AO34,AO40,AO46)</f>
        <v>#VALUE!</v>
      </c>
      <c r="AP410" s="29" t="e">
        <f>MIN(AP4:AP51)</f>
        <v>#VALUE!</v>
      </c>
    </row>
    <row r="411" spans="1:42" ht="17.100000000000001" customHeight="1" thickBot="1" x14ac:dyDescent="0.3">
      <c r="N411" s="6" t="s">
        <v>125</v>
      </c>
      <c r="O411" s="43">
        <f>MAX(O4:O51)</f>
        <v>0</v>
      </c>
      <c r="P411" s="43">
        <f>MAX(P4:P51)</f>
        <v>0</v>
      </c>
      <c r="Z411" s="43">
        <f>MAX(Z4:Z51)</f>
        <v>0</v>
      </c>
      <c r="AA411" s="43">
        <f>MAX(AA4:AA51)</f>
        <v>0</v>
      </c>
      <c r="AB411" s="43" t="e">
        <f>MAX(AB4:AB51)</f>
        <v>#DIV/0!</v>
      </c>
      <c r="AC411" s="43" t="e">
        <f>MAX(AC4:AC51)</f>
        <v>#DIV/0!</v>
      </c>
      <c r="AD411" s="256"/>
      <c r="AE411" s="69" t="s">
        <v>125</v>
      </c>
      <c r="AF411" s="259"/>
      <c r="AG411" s="60" t="e">
        <f>MAX(AG4,AG10,AG16,AG22,AG28,AG34,AG40,AG46)</f>
        <v>#VALUE!</v>
      </c>
      <c r="AH411" s="28" t="e">
        <f>MAX(AH4:AH51)</f>
        <v>#VALUE!</v>
      </c>
      <c r="AI411" s="28" t="e">
        <f>MAX(AI4:AI51)</f>
        <v>#VALUE!</v>
      </c>
      <c r="AJ411" s="30" t="e">
        <f>MAX(AJ4:AJ51)</f>
        <v>#VALUE!</v>
      </c>
      <c r="AK411" s="60" t="e">
        <f>MAX(AK4,AK10,AK16,AK22,AK28,AK34,AK40,AK46)</f>
        <v>#VALUE!</v>
      </c>
      <c r="AL411" s="30" t="e">
        <f>MAX(AL4:AL51)</f>
        <v>#VALUE!</v>
      </c>
      <c r="AM411" s="60" t="e">
        <f>MAX(AM4,AM10,AM16,AM22,AM28,AM34,AM40,AM46)</f>
        <v>#VALUE!</v>
      </c>
      <c r="AN411" s="30" t="e">
        <f>MAX(AN4:AN51)</f>
        <v>#VALUE!</v>
      </c>
      <c r="AO411" s="60" t="e">
        <f>MAX(AO4,AO10,AO16,AO22,AO28,AO34,AO40,AO46)</f>
        <v>#VALUE!</v>
      </c>
      <c r="AP411" s="30" t="e">
        <f>MAX(AP4:AP51)</f>
        <v>#VALUE!</v>
      </c>
    </row>
    <row r="412" spans="1:42" ht="17.100000000000001" customHeight="1" x14ac:dyDescent="0.25">
      <c r="N412" s="6" t="s">
        <v>124</v>
      </c>
      <c r="O412" s="43">
        <f>MIN(O4:O51)</f>
        <v>0</v>
      </c>
      <c r="P412" s="43">
        <f>MIN(P4:P51)</f>
        <v>0</v>
      </c>
      <c r="Z412" s="43">
        <f>MIN(Z4:Z51)</f>
        <v>0</v>
      </c>
      <c r="AA412" s="43">
        <f>MIN(AA4:AA51)</f>
        <v>0</v>
      </c>
      <c r="AB412" s="43" t="e">
        <f>MIN(AB4:AB51)</f>
        <v>#DIV/0!</v>
      </c>
      <c r="AC412" s="43" t="e">
        <f>MIN(AC4:AC51)</f>
        <v>#DIV/0!</v>
      </c>
      <c r="AD412" s="256"/>
      <c r="AE412" s="69" t="s">
        <v>123</v>
      </c>
      <c r="AF412" s="263" t="s">
        <v>127</v>
      </c>
      <c r="AG412" s="58" t="e">
        <f>AVERAGE(AG6,AG12,AG18,AG24,AG30,AG36,AG42,AG48)</f>
        <v>#VALUE!</v>
      </c>
      <c r="AH412" s="272"/>
      <c r="AI412" s="273"/>
      <c r="AJ412" s="274"/>
      <c r="AK412" s="58" t="e">
        <f>AVERAGE(AK6,AK12,AK18,AK24,AK30,AK36,AK42,AK48)</f>
        <v>#VALUE!</v>
      </c>
      <c r="AL412" s="281"/>
      <c r="AM412" s="58" t="e">
        <f>AVERAGE(AM6,AM12,AM18,AM24,AM30,AM36,AM42,AM48)</f>
        <v>#VALUE!</v>
      </c>
      <c r="AN412" s="281"/>
      <c r="AO412" s="58" t="e">
        <f>AVERAGE(AO6,AO12,AO18,AO24,AO30,AO36,AO42,AO48)</f>
        <v>#VALUE!</v>
      </c>
      <c r="AP412" s="281"/>
    </row>
    <row r="413" spans="1:42" ht="17.100000000000001" customHeight="1" x14ac:dyDescent="0.25">
      <c r="N413" s="6" t="s">
        <v>134</v>
      </c>
      <c r="O413" s="43"/>
      <c r="P413" s="43"/>
      <c r="Z413" s="112" t="e">
        <f>Z409/O409</f>
        <v>#NUM!</v>
      </c>
      <c r="AA413" s="112" t="e">
        <f>AA409/P409</f>
        <v>#NUM!</v>
      </c>
      <c r="AB413" s="43"/>
      <c r="AC413" s="43"/>
      <c r="AD413" s="256"/>
      <c r="AE413" s="69" t="s">
        <v>124</v>
      </c>
      <c r="AF413" s="264"/>
      <c r="AG413" s="59" t="e">
        <f>MIN(AG6,AG12,AG18,AG24,AG30,AG36,AG42,AG48)</f>
        <v>#VALUE!</v>
      </c>
      <c r="AH413" s="275"/>
      <c r="AI413" s="276"/>
      <c r="AJ413" s="277"/>
      <c r="AK413" s="59" t="e">
        <f>MIN(AK6,AK12,AK18,AK24,AK30,AK36,AK42,AK48)</f>
        <v>#VALUE!</v>
      </c>
      <c r="AL413" s="282"/>
      <c r="AM413" s="59" t="e">
        <f>MIN(AM6,AM12,AM18,AM24,AM30,AM36,AM42,AM48)</f>
        <v>#VALUE!</v>
      </c>
      <c r="AN413" s="282"/>
      <c r="AO413" s="59" t="e">
        <f>MIN(AO6,AO12,AO18,AO24,AO30,AO36,AO42,AO48)</f>
        <v>#VALUE!</v>
      </c>
      <c r="AP413" s="282"/>
    </row>
    <row r="414" spans="1:42" ht="17.100000000000001" customHeight="1" thickBot="1" x14ac:dyDescent="0.3">
      <c r="O414" s="43"/>
      <c r="P414" s="43"/>
      <c r="Z414" s="43"/>
      <c r="AA414" s="43"/>
      <c r="AB414" s="43"/>
      <c r="AC414" s="43"/>
      <c r="AD414" s="256"/>
      <c r="AE414" s="69" t="s">
        <v>125</v>
      </c>
      <c r="AF414" s="265"/>
      <c r="AG414" s="60" t="e">
        <f>MAX(AG6,AG12,AG18,AG24,AG30,AG36,AG42,AG48)</f>
        <v>#VALUE!</v>
      </c>
      <c r="AH414" s="275"/>
      <c r="AI414" s="276"/>
      <c r="AJ414" s="277"/>
      <c r="AK414" s="60" t="e">
        <f>MAX(AK6,AK12,AK18,AK24,AK30,AK36,AK42,AK48)</f>
        <v>#VALUE!</v>
      </c>
      <c r="AL414" s="282"/>
      <c r="AM414" s="60" t="e">
        <f>MAX(AM6,AM12,AM18,AM24,AM30,AM36,AM42,AM48)</f>
        <v>#VALUE!</v>
      </c>
      <c r="AN414" s="282"/>
      <c r="AO414" s="60" t="e">
        <f>MAX(AO6,AO12,AO18,AO24,AO30,AO36,AO42,AO48)</f>
        <v>#VALUE!</v>
      </c>
      <c r="AP414" s="282"/>
    </row>
    <row r="415" spans="1:42" ht="17.100000000000001" customHeight="1" x14ac:dyDescent="0.25">
      <c r="O415" s="43"/>
      <c r="P415" s="43"/>
      <c r="Z415" s="43"/>
      <c r="AA415" s="43"/>
      <c r="AB415" s="43"/>
      <c r="AC415" s="43"/>
      <c r="AD415" s="256"/>
      <c r="AE415" s="64" t="s">
        <v>123</v>
      </c>
      <c r="AF415" s="266" t="s">
        <v>128</v>
      </c>
      <c r="AG415" s="63" t="e">
        <f>AVERAGE(AG6,AG12,AG18,AG24,AG30,AG36,AG42,AG48)</f>
        <v>#VALUE!</v>
      </c>
      <c r="AH415" s="275"/>
      <c r="AI415" s="276"/>
      <c r="AJ415" s="277"/>
      <c r="AK415" s="63" t="e">
        <f>AVERAGE(AK6,AK12,AK18,AK24,AK30,AK36,AK42,AK48)</f>
        <v>#VALUE!</v>
      </c>
      <c r="AL415" s="282"/>
      <c r="AM415" s="63" t="e">
        <f>AVERAGE(AM6,AM12,AM18,AM24,AM30,AM36,AM42,AM48)</f>
        <v>#VALUE!</v>
      </c>
      <c r="AN415" s="282"/>
      <c r="AO415" s="63" t="e">
        <f>AVERAGE(AO6,AO12,AO18,AO24,AO30,AO36,AO42,AO48)</f>
        <v>#VALUE!</v>
      </c>
      <c r="AP415" s="282"/>
    </row>
    <row r="416" spans="1:42" ht="17.100000000000001" customHeight="1" x14ac:dyDescent="0.25">
      <c r="O416" s="43"/>
      <c r="P416" s="43"/>
      <c r="Z416" s="43"/>
      <c r="AA416" s="43"/>
      <c r="AB416" s="43"/>
      <c r="AC416" s="43"/>
      <c r="AD416" s="256"/>
      <c r="AE416" s="64" t="s">
        <v>124</v>
      </c>
      <c r="AF416" s="267"/>
      <c r="AG416" s="59" t="e">
        <f>MIN(AG6,AG12,AG18,AG24,AG30,AG36,AG42,AG48)</f>
        <v>#VALUE!</v>
      </c>
      <c r="AH416" s="275"/>
      <c r="AI416" s="276"/>
      <c r="AJ416" s="277"/>
      <c r="AK416" s="59" t="e">
        <f>MIN(AK6,AK12,AK18,AK24,AK30,AK36,AK42,AK48)</f>
        <v>#VALUE!</v>
      </c>
      <c r="AL416" s="282"/>
      <c r="AM416" s="59" t="e">
        <f>MIN(AM6,AM12,AM18,AM24,AM30,AM36,AM42,AM48)</f>
        <v>#VALUE!</v>
      </c>
      <c r="AN416" s="282"/>
      <c r="AO416" s="59" t="e">
        <f>MIN(AO6,AO12,AO18,AO24,AO30,AO36,AO42,AO48)</f>
        <v>#VALUE!</v>
      </c>
      <c r="AP416" s="282"/>
    </row>
    <row r="417" spans="3:42" ht="17.100000000000001" customHeight="1" thickBot="1" x14ac:dyDescent="0.3">
      <c r="O417" s="43"/>
      <c r="P417" s="43"/>
      <c r="Z417" s="43"/>
      <c r="AA417" s="43"/>
      <c r="AB417" s="43"/>
      <c r="AC417" s="43"/>
      <c r="AD417" s="256"/>
      <c r="AE417" s="65" t="s">
        <v>125</v>
      </c>
      <c r="AF417" s="268"/>
      <c r="AG417" s="60" t="e">
        <f>MAX(AG6,AG12,AG18,AG24,AG30,AG36,AG42,AG48)</f>
        <v>#VALUE!</v>
      </c>
      <c r="AH417" s="278"/>
      <c r="AI417" s="279"/>
      <c r="AJ417" s="280"/>
      <c r="AK417" s="60" t="e">
        <f>MAX(AK6,AK12,AK18,AK24,AK30,AK36,AK42,AK48)</f>
        <v>#VALUE!</v>
      </c>
      <c r="AL417" s="283"/>
      <c r="AM417" s="60" t="e">
        <f>MAX(AM6,AM12,AM18,AM24,AM30,AM36,AM42,AM48)</f>
        <v>#VALUE!</v>
      </c>
      <c r="AN417" s="283"/>
      <c r="AO417" s="60" t="e">
        <f>MAX(AO6,AO12,AO18,AO24,AO30,AO36,AO42,AO48)</f>
        <v>#VALUE!</v>
      </c>
      <c r="AP417" s="283"/>
    </row>
    <row r="418" spans="3:42" ht="17.100000000000001" customHeight="1" x14ac:dyDescent="0.25">
      <c r="C418" s="4" t="s">
        <v>100</v>
      </c>
      <c r="N418" s="6" t="s">
        <v>132</v>
      </c>
      <c r="O418" s="43" t="e">
        <f>GEOMEAN(O52:O165)</f>
        <v>#NUM!</v>
      </c>
      <c r="P418" s="43" t="e">
        <f>GEOMEAN(P52:P165)</f>
        <v>#NUM!</v>
      </c>
      <c r="Z418" s="43" t="e">
        <f>GEOMEAN(Z52:Z165)</f>
        <v>#NUM!</v>
      </c>
      <c r="AA418" s="43" t="e">
        <f>GEOMEAN(AA52:AA165)</f>
        <v>#NUM!</v>
      </c>
      <c r="AB418" s="43" t="e">
        <f>GEOMEAN(AB52:AB165)</f>
        <v>#DIV/0!</v>
      </c>
      <c r="AC418" s="43" t="e">
        <f>GEOMEAN(AC52:AC165)</f>
        <v>#DIV/0!</v>
      </c>
      <c r="AD418" s="256" t="str">
        <f>C418</f>
        <v>Class A1_2K</v>
      </c>
      <c r="AE418" s="68" t="s">
        <v>123</v>
      </c>
      <c r="AF418" s="257" t="s">
        <v>126</v>
      </c>
      <c r="AG418" s="58" t="e">
        <f>AVERAGE(AG52,AG58,AG64,AG70,AG76,AG82,AG88,AG94,AG100,AG106,AG112,AG118,AG124,AG130,AG136,AG142,AG148,AG154,AG160)</f>
        <v>#VALUE!</v>
      </c>
      <c r="AH418" s="26" t="e">
        <f>AVERAGE(AH52:AH165)</f>
        <v>#VALUE!</v>
      </c>
      <c r="AI418" s="26" t="e">
        <f>AVERAGE(AI52:AI165)</f>
        <v>#VALUE!</v>
      </c>
      <c r="AJ418" s="26" t="e">
        <f>AVERAGE(AJ52:AJ165)</f>
        <v>#VALUE!</v>
      </c>
      <c r="AK418" s="58" t="e">
        <f>AVERAGE(AK52,AK58,AK64,AK70,AK76,AK82,AK88,AK94,AK100,AK106,AK112,AK118,AK124,AK130,AK136,AK142,AK148,AK154,AK160)</f>
        <v>#VALUE!</v>
      </c>
      <c r="AL418" s="26" t="e">
        <f>AVERAGE(AL52:AL165)</f>
        <v>#VALUE!</v>
      </c>
      <c r="AM418" s="58" t="e">
        <f>AVERAGE(AM52,AM58,AM64,AM70,AM76,AM82,AM88,AM94,AM100,AM106,AM112,AM118,AM124,AM130,AM136,AM142,AM148,AM154,AM160)</f>
        <v>#VALUE!</v>
      </c>
      <c r="AN418" s="26" t="e">
        <f>AVERAGE(AN52:AN165)</f>
        <v>#VALUE!</v>
      </c>
      <c r="AO418" s="58" t="e">
        <f>AVERAGE(AO52,AO58,AO64,AO70,AO76,AO82,AO88,AO94,AO100,AO106,AO112,AO118,AO124,AO130,AO136,AO142,AO148,AO154,AO160)</f>
        <v>#VALUE!</v>
      </c>
      <c r="AP418" s="27" t="e">
        <f>AVERAGE(AP52:AP165)</f>
        <v>#VALUE!</v>
      </c>
    </row>
    <row r="419" spans="3:42" ht="17.100000000000001" customHeight="1" x14ac:dyDescent="0.25">
      <c r="N419" s="6" t="s">
        <v>133</v>
      </c>
      <c r="O419" s="43">
        <f>SUM(O52:O165)</f>
        <v>0</v>
      </c>
      <c r="P419" s="43">
        <f>SUM(P52:P165)</f>
        <v>0</v>
      </c>
      <c r="Z419" s="43">
        <f>SUM(Z52:Z165)</f>
        <v>0</v>
      </c>
      <c r="AA419" s="43">
        <f>SUM(AA52:AA165)</f>
        <v>0</v>
      </c>
      <c r="AB419" s="43" t="e">
        <f>SUM(AB52:AB165)</f>
        <v>#DIV/0!</v>
      </c>
      <c r="AC419" s="43" t="e">
        <f>SUM(AC52:AC165)</f>
        <v>#DIV/0!</v>
      </c>
      <c r="AD419" s="256"/>
      <c r="AE419" s="69" t="s">
        <v>124</v>
      </c>
      <c r="AF419" s="258"/>
      <c r="AG419" s="59" t="e">
        <f>MIN(AG52,AG58,AG64,AG70,AG76,AG82,AG88,AG94,AG100,AG106,AG112,AG118,AG124,AG130,AG136,AG142,AG148,AG154,AG160)</f>
        <v>#VALUE!</v>
      </c>
      <c r="AH419" s="25" t="e">
        <f>MIN(AH52:AH165)</f>
        <v>#VALUE!</v>
      </c>
      <c r="AI419" s="25" t="e">
        <f>MIN(AI52:AI165)</f>
        <v>#VALUE!</v>
      </c>
      <c r="AJ419" s="25" t="e">
        <f>MIN(AJ52:AJ165)</f>
        <v>#VALUE!</v>
      </c>
      <c r="AK419" s="59" t="e">
        <f>MIN(AK52,AK58,AK64,AK70,AK76,AK82,AK88,AK94,AK100,AK106,AK112,AK118,AK124,AK130,AK136,AK142,AK148,AK154,AK160)</f>
        <v>#VALUE!</v>
      </c>
      <c r="AL419" s="25" t="e">
        <f>MIN(AL52:AL165)</f>
        <v>#VALUE!</v>
      </c>
      <c r="AM419" s="59" t="e">
        <f>MIN(AM52,AM58,AM64,AM70,AM76,AM82,AM88,AM94,AM100,AM106,AM112,AM118,AM124,AM130,AM136,AM142,AM148,AM154,AM160)</f>
        <v>#VALUE!</v>
      </c>
      <c r="AN419" s="25" t="e">
        <f>MIN(AN52:AN165)</f>
        <v>#VALUE!</v>
      </c>
      <c r="AO419" s="59" t="e">
        <f>MIN(AO52,AO58,AO64,AO70,AO76,AO82,AO88,AO94,AO100,AO106,AO112,AO118,AO124,AO130,AO136,AO142,AO148,AO154,AO160)</f>
        <v>#VALUE!</v>
      </c>
      <c r="AP419" s="29" t="e">
        <f>MIN(AP52:AP165)</f>
        <v>#VALUE!</v>
      </c>
    </row>
    <row r="420" spans="3:42" ht="17.100000000000001" customHeight="1" thickBot="1" x14ac:dyDescent="0.3">
      <c r="N420" s="6" t="s">
        <v>125</v>
      </c>
      <c r="O420" s="43">
        <f>MAX(O52:O165)</f>
        <v>0</v>
      </c>
      <c r="P420" s="43">
        <f>MAX(P52:P165)</f>
        <v>0</v>
      </c>
      <c r="Z420" s="43">
        <f>MAX(Z52:Z165)</f>
        <v>0</v>
      </c>
      <c r="AA420" s="43">
        <f>MAX(AA52:AA165)</f>
        <v>0</v>
      </c>
      <c r="AB420" s="43" t="e">
        <f>MAX(AB52:AB165)</f>
        <v>#DIV/0!</v>
      </c>
      <c r="AC420" s="43" t="e">
        <f>MAX(AC52:AC165)</f>
        <v>#DIV/0!</v>
      </c>
      <c r="AD420" s="256"/>
      <c r="AE420" s="69" t="s">
        <v>125</v>
      </c>
      <c r="AF420" s="259"/>
      <c r="AG420" s="60" t="e">
        <f>MAX(AG52,AG58,AG64,AG70,AG76,AG82,AG88,AG94,AG100,AG106,AG112,AG118,AG124,AG130,AG136,AG142,AG148,AG154,AG160)</f>
        <v>#VALUE!</v>
      </c>
      <c r="AH420" s="28" t="e">
        <f>MAX(AH52:AH165)</f>
        <v>#VALUE!</v>
      </c>
      <c r="AI420" s="28" t="e">
        <f>MAX(AI52:AI165)</f>
        <v>#VALUE!</v>
      </c>
      <c r="AJ420" s="28" t="e">
        <f>MAX(AJ52:AJ165)</f>
        <v>#VALUE!</v>
      </c>
      <c r="AK420" s="60" t="e">
        <f>MAX(AK52,AK58,AK64,AK70,AK76,AK82,AK88,AK94,AK100,AK106,AK112,AK118,AK124,AK130,AK136,AK142,AK148,AK154,AK160)</f>
        <v>#VALUE!</v>
      </c>
      <c r="AL420" s="28" t="e">
        <f>MAX(AL52:AL165)</f>
        <v>#VALUE!</v>
      </c>
      <c r="AM420" s="60" t="e">
        <f>MAX(AM52,AM58,AM64,AM70,AM76,AM82,AM88,AM94,AM100,AM106,AM112,AM118,AM124,AM130,AM136,AM142,AM148,AM154,AM160)</f>
        <v>#VALUE!</v>
      </c>
      <c r="AN420" s="28" t="e">
        <f>MAX(AN52:AN165)</f>
        <v>#VALUE!</v>
      </c>
      <c r="AO420" s="60" t="e">
        <f>MAX(AO52,AO58,AO64,AO70,AO76,AO82,AO88,AO94,AO100,AO106,AO112,AO118,AO124,AO130,AO136,AO142,AO148,AO154,AO160)</f>
        <v>#VALUE!</v>
      </c>
      <c r="AP420" s="30" t="e">
        <f>MAX(AP52:AP165)</f>
        <v>#VALUE!</v>
      </c>
    </row>
    <row r="421" spans="3:42" ht="17.100000000000001" customHeight="1" x14ac:dyDescent="0.25">
      <c r="N421" s="6" t="s">
        <v>124</v>
      </c>
      <c r="O421" s="43">
        <f>MIN(O52:O165)</f>
        <v>0</v>
      </c>
      <c r="P421" s="43">
        <f>MIN(P52:P165)</f>
        <v>0</v>
      </c>
      <c r="Z421" s="43">
        <f>MIN(Z52:Z165)</f>
        <v>0</v>
      </c>
      <c r="AA421" s="43">
        <f>MIN(AA52:AA165)</f>
        <v>0</v>
      </c>
      <c r="AB421" s="43" t="e">
        <f>MIN(AB52:AB165)</f>
        <v>#DIV/0!</v>
      </c>
      <c r="AC421" s="43" t="e">
        <f>MIN(AC52:AC165)</f>
        <v>#DIV/0!</v>
      </c>
      <c r="AD421" s="256"/>
      <c r="AE421" s="69" t="s">
        <v>123</v>
      </c>
      <c r="AF421" s="263" t="s">
        <v>127</v>
      </c>
      <c r="AG421" s="58" t="e">
        <f>AVERAGE(AG54,AG60,AG66,AG72,AG78,AG84,AG90,AG96,AG102,AG108,AG114,AG120,AG126,AG132,AG138,AG144,AG150,AG156,AG162)</f>
        <v>#VALUE!</v>
      </c>
      <c r="AH421" s="272"/>
      <c r="AI421" s="273"/>
      <c r="AJ421" s="274"/>
      <c r="AK421" s="58" t="e">
        <f>AVERAGE(AK54,AK60,AK66,AK72,AK78,AK84,AK90,AK96,AK102,AK108,AK114,AK120,AK126,AK132,AK138,AK144,AK150,AK156,AK162)</f>
        <v>#VALUE!</v>
      </c>
      <c r="AL421" s="281"/>
      <c r="AM421" s="58" t="e">
        <f>AVERAGE(AM54,AM60,AM66,AM72,AM78,AM84,AM90,AM96,AM102,AM108,AM114,AM120,AM126,AM132,AM138,AM144,AM150,AM156,AM162)</f>
        <v>#VALUE!</v>
      </c>
      <c r="AN421" s="281"/>
      <c r="AO421" s="58" t="e">
        <f>AVERAGE(AO54,AO60,AO66,AO72,AO78,AO84,AO90,AO96,AO102,AO108,AO114,AO120,AO126,AO132,AO138,AO144,AO150,AO156,AO162)</f>
        <v>#VALUE!</v>
      </c>
      <c r="AP421" s="281"/>
    </row>
    <row r="422" spans="3:42" ht="17.100000000000001" customHeight="1" x14ac:dyDescent="0.25">
      <c r="N422" s="6" t="s">
        <v>134</v>
      </c>
      <c r="O422" s="43"/>
      <c r="P422" s="43"/>
      <c r="Z422" s="112" t="e">
        <f>Z418/O418</f>
        <v>#NUM!</v>
      </c>
      <c r="AA422" s="112" t="e">
        <f>AA418/P418</f>
        <v>#NUM!</v>
      </c>
      <c r="AB422" s="43"/>
      <c r="AC422" s="43"/>
      <c r="AD422" s="256"/>
      <c r="AE422" s="69" t="s">
        <v>124</v>
      </c>
      <c r="AF422" s="264"/>
      <c r="AG422" s="59" t="e">
        <f>MIN(AG54,AG60,AG66,AG72,AG78,AG84,AG90,AG96,AG102,AG108,AG114,AG120,AG126,AG132,AG138,AG144,AG150,AG156,AG162)</f>
        <v>#VALUE!</v>
      </c>
      <c r="AH422" s="275"/>
      <c r="AI422" s="276"/>
      <c r="AJ422" s="277"/>
      <c r="AK422" s="59" t="e">
        <f>MIN(AK54,AK60,AK66,AK72,AK78,AK84,AK90,AK96,AK102,AK108,AK114,AK120,AK126,AK132,AK138,AK144,AK150,AK156,AK162)</f>
        <v>#VALUE!</v>
      </c>
      <c r="AL422" s="282"/>
      <c r="AM422" s="59" t="e">
        <f>MIN(AM54,AM60,AM66,AM72,AM78,AM84,AM90,AM96,AM102,AM108,AM114,AM120,AM126,AM132,AM138,AM144,AM150,AM156,AM162)</f>
        <v>#VALUE!</v>
      </c>
      <c r="AN422" s="282"/>
      <c r="AO422" s="59" t="e">
        <f>MIN(AO54,AO60,AO66,AO72,AO78,AO84,AO90,AO96,AO102,AO108,AO114,AO120,AO126,AO132,AO138,AO144,AO150,AO156,AO162)</f>
        <v>#VALUE!</v>
      </c>
      <c r="AP422" s="282"/>
    </row>
    <row r="423" spans="3:42" ht="17.100000000000001" customHeight="1" thickBot="1" x14ac:dyDescent="0.3">
      <c r="O423" s="43"/>
      <c r="P423" s="43"/>
      <c r="Z423" s="43"/>
      <c r="AA423" s="43"/>
      <c r="AB423" s="43"/>
      <c r="AC423" s="43"/>
      <c r="AD423" s="256"/>
      <c r="AE423" s="69" t="s">
        <v>125</v>
      </c>
      <c r="AF423" s="265"/>
      <c r="AG423" s="60" t="e">
        <f>MAX(AG54,AG60,AG66,AG72,AG78,AG84,AG90,AG96,AG102,AG108,AG114,AG120,AG126,AG132,AG138,AG144,AG150,AG156,AG162)</f>
        <v>#VALUE!</v>
      </c>
      <c r="AH423" s="275"/>
      <c r="AI423" s="276"/>
      <c r="AJ423" s="277"/>
      <c r="AK423" s="60" t="e">
        <f>MAX(AK54,AK60,AK66,AK72,AK78,AK84,AK90,AK96,AK102,AK108,AK114,AK120,AK126,AK132,AK138,AK144,AK150,AK156,AK162)</f>
        <v>#VALUE!</v>
      </c>
      <c r="AL423" s="282"/>
      <c r="AM423" s="60" t="e">
        <f>MAX(AM54,AM60,AM66,AM72,AM78,AM84,AM90,AM96,AM102,AM108,AM114,AM120,AM126,AM132,AM138,AM144,AM150,AM156,AM162)</f>
        <v>#VALUE!</v>
      </c>
      <c r="AN423" s="282"/>
      <c r="AO423" s="60" t="e">
        <f>MAX(AO54,AO60,AO66,AO72,AO78,AO84,AO90,AO96,AO102,AO108,AO114,AO120,AO126,AO132,AO138,AO144,AO150,AO156,AO162)</f>
        <v>#VALUE!</v>
      </c>
      <c r="AP423" s="282"/>
    </row>
    <row r="424" spans="3:42" ht="17.100000000000001" customHeight="1" x14ac:dyDescent="0.25">
      <c r="O424" s="43"/>
      <c r="P424" s="43"/>
      <c r="Z424" s="43"/>
      <c r="AA424" s="43"/>
      <c r="AB424" s="43"/>
      <c r="AC424" s="43"/>
      <c r="AD424" s="256"/>
      <c r="AE424" s="64" t="s">
        <v>123</v>
      </c>
      <c r="AF424" s="266" t="s">
        <v>128</v>
      </c>
      <c r="AG424" s="63" t="e">
        <f>AVERAGE(AG56,AG62,AG68,AG74,AG80,AG86,AG92,AG98,AG104,AG110,AG116,AG122,AG128,AG134,AG140,AG146,AG152,AG158,AG164)</f>
        <v>#VALUE!</v>
      </c>
      <c r="AH424" s="275"/>
      <c r="AI424" s="276"/>
      <c r="AJ424" s="277"/>
      <c r="AK424" s="63" t="e">
        <f>AVERAGE(AK56,AK62,AK68,AK74,AK80,AK86,AK92,AK98,AK104,AK110,AK116,AK122,AK128,AK134,AK140,AK146,AK152,AK158,AK164)</f>
        <v>#VALUE!</v>
      </c>
      <c r="AL424" s="282"/>
      <c r="AM424" s="63" t="e">
        <f>AVERAGE(AM56,AM62,AM68,AM74,AM80,AM86,AM92,AM98,AM104,AM110,AM116,AM122,AM128,AM134,AM140,AM146,AM152,AM158,AM164)</f>
        <v>#VALUE!</v>
      </c>
      <c r="AN424" s="282"/>
      <c r="AO424" s="63" t="e">
        <f>AVERAGE(AO56,AO62,AO68,AO74,AO80,AO86,AO92,AO98,AO104,AO110,AO116,AO122,AO128,AO134,AO140,AO146,AO152,AO158,AO164)</f>
        <v>#VALUE!</v>
      </c>
      <c r="AP424" s="282"/>
    </row>
    <row r="425" spans="3:42" ht="17.100000000000001" customHeight="1" x14ac:dyDescent="0.25">
      <c r="O425" s="43"/>
      <c r="P425" s="43"/>
      <c r="Z425" s="43"/>
      <c r="AA425" s="43"/>
      <c r="AB425" s="43"/>
      <c r="AC425" s="43"/>
      <c r="AD425" s="256"/>
      <c r="AE425" s="64" t="s">
        <v>124</v>
      </c>
      <c r="AF425" s="267"/>
      <c r="AG425" s="59" t="e">
        <f>MIN(AG56,AG62,AG68,AG74,AG80,AG86,AG92,AG98,AG104,AG110,AG116,AG122,AG128,AG134,AG140,AG146,AG152,AG158,AG164)</f>
        <v>#VALUE!</v>
      </c>
      <c r="AH425" s="275"/>
      <c r="AI425" s="276"/>
      <c r="AJ425" s="277"/>
      <c r="AK425" s="59" t="e">
        <f>MIN(AK56,AK62,AK68,AK74,AK80,AK86,AK92,AK98,AK104,AK110,AK116,AK122,AK128,AK134,AK140,AK146,AK152,AK158,AK164)</f>
        <v>#VALUE!</v>
      </c>
      <c r="AL425" s="282"/>
      <c r="AM425" s="59" t="e">
        <f>MIN(AM56,AM62,AM68,AM74,AM80,AM86,AM92,AM98,AM104,AM110,AM116,AM122,AM128,AM134,AM140,AM146,AM152,AM158,AM164)</f>
        <v>#VALUE!</v>
      </c>
      <c r="AN425" s="282"/>
      <c r="AO425" s="59" t="e">
        <f>MIN(AO56,AO62,AO68,AO74,AO80,AO86,AO92,AO98,AO104,AO110,AO116,AO122,AO128,AO134,AO140,AO146,AO152,AO158,AO164)</f>
        <v>#VALUE!</v>
      </c>
      <c r="AP425" s="282"/>
    </row>
    <row r="426" spans="3:42" ht="17.100000000000001" customHeight="1" thickBot="1" x14ac:dyDescent="0.3">
      <c r="O426" s="43"/>
      <c r="P426" s="43"/>
      <c r="Z426" s="43"/>
      <c r="AA426" s="43"/>
      <c r="AB426" s="43"/>
      <c r="AC426" s="43"/>
      <c r="AD426" s="256"/>
      <c r="AE426" s="65" t="s">
        <v>125</v>
      </c>
      <c r="AF426" s="268"/>
      <c r="AG426" s="60" t="e">
        <f>MAX(AG56,AG62,AG68,AG74,AG80,AG86,AG92,AG98,AG104,AG110,AG116,AG122,AG128,AG134,AG140,AG146,AG152,AG158,AG164)</f>
        <v>#VALUE!</v>
      </c>
      <c r="AH426" s="278"/>
      <c r="AI426" s="279"/>
      <c r="AJ426" s="280"/>
      <c r="AK426" s="60" t="e">
        <f>MAX(AK56,AK62,AK68,AK74,AK80,AK86,AK92,AK98,AK104,AK110,AK116,AK122,AK128,AK134,AK140,AK146,AK152,AK158,AK164)</f>
        <v>#VALUE!</v>
      </c>
      <c r="AL426" s="283"/>
      <c r="AM426" s="60" t="e">
        <f>MAX(AM56,AM62,AM68,AM74,AM80,AM86,AM92,AM98,AM104,AM110,AM116,AM122,AM128,AM134,AM140,AM146,AM152,AM158,AM164)</f>
        <v>#VALUE!</v>
      </c>
      <c r="AN426" s="283"/>
      <c r="AO426" s="60" t="e">
        <f>MAX(AO56,AO62,AO68,AO74,AO80,AO86,AO92,AO98,AO104,AO110,AO116,AO122,AO128,AO134,AO140,AO146,AO152,AO158,AO164)</f>
        <v>#VALUE!</v>
      </c>
      <c r="AP426" s="283"/>
    </row>
    <row r="427" spans="3:42" ht="17.100000000000001" customHeight="1" x14ac:dyDescent="0.25">
      <c r="C427" s="4" t="s">
        <v>101</v>
      </c>
      <c r="N427" s="6" t="s">
        <v>132</v>
      </c>
      <c r="O427" s="43" t="e">
        <f>GEOMEAN(O166:O213)</f>
        <v>#NUM!</v>
      </c>
      <c r="P427" s="43" t="e">
        <f>GEOMEAN(P166:P213)</f>
        <v>#NUM!</v>
      </c>
      <c r="Z427" s="43" t="e">
        <f>GEOMEAN(Z166:Z213)</f>
        <v>#NUM!</v>
      </c>
      <c r="AA427" s="43" t="e">
        <f>GEOMEAN(AA166:AA213)</f>
        <v>#NUM!</v>
      </c>
      <c r="AB427" s="43" t="e">
        <f>GEOMEAN(AB166:AB213)</f>
        <v>#DIV/0!</v>
      </c>
      <c r="AC427" s="43" t="e">
        <f>GEOMEAN(AC166:AC213)</f>
        <v>#DIV/0!</v>
      </c>
      <c r="AD427" s="256" t="str">
        <f>C427</f>
        <v>Class A3_720p</v>
      </c>
      <c r="AE427" s="68" t="s">
        <v>123</v>
      </c>
      <c r="AF427" s="257" t="s">
        <v>126</v>
      </c>
      <c r="AG427" s="58" t="e">
        <f>AVERAGE(AG166,AG172,AG178,AG184,AG190,AG196,AG202,AG208)</f>
        <v>#VALUE!</v>
      </c>
      <c r="AH427" s="26" t="e">
        <f>AVERAGE(AH166:AH213)</f>
        <v>#VALUE!</v>
      </c>
      <c r="AI427" s="26" t="e">
        <f>AVERAGE(AI166:AI213)</f>
        <v>#VALUE!</v>
      </c>
      <c r="AJ427" s="26" t="e">
        <f>AVERAGE(AJ166:AJ213)</f>
        <v>#VALUE!</v>
      </c>
      <c r="AK427" s="58" t="e">
        <f>AVERAGE(AK166,AK172,AK178,AK184,AK190,AK196,AK202,AK208)</f>
        <v>#VALUE!</v>
      </c>
      <c r="AL427" s="26" t="e">
        <f>AVERAGE(AL166:AL213)</f>
        <v>#VALUE!</v>
      </c>
      <c r="AM427" s="58" t="e">
        <f>AVERAGE(AM166,AM172,AM178,AM184,AM190,AM196,AM202,AM208)</f>
        <v>#VALUE!</v>
      </c>
      <c r="AN427" s="26" t="e">
        <f>AVERAGE(AN166:AN213)</f>
        <v>#VALUE!</v>
      </c>
      <c r="AO427" s="58" t="e">
        <f>AVERAGE(AO166,AO172,AO178,AO184,AO190,AO196,AO202,AO208)</f>
        <v>#VALUE!</v>
      </c>
      <c r="AP427" s="27" t="e">
        <f>AVERAGE(AP166:AP213)</f>
        <v>#VALUE!</v>
      </c>
    </row>
    <row r="428" spans="3:42" ht="17.100000000000001" customHeight="1" x14ac:dyDescent="0.25">
      <c r="N428" s="6" t="s">
        <v>133</v>
      </c>
      <c r="O428" s="43">
        <f>SUM(O166:O213)</f>
        <v>0</v>
      </c>
      <c r="P428" s="43">
        <f>SUM(P166:P213)</f>
        <v>0</v>
      </c>
      <c r="Z428" s="43">
        <f>SUM(Z166:Z213)</f>
        <v>0</v>
      </c>
      <c r="AA428" s="43">
        <f>SUM(AA166:AA213)</f>
        <v>0</v>
      </c>
      <c r="AB428" s="43" t="e">
        <f>SUM(AB166:AB213)</f>
        <v>#DIV/0!</v>
      </c>
      <c r="AC428" s="43" t="e">
        <f>SUM(AC166:AC213)</f>
        <v>#DIV/0!</v>
      </c>
      <c r="AD428" s="256"/>
      <c r="AE428" s="69" t="s">
        <v>124</v>
      </c>
      <c r="AF428" s="258"/>
      <c r="AG428" s="59" t="e">
        <f>MIN(AG166,AG172,AG178,AG184,AG190,AG196,AG202,AG208)</f>
        <v>#VALUE!</v>
      </c>
      <c r="AH428" s="25" t="e">
        <f>MIN(AH166:AH213)</f>
        <v>#VALUE!</v>
      </c>
      <c r="AI428" s="25" t="e">
        <f>MIN(AI166:AI213)</f>
        <v>#VALUE!</v>
      </c>
      <c r="AJ428" s="25" t="e">
        <f>MIN(AJ166:AJ213)</f>
        <v>#VALUE!</v>
      </c>
      <c r="AK428" s="59" t="e">
        <f>MIN(AK166,AK172,AK178,AK184,AK190,AK196,AK202,AK208)</f>
        <v>#VALUE!</v>
      </c>
      <c r="AL428" s="25" t="e">
        <f>MIN(AL166:AL213)</f>
        <v>#VALUE!</v>
      </c>
      <c r="AM428" s="59" t="e">
        <f>MIN(AM166,AM172,AM178,AM184,AM190,AM196,AM202,AM208)</f>
        <v>#VALUE!</v>
      </c>
      <c r="AN428" s="25" t="e">
        <f>MIN(AN166:AN213)</f>
        <v>#VALUE!</v>
      </c>
      <c r="AO428" s="59" t="e">
        <f>MIN(AO166,AO172,AO178,AO184,AO190,AO196,AO202,AO208)</f>
        <v>#VALUE!</v>
      </c>
      <c r="AP428" s="29" t="e">
        <f>MIN(AP166:AP213)</f>
        <v>#VALUE!</v>
      </c>
    </row>
    <row r="429" spans="3:42" ht="17.100000000000001" customHeight="1" thickBot="1" x14ac:dyDescent="0.3">
      <c r="N429" s="6" t="s">
        <v>125</v>
      </c>
      <c r="O429" s="43">
        <f>MAX(O166:O213)</f>
        <v>0</v>
      </c>
      <c r="P429" s="43">
        <f>MAX(P166:P213)</f>
        <v>0</v>
      </c>
      <c r="Z429" s="43">
        <f>MAX(Z166:Z213)</f>
        <v>0</v>
      </c>
      <c r="AA429" s="43">
        <f>MAX(AA166:AA213)</f>
        <v>0</v>
      </c>
      <c r="AB429" s="43" t="e">
        <f>MAX(AB166:AB213)</f>
        <v>#DIV/0!</v>
      </c>
      <c r="AC429" s="43" t="e">
        <f>MAX(AC166:AC213)</f>
        <v>#DIV/0!</v>
      </c>
      <c r="AD429" s="256"/>
      <c r="AE429" s="69" t="s">
        <v>125</v>
      </c>
      <c r="AF429" s="259"/>
      <c r="AG429" s="60" t="e">
        <f>MAX(AG166,AG172,AG178,AG184,AG190,AG196,AG202,AG208)</f>
        <v>#VALUE!</v>
      </c>
      <c r="AH429" s="28" t="e">
        <f>MAX(AH166:AH213)</f>
        <v>#VALUE!</v>
      </c>
      <c r="AI429" s="28" t="e">
        <f>MAX(AI166:AI213)</f>
        <v>#VALUE!</v>
      </c>
      <c r="AJ429" s="28" t="e">
        <f>MAX(AJ166:AJ213)</f>
        <v>#VALUE!</v>
      </c>
      <c r="AK429" s="60" t="e">
        <f>MAX(AK166,AK172,AK178,AK184,AK190,AK196,AK202,AK208)</f>
        <v>#VALUE!</v>
      </c>
      <c r="AL429" s="28" t="e">
        <f>MAX(AL166:AL213)</f>
        <v>#VALUE!</v>
      </c>
      <c r="AM429" s="60" t="e">
        <f>MAX(AM166,AM172,AM178,AM184,AM190,AM196,AM202,AM208)</f>
        <v>#VALUE!</v>
      </c>
      <c r="AN429" s="28" t="e">
        <f>MAX(AN166:AN213)</f>
        <v>#VALUE!</v>
      </c>
      <c r="AO429" s="60" t="e">
        <f>MAX(AO166,AO172,AO178,AO184,AO190,AO196,AO202,AO208)</f>
        <v>#VALUE!</v>
      </c>
      <c r="AP429" s="30" t="e">
        <f>MAX(AP166:AP213)</f>
        <v>#VALUE!</v>
      </c>
    </row>
    <row r="430" spans="3:42" ht="17.100000000000001" customHeight="1" x14ac:dyDescent="0.25">
      <c r="N430" s="6" t="s">
        <v>124</v>
      </c>
      <c r="O430" s="43">
        <f>MIN(O166:O213)</f>
        <v>0</v>
      </c>
      <c r="P430" s="43">
        <f>MIN(P166:P213)</f>
        <v>0</v>
      </c>
      <c r="Z430" s="43">
        <f>MIN(Z166:Z213)</f>
        <v>0</v>
      </c>
      <c r="AA430" s="43">
        <f>MIN(AA166:AA213)</f>
        <v>0</v>
      </c>
      <c r="AB430" s="43" t="e">
        <f>MIN(AB166:AB213)</f>
        <v>#DIV/0!</v>
      </c>
      <c r="AC430" s="43" t="e">
        <f>MIN(AC166:AC213)</f>
        <v>#DIV/0!</v>
      </c>
      <c r="AD430" s="256"/>
      <c r="AE430" s="69" t="s">
        <v>123</v>
      </c>
      <c r="AF430" s="263" t="s">
        <v>127</v>
      </c>
      <c r="AG430" s="58" t="e">
        <f>AVERAGE(AG168,AG174,AG180,AG186,AG192,AG198,AG204,AG210)</f>
        <v>#VALUE!</v>
      </c>
      <c r="AH430" s="272"/>
      <c r="AI430" s="273"/>
      <c r="AJ430" s="274"/>
      <c r="AK430" s="58" t="e">
        <f>AVERAGE(AK168,AK174,AK180,AK186,AK192,AK198,AK204,AK210)</f>
        <v>#VALUE!</v>
      </c>
      <c r="AL430" s="281"/>
      <c r="AM430" s="58" t="e">
        <f>AVERAGE(AM168,AM174,AM180,AM186,AM192,AM198,AM204,AM210)</f>
        <v>#VALUE!</v>
      </c>
      <c r="AN430" s="281"/>
      <c r="AO430" s="58" t="e">
        <f>AVERAGE(AO168,AO174,AO180,AO186,AO192,AO198,AO204,AO210)</f>
        <v>#VALUE!</v>
      </c>
      <c r="AP430" s="281"/>
    </row>
    <row r="431" spans="3:42" ht="17.100000000000001" customHeight="1" x14ac:dyDescent="0.25">
      <c r="N431" s="6" t="s">
        <v>134</v>
      </c>
      <c r="O431" s="43"/>
      <c r="P431" s="43"/>
      <c r="Z431" s="112" t="e">
        <f>Z427/O427</f>
        <v>#NUM!</v>
      </c>
      <c r="AA431" s="112" t="e">
        <f>AA427/P427</f>
        <v>#NUM!</v>
      </c>
      <c r="AB431" s="43"/>
      <c r="AC431" s="43"/>
      <c r="AD431" s="256"/>
      <c r="AE431" s="69" t="s">
        <v>124</v>
      </c>
      <c r="AF431" s="264"/>
      <c r="AG431" s="59" t="e">
        <f>MIN(AG168,AG174,AG180,AG186,AG192,AG198,AG204,AG210)</f>
        <v>#VALUE!</v>
      </c>
      <c r="AH431" s="275"/>
      <c r="AI431" s="276"/>
      <c r="AJ431" s="277"/>
      <c r="AK431" s="59" t="e">
        <f>MIN(AK168,AK174,AK180,AK186,AK192,AK198,AK204,AK210)</f>
        <v>#VALUE!</v>
      </c>
      <c r="AL431" s="282"/>
      <c r="AM431" s="59" t="e">
        <f>MIN(AM168,AM174,AM180,AM186,AM192,AM198,AM204,AM210)</f>
        <v>#VALUE!</v>
      </c>
      <c r="AN431" s="282"/>
      <c r="AO431" s="59" t="e">
        <f>MIN(AO168,AO174,AO180,AO186,AO192,AO198,AO204,AO210)</f>
        <v>#VALUE!</v>
      </c>
      <c r="AP431" s="282"/>
    </row>
    <row r="432" spans="3:42" ht="17.100000000000001" customHeight="1" thickBot="1" x14ac:dyDescent="0.3">
      <c r="O432" s="43"/>
      <c r="P432" s="43"/>
      <c r="Z432" s="43"/>
      <c r="AA432" s="43"/>
      <c r="AB432" s="43"/>
      <c r="AC432" s="43"/>
      <c r="AD432" s="256"/>
      <c r="AE432" s="69" t="s">
        <v>125</v>
      </c>
      <c r="AF432" s="265"/>
      <c r="AG432" s="60" t="e">
        <f>MAX(AG168,AG174,AG180,AG186,AG192,AG198,AG204,AG210)</f>
        <v>#VALUE!</v>
      </c>
      <c r="AH432" s="275"/>
      <c r="AI432" s="276"/>
      <c r="AJ432" s="277"/>
      <c r="AK432" s="60" t="e">
        <f>MAX(AK168,AK174,AK180,AK186,AK192,AK198,AK204,AK210)</f>
        <v>#VALUE!</v>
      </c>
      <c r="AL432" s="282"/>
      <c r="AM432" s="60" t="e">
        <f>MAX(AM168,AM174,AM180,AM186,AM192,AM198,AM204,AM210)</f>
        <v>#VALUE!</v>
      </c>
      <c r="AN432" s="282"/>
      <c r="AO432" s="60" t="e">
        <f>MAX(AO168,AO174,AO180,AO186,AO192,AO198,AO204,AO210)</f>
        <v>#VALUE!</v>
      </c>
      <c r="AP432" s="282"/>
    </row>
    <row r="433" spans="3:42" ht="17.100000000000001" customHeight="1" x14ac:dyDescent="0.25">
      <c r="O433" s="43"/>
      <c r="P433" s="43"/>
      <c r="Z433" s="43"/>
      <c r="AA433" s="43"/>
      <c r="AB433" s="43"/>
      <c r="AC433" s="43"/>
      <c r="AD433" s="256"/>
      <c r="AE433" s="64" t="s">
        <v>123</v>
      </c>
      <c r="AF433" s="266" t="s">
        <v>128</v>
      </c>
      <c r="AG433" s="63" t="e">
        <f>AVERAGE(AG170,AG176,AG182,AG188,AG194,AG200,AG206,AG212)</f>
        <v>#VALUE!</v>
      </c>
      <c r="AH433" s="275"/>
      <c r="AI433" s="276"/>
      <c r="AJ433" s="277"/>
      <c r="AK433" s="63" t="e">
        <f>AVERAGE(AK170,AK176,AK182,AK188,AK194,AK200,AK206,AK212)</f>
        <v>#VALUE!</v>
      </c>
      <c r="AL433" s="282"/>
      <c r="AM433" s="63" t="e">
        <f>AVERAGE(AM170,AM176,AM182,AM188,AM194,AM200,AM206,AM212)</f>
        <v>#VALUE!</v>
      </c>
      <c r="AN433" s="282"/>
      <c r="AO433" s="63" t="e">
        <f>AVERAGE(AO170,AO176,AO182,AO188,AO194,AO200,AO206,AO212)</f>
        <v>#VALUE!</v>
      </c>
      <c r="AP433" s="282"/>
    </row>
    <row r="434" spans="3:42" ht="17.100000000000001" customHeight="1" x14ac:dyDescent="0.25">
      <c r="O434" s="43"/>
      <c r="P434" s="43"/>
      <c r="Z434" s="43"/>
      <c r="AA434" s="43"/>
      <c r="AB434" s="43"/>
      <c r="AC434" s="43"/>
      <c r="AD434" s="256"/>
      <c r="AE434" s="64" t="s">
        <v>124</v>
      </c>
      <c r="AF434" s="267"/>
      <c r="AG434" s="59" t="e">
        <f>MIN(AG170,AG176,AG182,AG188,AG194,AG200,AG206,AG212)</f>
        <v>#VALUE!</v>
      </c>
      <c r="AH434" s="275"/>
      <c r="AI434" s="276"/>
      <c r="AJ434" s="277"/>
      <c r="AK434" s="59" t="e">
        <f>MIN(AK170,AK176,AK182,AK188,AK194,AK200,AK206,AK212)</f>
        <v>#VALUE!</v>
      </c>
      <c r="AL434" s="282"/>
      <c r="AM434" s="59" t="e">
        <f>MIN(AM170,AM176,AM182,AM188,AM194,AM200,AM206,AM212)</f>
        <v>#VALUE!</v>
      </c>
      <c r="AN434" s="282"/>
      <c r="AO434" s="59" t="e">
        <f>MIN(AO170,AO176,AO182,AO188,AO194,AO200,AO206,AO212)</f>
        <v>#VALUE!</v>
      </c>
      <c r="AP434" s="282"/>
    </row>
    <row r="435" spans="3:42" ht="17.100000000000001" customHeight="1" thickBot="1" x14ac:dyDescent="0.3">
      <c r="O435" s="43"/>
      <c r="P435" s="43"/>
      <c r="Z435" s="43"/>
      <c r="AA435" s="43"/>
      <c r="AB435" s="43"/>
      <c r="AC435" s="43"/>
      <c r="AD435" s="256"/>
      <c r="AE435" s="65" t="s">
        <v>125</v>
      </c>
      <c r="AF435" s="268"/>
      <c r="AG435" s="60" t="e">
        <f>MAX(AG170,AG176,AG182,AG188,AG194,AG200,AG206,AG212)</f>
        <v>#VALUE!</v>
      </c>
      <c r="AH435" s="278"/>
      <c r="AI435" s="279"/>
      <c r="AJ435" s="280"/>
      <c r="AK435" s="60" t="e">
        <f>MAX(AK170,AK176,AK182,AK188,AK194,AK200,AK206,AK212)</f>
        <v>#VALUE!</v>
      </c>
      <c r="AL435" s="283"/>
      <c r="AM435" s="60" t="e">
        <f>MAX(AM170,AM176,AM182,AM188,AM194,AM200,AM206,AM212)</f>
        <v>#VALUE!</v>
      </c>
      <c r="AN435" s="283"/>
      <c r="AO435" s="60" t="e">
        <f>MAX(AO170,AO176,AO182,AO188,AO194,AO200,AO206,AO212)</f>
        <v>#VALUE!</v>
      </c>
      <c r="AP435" s="283"/>
    </row>
    <row r="436" spans="3:42" ht="17.100000000000001" customHeight="1" x14ac:dyDescent="0.25">
      <c r="C436" s="4" t="s">
        <v>102</v>
      </c>
      <c r="N436" s="6" t="s">
        <v>132</v>
      </c>
      <c r="O436" s="43" t="e">
        <f>GEOMEAN(O214:O249)</f>
        <v>#NUM!</v>
      </c>
      <c r="P436" s="43" t="e">
        <f>GEOMEAN(P214:P249)</f>
        <v>#NUM!</v>
      </c>
      <c r="Z436" s="43" t="e">
        <f>GEOMEAN(Z214:Z249)</f>
        <v>#NUM!</v>
      </c>
      <c r="AA436" s="43" t="e">
        <f>GEOMEAN(AA214:AA249)</f>
        <v>#NUM!</v>
      </c>
      <c r="AB436" s="43" t="e">
        <f>GEOMEAN(AB214:AB249)</f>
        <v>#DIV/0!</v>
      </c>
      <c r="AC436" s="43" t="e">
        <f>GEOMEAN(AC214:AC249)</f>
        <v>#DIV/0!</v>
      </c>
      <c r="AD436" s="256" t="str">
        <f>C436</f>
        <v>Class A4_360p</v>
      </c>
      <c r="AE436" s="68" t="s">
        <v>123</v>
      </c>
      <c r="AF436" s="257" t="s">
        <v>126</v>
      </c>
      <c r="AG436" s="58" t="e">
        <f>AVERAGE(AG214,AG220,AG226,AG232,AG238,AG244)</f>
        <v>#VALUE!</v>
      </c>
      <c r="AH436" s="26" t="e">
        <f>AVERAGE(AH214:AH249)</f>
        <v>#VALUE!</v>
      </c>
      <c r="AI436" s="26" t="e">
        <f>AVERAGE(AI214:AI249)</f>
        <v>#VALUE!</v>
      </c>
      <c r="AJ436" s="26" t="e">
        <f>AVERAGE(AJ214:AJ249)</f>
        <v>#VALUE!</v>
      </c>
      <c r="AK436" s="58" t="e">
        <f>AVERAGE(AK214,AK220,AK226,AK232,AK238,AK244)</f>
        <v>#VALUE!</v>
      </c>
      <c r="AL436" s="26" t="e">
        <f>AVERAGE(AL214:AL249)</f>
        <v>#VALUE!</v>
      </c>
      <c r="AM436" s="58" t="e">
        <f>AVERAGE(AM214,AM220,AM226,AM232,AM238,AM244)</f>
        <v>#VALUE!</v>
      </c>
      <c r="AN436" s="26" t="e">
        <f>AVERAGE(AN214:AN249)</f>
        <v>#VALUE!</v>
      </c>
      <c r="AO436" s="58" t="e">
        <f>AVERAGE(AO214,AO220,AO226,AO232,AO238,AO244)</f>
        <v>#VALUE!</v>
      </c>
      <c r="AP436" s="27" t="e">
        <f>AVERAGE(AP214:AP249)</f>
        <v>#VALUE!</v>
      </c>
    </row>
    <row r="437" spans="3:42" ht="17.100000000000001" customHeight="1" x14ac:dyDescent="0.25">
      <c r="N437" s="6" t="s">
        <v>133</v>
      </c>
      <c r="O437" s="43">
        <f>SUM(O214:O249)</f>
        <v>0</v>
      </c>
      <c r="P437" s="43">
        <f>SUM(P214:P249)</f>
        <v>0</v>
      </c>
      <c r="Z437" s="43">
        <f>SUM(Z214:Z249)</f>
        <v>0</v>
      </c>
      <c r="AA437" s="43">
        <f>SUM(AA214:AA249)</f>
        <v>0</v>
      </c>
      <c r="AB437" s="43" t="e">
        <f>SUM(AB214:AB249)</f>
        <v>#DIV/0!</v>
      </c>
      <c r="AC437" s="43" t="e">
        <f>SUM(AC214:AC249)</f>
        <v>#DIV/0!</v>
      </c>
      <c r="AD437" s="256"/>
      <c r="AE437" s="69" t="s">
        <v>124</v>
      </c>
      <c r="AF437" s="258"/>
      <c r="AG437" s="59" t="e">
        <f>MIN(AG214,AG220,AG226,AG232,AG238,AG244)</f>
        <v>#VALUE!</v>
      </c>
      <c r="AH437" s="25" t="e">
        <f>MIN(AH214:AH249)</f>
        <v>#VALUE!</v>
      </c>
      <c r="AI437" s="25" t="e">
        <f>MIN(AI214:AI249)</f>
        <v>#VALUE!</v>
      </c>
      <c r="AJ437" s="25" t="e">
        <f>MIN(AJ214:AJ249)</f>
        <v>#VALUE!</v>
      </c>
      <c r="AK437" s="59" t="e">
        <f>MIN(AK214,AK220,AK226,AK232,AK238,AK244)</f>
        <v>#VALUE!</v>
      </c>
      <c r="AL437" s="25" t="e">
        <f>MIN(AL214:AL249)</f>
        <v>#VALUE!</v>
      </c>
      <c r="AM437" s="59" t="e">
        <f>MIN(AM214,AM220,AM226,AM232,AM238,AM244)</f>
        <v>#VALUE!</v>
      </c>
      <c r="AN437" s="25" t="e">
        <f>MIN(AN214:AN249)</f>
        <v>#VALUE!</v>
      </c>
      <c r="AO437" s="59" t="e">
        <f>MIN(AO214,AO220,AO226,AO232,AO238,AO244)</f>
        <v>#VALUE!</v>
      </c>
      <c r="AP437" s="29" t="e">
        <f>MIN(AP214:AP249)</f>
        <v>#VALUE!</v>
      </c>
    </row>
    <row r="438" spans="3:42" ht="17.100000000000001" customHeight="1" thickBot="1" x14ac:dyDescent="0.3">
      <c r="N438" s="6" t="s">
        <v>125</v>
      </c>
      <c r="O438" s="43">
        <f>MAX(O214:O249)</f>
        <v>0</v>
      </c>
      <c r="P438" s="43">
        <f>MAX(P214:P249)</f>
        <v>0</v>
      </c>
      <c r="Z438" s="43">
        <f>MAX(Z214:Z249)</f>
        <v>0</v>
      </c>
      <c r="AA438" s="43">
        <f>MAX(AA214:AA249)</f>
        <v>0</v>
      </c>
      <c r="AB438" s="43" t="e">
        <f>MAX(AB214:AB249)</f>
        <v>#DIV/0!</v>
      </c>
      <c r="AC438" s="43" t="e">
        <f>MAX(AC214:AC249)</f>
        <v>#DIV/0!</v>
      </c>
      <c r="AD438" s="256"/>
      <c r="AE438" s="69" t="s">
        <v>125</v>
      </c>
      <c r="AF438" s="259"/>
      <c r="AG438" s="60" t="e">
        <f>MAX(AG214,AG220,AG226,AG232,AG238,AG244)</f>
        <v>#VALUE!</v>
      </c>
      <c r="AH438" s="28" t="e">
        <f>MAX(AH214:AH249)</f>
        <v>#VALUE!</v>
      </c>
      <c r="AI438" s="28" t="e">
        <f>MAX(AI214:AI249)</f>
        <v>#VALUE!</v>
      </c>
      <c r="AJ438" s="28" t="e">
        <f>MAX(AJ214:AJ249)</f>
        <v>#VALUE!</v>
      </c>
      <c r="AK438" s="60" t="e">
        <f>MAX(AK214,AK220,AK226,AK232,AK238,AK244)</f>
        <v>#VALUE!</v>
      </c>
      <c r="AL438" s="28" t="e">
        <f>MAX(AL214:AL249)</f>
        <v>#VALUE!</v>
      </c>
      <c r="AM438" s="60" t="e">
        <f>MAX(AM214,AM220,AM226,AM232,AM238,AM244)</f>
        <v>#VALUE!</v>
      </c>
      <c r="AN438" s="28" t="e">
        <f>MAX(AN214:AN249)</f>
        <v>#VALUE!</v>
      </c>
      <c r="AO438" s="60" t="e">
        <f>MAX(AO214,AO220,AO226,AO232,AO238,AO244)</f>
        <v>#VALUE!</v>
      </c>
      <c r="AP438" s="30" t="e">
        <f>MAX(AP214:AP249)</f>
        <v>#VALUE!</v>
      </c>
    </row>
    <row r="439" spans="3:42" ht="17.100000000000001" customHeight="1" x14ac:dyDescent="0.25">
      <c r="N439" s="6" t="s">
        <v>124</v>
      </c>
      <c r="O439" s="43">
        <f>MIN(O214:O249)</f>
        <v>0</v>
      </c>
      <c r="P439" s="43">
        <f>MIN(P214:P249)</f>
        <v>0</v>
      </c>
      <c r="Z439" s="43">
        <f>MIN(Z214:Z249)</f>
        <v>0</v>
      </c>
      <c r="AA439" s="43">
        <f>MIN(AA214:AA249)</f>
        <v>0</v>
      </c>
      <c r="AB439" s="43" t="e">
        <f>MIN(AB214:AB249)</f>
        <v>#DIV/0!</v>
      </c>
      <c r="AC439" s="43" t="e">
        <f>MIN(AC214:AC249)</f>
        <v>#DIV/0!</v>
      </c>
      <c r="AD439" s="256"/>
      <c r="AE439" s="69" t="s">
        <v>123</v>
      </c>
      <c r="AF439" s="263" t="s">
        <v>127</v>
      </c>
      <c r="AG439" s="58" t="e">
        <f>AVERAGE(AG216,AG222,AG228,AG234,AG240,AG246)</f>
        <v>#VALUE!</v>
      </c>
      <c r="AH439" s="272"/>
      <c r="AI439" s="273"/>
      <c r="AJ439" s="274"/>
      <c r="AK439" s="58" t="e">
        <f>AVERAGE(AK216,AK222,AK228,AK234,AK240,AK246)</f>
        <v>#VALUE!</v>
      </c>
      <c r="AL439" s="281"/>
      <c r="AM439" s="58" t="e">
        <f>AVERAGE(AM216,AM222,AM228,AM234,AM240,AM246)</f>
        <v>#VALUE!</v>
      </c>
      <c r="AN439" s="281"/>
      <c r="AO439" s="58" t="e">
        <f>AVERAGE(AO216,AO222,AO228,AO234,AO240,AO246)</f>
        <v>#VALUE!</v>
      </c>
      <c r="AP439" s="281"/>
    </row>
    <row r="440" spans="3:42" ht="17.100000000000001" customHeight="1" x14ac:dyDescent="0.25">
      <c r="N440" s="6" t="s">
        <v>134</v>
      </c>
      <c r="O440" s="43"/>
      <c r="P440" s="43"/>
      <c r="Z440" s="112" t="e">
        <f>Z436/O436</f>
        <v>#NUM!</v>
      </c>
      <c r="AA440" s="112" t="e">
        <f>AA436/P436</f>
        <v>#NUM!</v>
      </c>
      <c r="AB440" s="43"/>
      <c r="AC440" s="43"/>
      <c r="AD440" s="256"/>
      <c r="AE440" s="69" t="s">
        <v>124</v>
      </c>
      <c r="AF440" s="264"/>
      <c r="AG440" s="59" t="e">
        <f>MIN(AG216,AG222,AG228,AG234,AG240,AG246)</f>
        <v>#VALUE!</v>
      </c>
      <c r="AH440" s="275"/>
      <c r="AI440" s="276"/>
      <c r="AJ440" s="277"/>
      <c r="AK440" s="59" t="e">
        <f>MIN(AK216,AK222,AK228,AK234,AK240,AK246)</f>
        <v>#VALUE!</v>
      </c>
      <c r="AL440" s="282"/>
      <c r="AM440" s="59" t="e">
        <f>MIN(AM216,AM222,AM228,AM234,AM240,AM246)</f>
        <v>#VALUE!</v>
      </c>
      <c r="AN440" s="282"/>
      <c r="AO440" s="59" t="e">
        <f>MIN(AO216,AO222,AO228,AO234,AO240,AO246)</f>
        <v>#VALUE!</v>
      </c>
      <c r="AP440" s="282"/>
    </row>
    <row r="441" spans="3:42" ht="17.100000000000001" customHeight="1" thickBot="1" x14ac:dyDescent="0.3">
      <c r="O441" s="43"/>
      <c r="P441" s="43"/>
      <c r="Z441" s="43"/>
      <c r="AA441" s="43"/>
      <c r="AB441" s="43"/>
      <c r="AC441" s="43"/>
      <c r="AD441" s="256"/>
      <c r="AE441" s="69" t="s">
        <v>125</v>
      </c>
      <c r="AF441" s="265"/>
      <c r="AG441" s="60" t="e">
        <f>MAX(AG216,AG222,AG228,AG234,AG240,AG246)</f>
        <v>#VALUE!</v>
      </c>
      <c r="AH441" s="275"/>
      <c r="AI441" s="276"/>
      <c r="AJ441" s="277"/>
      <c r="AK441" s="60" t="e">
        <f>MAX(AK216,AK222,AK228,AK234,AK240,AK246)</f>
        <v>#VALUE!</v>
      </c>
      <c r="AL441" s="282"/>
      <c r="AM441" s="60" t="e">
        <f>MAX(AM216,AM222,AM228,AM234,AM240,AM246)</f>
        <v>#VALUE!</v>
      </c>
      <c r="AN441" s="282"/>
      <c r="AO441" s="60" t="e">
        <f>MAX(AO216,AO222,AO228,AO234,AO240,AO246)</f>
        <v>#VALUE!</v>
      </c>
      <c r="AP441" s="282"/>
    </row>
    <row r="442" spans="3:42" ht="17.100000000000001" customHeight="1" x14ac:dyDescent="0.25">
      <c r="O442" s="43"/>
      <c r="P442" s="43"/>
      <c r="Z442" s="43"/>
      <c r="AA442" s="43"/>
      <c r="AB442" s="43"/>
      <c r="AC442" s="43"/>
      <c r="AD442" s="256"/>
      <c r="AE442" s="64" t="s">
        <v>123</v>
      </c>
      <c r="AF442" s="266" t="s">
        <v>128</v>
      </c>
      <c r="AG442" s="63" t="e">
        <f>AVERAGE(AG218,AG224,AG230,AG236,AG242,AG248)</f>
        <v>#VALUE!</v>
      </c>
      <c r="AH442" s="275"/>
      <c r="AI442" s="276"/>
      <c r="AJ442" s="277"/>
      <c r="AK442" s="63" t="e">
        <f>AVERAGE(AK218,AK224,AK230,AK236,AK242,AK248)</f>
        <v>#VALUE!</v>
      </c>
      <c r="AL442" s="282"/>
      <c r="AM442" s="63" t="e">
        <f>AVERAGE(AM218,AM224,AM230,AM236,AM242,AM248)</f>
        <v>#VALUE!</v>
      </c>
      <c r="AN442" s="282"/>
      <c r="AO442" s="63" t="e">
        <f>AVERAGE(AO218,AO224,AO230,AO236,AO242,AO248)</f>
        <v>#VALUE!</v>
      </c>
      <c r="AP442" s="282"/>
    </row>
    <row r="443" spans="3:42" ht="17.100000000000001" customHeight="1" x14ac:dyDescent="0.25">
      <c r="O443" s="43"/>
      <c r="P443" s="43"/>
      <c r="Z443" s="43"/>
      <c r="AA443" s="43"/>
      <c r="AB443" s="43"/>
      <c r="AC443" s="43"/>
      <c r="AD443" s="256"/>
      <c r="AE443" s="64" t="s">
        <v>124</v>
      </c>
      <c r="AF443" s="267"/>
      <c r="AG443" s="59" t="e">
        <f>MIN(AG218,AG224,AG230,AG236,AG242,AG248)</f>
        <v>#VALUE!</v>
      </c>
      <c r="AH443" s="275"/>
      <c r="AI443" s="276"/>
      <c r="AJ443" s="277"/>
      <c r="AK443" s="59" t="e">
        <f>MIN(AK218,AK224,AK230,AK236,AK242,AK248)</f>
        <v>#VALUE!</v>
      </c>
      <c r="AL443" s="282"/>
      <c r="AM443" s="59" t="e">
        <f>MIN(AM218,AM224,AM230,AM236,AM242,AM248)</f>
        <v>#VALUE!</v>
      </c>
      <c r="AN443" s="282"/>
      <c r="AO443" s="59" t="e">
        <f>MIN(AO218,AO224,AO230,AO236,AO242,AO248)</f>
        <v>#VALUE!</v>
      </c>
      <c r="AP443" s="282"/>
    </row>
    <row r="444" spans="3:42" ht="17.100000000000001" customHeight="1" thickBot="1" x14ac:dyDescent="0.3">
      <c r="O444" s="43"/>
      <c r="P444" s="43"/>
      <c r="Z444" s="43"/>
      <c r="AA444" s="43"/>
      <c r="AB444" s="43"/>
      <c r="AC444" s="43"/>
      <c r="AD444" s="256"/>
      <c r="AE444" s="65" t="s">
        <v>125</v>
      </c>
      <c r="AF444" s="268"/>
      <c r="AG444" s="60" t="e">
        <f>MAX(AG218,AG224,AG230,AG236,AG242,AG248)</f>
        <v>#VALUE!</v>
      </c>
      <c r="AH444" s="278"/>
      <c r="AI444" s="279"/>
      <c r="AJ444" s="280"/>
      <c r="AK444" s="60" t="e">
        <f>MAX(AK218,AK224,AK230,AK236,AK242,AK248)</f>
        <v>#VALUE!</v>
      </c>
      <c r="AL444" s="283"/>
      <c r="AM444" s="60" t="e">
        <f>MAX(AM218,AM224,AM230,AM236,AM242,AM248)</f>
        <v>#VALUE!</v>
      </c>
      <c r="AN444" s="283"/>
      <c r="AO444" s="60" t="e">
        <f>MAX(AO218,AO224,AO230,AO236,AO242,AO248)</f>
        <v>#VALUE!</v>
      </c>
      <c r="AP444" s="283"/>
    </row>
    <row r="445" spans="3:42" ht="17.100000000000001" customHeight="1" x14ac:dyDescent="0.25">
      <c r="C445" s="4" t="s">
        <v>115</v>
      </c>
      <c r="N445" s="6" t="s">
        <v>132</v>
      </c>
      <c r="O445" s="43" t="e">
        <f>GEOMEAN(O250:O273)</f>
        <v>#NUM!</v>
      </c>
      <c r="P445" s="43" t="e">
        <f>GEOMEAN(P250:P273)</f>
        <v>#NUM!</v>
      </c>
      <c r="Z445" s="43" t="e">
        <f>GEOMEAN(Z250:Z273)</f>
        <v>#NUM!</v>
      </c>
      <c r="AA445" s="43" t="e">
        <f>GEOMEAN(AA250:AA273)</f>
        <v>#NUM!</v>
      </c>
      <c r="AB445" s="43" t="e">
        <f>GEOMEAN(AB250:AB273)</f>
        <v>#DIV/0!</v>
      </c>
      <c r="AC445" s="43" t="e">
        <f>GEOMEAN(AC250:AC273)</f>
        <v>#DIV/0!</v>
      </c>
      <c r="AD445" s="256" t="str">
        <f>C445</f>
        <v>Class A5_270p</v>
      </c>
      <c r="AE445" s="68" t="s">
        <v>123</v>
      </c>
      <c r="AF445" s="257" t="s">
        <v>126</v>
      </c>
      <c r="AG445" s="58">
        <f>AVERAGE(AG250,AG256,AG262,AG268)</f>
        <v>-7.1815870151998418E-2</v>
      </c>
      <c r="AH445" s="26">
        <f>AVERAGE(AH250:AH273)</f>
        <v>-8.6339227634398219E-2</v>
      </c>
      <c r="AI445" s="26">
        <f>AVERAGE(AI250:AI273)</f>
        <v>-1.2986024324839557E-2</v>
      </c>
      <c r="AJ445" s="26">
        <f>AVERAGE(AJ250:AJ273)</f>
        <v>-1.7768573258077347E-3</v>
      </c>
      <c r="AK445" s="58">
        <f>AVERAGE(AK250,AK256,AK262,AK268)</f>
        <v>-6.9382826900448752E-2</v>
      </c>
      <c r="AL445" s="26">
        <f>AVERAGE(AL250:AL273)</f>
        <v>-7.8538592087913445E-2</v>
      </c>
      <c r="AM445" s="58">
        <f>AVERAGE(AM250,AM256,AM262,AM268)</f>
        <v>-6.531891641191867E-2</v>
      </c>
      <c r="AN445" s="26">
        <f>AVERAGE(AN250:AN273)</f>
        <v>-7.344655822599791E-2</v>
      </c>
      <c r="AO445" s="58">
        <f>AVERAGE(AO250,AO256,AO262,AO268)</f>
        <v>-7.3011969973977964E-2</v>
      </c>
      <c r="AP445" s="27">
        <f>AVERAGE(AP250:AP273)</f>
        <v>-8.9422254797565354E-2</v>
      </c>
    </row>
    <row r="446" spans="3:42" ht="17.100000000000001" customHeight="1" x14ac:dyDescent="0.25">
      <c r="N446" s="6" t="s">
        <v>133</v>
      </c>
      <c r="O446" s="43">
        <f>SUM(O250:O273)</f>
        <v>0</v>
      </c>
      <c r="P446" s="43">
        <f>SUM(P250:P273)</f>
        <v>0</v>
      </c>
      <c r="Z446" s="43">
        <f>SUM(Z250:Z273)</f>
        <v>0</v>
      </c>
      <c r="AA446" s="43">
        <f>SUM(AA250:AA273)</f>
        <v>0</v>
      </c>
      <c r="AB446" s="43" t="e">
        <f>SUM(AB250:AB273)</f>
        <v>#DIV/0!</v>
      </c>
      <c r="AC446" s="43" t="e">
        <f>SUM(AC250:AC273)</f>
        <v>#DIV/0!</v>
      </c>
      <c r="AD446" s="256"/>
      <c r="AE446" s="69" t="s">
        <v>124</v>
      </c>
      <c r="AF446" s="258"/>
      <c r="AG446" s="59">
        <f>MIN(AG250,AG256,AG262,AG268)</f>
        <v>-8.5922607899292736E-2</v>
      </c>
      <c r="AH446" s="25">
        <f>MIN(AH250:AH273)</f>
        <v>-9.8886221867892643E-2</v>
      </c>
      <c r="AI446" s="25">
        <f>MIN(AI250:AI273)</f>
        <v>-3.08547948107597E-2</v>
      </c>
      <c r="AJ446" s="25">
        <f>MIN(AJ250:AJ273)</f>
        <v>-4.8009358524211176E-2</v>
      </c>
      <c r="AK446" s="59">
        <f>MIN(AK250,AK256,AK262,AK268)</f>
        <v>-8.6890412976565634E-2</v>
      </c>
      <c r="AL446" s="25">
        <f>MIN(AL250:AL273)</f>
        <v>-0.10573882734717366</v>
      </c>
      <c r="AM446" s="59">
        <f>MIN(AM250,AM256,AM262,AM268)</f>
        <v>-8.3273170562645604E-2</v>
      </c>
      <c r="AN446" s="25">
        <f>MIN(AN250:AN273)</f>
        <v>-9.7997435608529471E-2</v>
      </c>
      <c r="AO446" s="59">
        <f>MIN(AO250,AO256,AO262,AO268)</f>
        <v>-0.11848582839877253</v>
      </c>
      <c r="AP446" s="29">
        <f>MIN(AP250:AP273)</f>
        <v>-0.13327795673345999</v>
      </c>
    </row>
    <row r="447" spans="3:42" ht="17.100000000000001" customHeight="1" thickBot="1" x14ac:dyDescent="0.3">
      <c r="N447" s="6" t="s">
        <v>125</v>
      </c>
      <c r="O447" s="43">
        <f>MAX(O250:O273)</f>
        <v>0</v>
      </c>
      <c r="P447" s="43">
        <f>MAX(P250:P273)</f>
        <v>0</v>
      </c>
      <c r="Z447" s="43">
        <f>MAX(Z250:Z273)</f>
        <v>0</v>
      </c>
      <c r="AA447" s="43">
        <f>MAX(AA250:AA273)</f>
        <v>0</v>
      </c>
      <c r="AB447" s="43" t="e">
        <f>MAX(AB250:AB273)</f>
        <v>#DIV/0!</v>
      </c>
      <c r="AC447" s="43" t="e">
        <f>MAX(AC250:AC273)</f>
        <v>#DIV/0!</v>
      </c>
      <c r="AD447" s="256"/>
      <c r="AE447" s="69" t="s">
        <v>125</v>
      </c>
      <c r="AF447" s="259"/>
      <c r="AG447" s="60">
        <f>MAX(AG250,AG256,AG262,AG268)</f>
        <v>-5.0057608315304147E-2</v>
      </c>
      <c r="AH447" s="28">
        <f>MAX(AH250:AH273)</f>
        <v>-6.610831167013731E-2</v>
      </c>
      <c r="AI447" s="28">
        <f>MAX(AI250:AI273)</f>
        <v>4.1690321712228862E-3</v>
      </c>
      <c r="AJ447" s="28">
        <f>MAX(AJ250:AJ273)</f>
        <v>7.8086385477103892E-2</v>
      </c>
      <c r="AK447" s="60">
        <f>MAX(AK250,AK256,AK262,AK268)</f>
        <v>-4.3235679095155688E-2</v>
      </c>
      <c r="AL447" s="28">
        <f>MAX(AL250:AL273)</f>
        <v>-4.6884411825971917E-2</v>
      </c>
      <c r="AM447" s="60">
        <f>MAX(AM250,AM256,AM262,AM268)</f>
        <v>-4.2850437018783216E-2</v>
      </c>
      <c r="AN447" s="28">
        <f>MAX(AN250:AN273)</f>
        <v>-4.5113968811542504E-2</v>
      </c>
      <c r="AO447" s="60">
        <f>MAX(AO250,AO256,AO262,AO268)</f>
        <v>-2.4543782772069589E-2</v>
      </c>
      <c r="AP447" s="30">
        <f>MAX(AP250:AP273)</f>
        <v>-4.4208777976435742E-2</v>
      </c>
    </row>
    <row r="448" spans="3:42" ht="17.100000000000001" customHeight="1" x14ac:dyDescent="0.25">
      <c r="N448" s="6" t="s">
        <v>124</v>
      </c>
      <c r="O448" s="43">
        <f>MIN(O250:O273)</f>
        <v>0</v>
      </c>
      <c r="P448" s="43">
        <f>MIN(P250:P273)</f>
        <v>0</v>
      </c>
      <c r="Z448" s="43">
        <f>MIN(Z250:Z273)</f>
        <v>0</v>
      </c>
      <c r="AA448" s="43">
        <f>MIN(AA250:AA273)</f>
        <v>0</v>
      </c>
      <c r="AB448" s="43" t="e">
        <f>MIN(AB250:AB273)</f>
        <v>#DIV/0!</v>
      </c>
      <c r="AC448" s="43" t="e">
        <f>MIN(AC250:AC273)</f>
        <v>#DIV/0!</v>
      </c>
      <c r="AD448" s="256"/>
      <c r="AE448" s="69" t="s">
        <v>123</v>
      </c>
      <c r="AF448" s="263" t="s">
        <v>127</v>
      </c>
      <c r="AG448" s="58">
        <f>AVERAGE(AG252,AG258,AG264,AG270)</f>
        <v>-8.6011892772030168E-2</v>
      </c>
      <c r="AH448" s="272"/>
      <c r="AI448" s="273"/>
      <c r="AJ448" s="274"/>
      <c r="AK448" s="58">
        <f>AVERAGE(AK252,AK258,AK264,AK270)</f>
        <v>-7.879838354656038E-2</v>
      </c>
      <c r="AL448" s="281"/>
      <c r="AM448" s="58">
        <f>AVERAGE(AM252,AM258,AM264,AM270)</f>
        <v>-7.3793297645704525E-2</v>
      </c>
      <c r="AN448" s="281"/>
      <c r="AO448" s="58">
        <f>AVERAGE(AO252,AO258,AO264,AO270)</f>
        <v>-7.7164669882750059E-2</v>
      </c>
      <c r="AP448" s="281"/>
    </row>
    <row r="449" spans="3:42" ht="17.100000000000001" customHeight="1" x14ac:dyDescent="0.25">
      <c r="N449" s="6" t="s">
        <v>134</v>
      </c>
      <c r="O449" s="43"/>
      <c r="P449" s="43"/>
      <c r="Z449" s="112" t="e">
        <f>Z445/O445</f>
        <v>#NUM!</v>
      </c>
      <c r="AA449" s="112" t="e">
        <f>AA445/P445</f>
        <v>#NUM!</v>
      </c>
      <c r="AB449" s="43"/>
      <c r="AC449" s="43"/>
      <c r="AD449" s="256"/>
      <c r="AE449" s="69" t="s">
        <v>124</v>
      </c>
      <c r="AF449" s="264"/>
      <c r="AG449" s="59">
        <f>MIN(AG252,AG258,AG264,AG270)</f>
        <v>-0.10124215374856005</v>
      </c>
      <c r="AH449" s="275"/>
      <c r="AI449" s="276"/>
      <c r="AJ449" s="277"/>
      <c r="AK449" s="59">
        <f>MIN(AK252,AK258,AK264,AK270)</f>
        <v>-9.8889241505802028E-2</v>
      </c>
      <c r="AL449" s="282"/>
      <c r="AM449" s="59">
        <f>MIN(AM252,AM258,AM264,AM270)</f>
        <v>-9.3016279279496294E-2</v>
      </c>
      <c r="AN449" s="282"/>
      <c r="AO449" s="59">
        <f>MIN(AO252,AO258,AO264,AO270)</f>
        <v>-0.12804574190120499</v>
      </c>
      <c r="AP449" s="282"/>
    </row>
    <row r="450" spans="3:42" ht="17.100000000000001" customHeight="1" thickBot="1" x14ac:dyDescent="0.3">
      <c r="O450" s="43"/>
      <c r="P450" s="43"/>
      <c r="Z450" s="43"/>
      <c r="AA450" s="43"/>
      <c r="AB450" s="43"/>
      <c r="AC450" s="43"/>
      <c r="AD450" s="256"/>
      <c r="AE450" s="69" t="s">
        <v>125</v>
      </c>
      <c r="AF450" s="265"/>
      <c r="AG450" s="60">
        <f>MAX(AG252,AG258,AG264,AG270)</f>
        <v>-6.3900522581783248E-2</v>
      </c>
      <c r="AH450" s="275"/>
      <c r="AI450" s="276"/>
      <c r="AJ450" s="277"/>
      <c r="AK450" s="60">
        <f>MAX(AK252,AK258,AK264,AK270)</f>
        <v>-4.991350216970003E-2</v>
      </c>
      <c r="AL450" s="282"/>
      <c r="AM450" s="60">
        <f>MAX(AM252,AM258,AM264,AM270)</f>
        <v>-5.0048607816908897E-2</v>
      </c>
      <c r="AN450" s="282"/>
      <c r="AO450" s="60">
        <f>MAX(AO252,AO258,AO264,AO270)</f>
        <v>-2.8224904201910594E-2</v>
      </c>
      <c r="AP450" s="282"/>
    </row>
    <row r="451" spans="3:42" ht="17.100000000000001" customHeight="1" x14ac:dyDescent="0.25">
      <c r="O451" s="43"/>
      <c r="P451" s="43"/>
      <c r="Z451" s="43"/>
      <c r="AA451" s="43"/>
      <c r="AB451" s="43"/>
      <c r="AC451" s="43"/>
      <c r="AD451" s="256"/>
      <c r="AE451" s="64" t="s">
        <v>123</v>
      </c>
      <c r="AF451" s="266" t="s">
        <v>128</v>
      </c>
      <c r="AG451" s="63">
        <f>AVERAGE(AG254,AG260,AG266,AG272)</f>
        <v>-0.10212186336272289</v>
      </c>
      <c r="AH451" s="275"/>
      <c r="AI451" s="276"/>
      <c r="AJ451" s="277"/>
      <c r="AK451" s="63">
        <f>AVERAGE(AK254,AK260,AK266,AK272)</f>
        <v>-8.9977296666656853E-2</v>
      </c>
      <c r="AL451" s="282"/>
      <c r="AM451" s="63">
        <f>AVERAGE(AM254,AM260,AM266,AM272)</f>
        <v>-8.1761207855099216E-2</v>
      </c>
      <c r="AN451" s="282"/>
      <c r="AO451" s="63">
        <f>AVERAGE(AO254,AO260,AO266,AO272)</f>
        <v>-9.2689218884768276E-2</v>
      </c>
      <c r="AP451" s="282"/>
    </row>
    <row r="452" spans="3:42" ht="17.100000000000001" customHeight="1" x14ac:dyDescent="0.25">
      <c r="O452" s="43"/>
      <c r="P452" s="43"/>
      <c r="Z452" s="43"/>
      <c r="AA452" s="43"/>
      <c r="AB452" s="43"/>
      <c r="AC452" s="43"/>
      <c r="AD452" s="256"/>
      <c r="AE452" s="64" t="s">
        <v>124</v>
      </c>
      <c r="AF452" s="267"/>
      <c r="AG452" s="59">
        <f>MIN(AG254,AG260,AG266,AG272)</f>
        <v>-0.1140688260783006</v>
      </c>
      <c r="AH452" s="275"/>
      <c r="AI452" s="276"/>
      <c r="AJ452" s="277"/>
      <c r="AK452" s="59">
        <f>MIN(AK254,AK260,AK266,AK272)</f>
        <v>-0.12179972611569567</v>
      </c>
      <c r="AL452" s="282"/>
      <c r="AM452" s="59">
        <f>MIN(AM254,AM260,AM266,AM272)</f>
        <v>-0.10840896129010902</v>
      </c>
      <c r="AN452" s="282"/>
      <c r="AO452" s="59">
        <f>MIN(AO254,AO260,AO266,AO272)</f>
        <v>-0.13734951688561081</v>
      </c>
      <c r="AP452" s="282"/>
    </row>
    <row r="453" spans="3:42" ht="17.100000000000001" customHeight="1" thickBot="1" x14ac:dyDescent="0.3">
      <c r="O453" s="43"/>
      <c r="P453" s="43"/>
      <c r="Z453" s="43"/>
      <c r="AA453" s="43"/>
      <c r="AB453" s="43"/>
      <c r="AC453" s="43"/>
      <c r="AD453" s="256"/>
      <c r="AE453" s="65" t="s">
        <v>125</v>
      </c>
      <c r="AF453" s="268"/>
      <c r="AG453" s="60">
        <f>MAX(AG254,AG260,AG266,AG272)</f>
        <v>-8.4595170708073986E-2</v>
      </c>
      <c r="AH453" s="278"/>
      <c r="AI453" s="279"/>
      <c r="AJ453" s="280"/>
      <c r="AK453" s="60">
        <f>MAX(AK254,AK260,AK266,AK272)</f>
        <v>-5.5258535833950129E-2</v>
      </c>
      <c r="AL453" s="283"/>
      <c r="AM453" s="60">
        <f>MAX(AM254,AM260,AM266,AM272)</f>
        <v>-5.023860287051507E-2</v>
      </c>
      <c r="AN453" s="283"/>
      <c r="AO453" s="60">
        <f>MAX(AO254,AO260,AO266,AO272)</f>
        <v>-4.4271397436177917E-2</v>
      </c>
      <c r="AP453" s="283"/>
    </row>
    <row r="454" spans="3:42" ht="17.100000000000001" customHeight="1" x14ac:dyDescent="0.25">
      <c r="C454" s="4" t="s">
        <v>103</v>
      </c>
      <c r="N454" s="6" t="s">
        <v>132</v>
      </c>
      <c r="O454" s="43" t="e">
        <f>GEOMEAN(O274:O339)</f>
        <v>#NUM!</v>
      </c>
      <c r="P454" s="43" t="e">
        <f>GEOMEAN(P274:P339)</f>
        <v>#NUM!</v>
      </c>
      <c r="Z454" s="43" t="e">
        <f>GEOMEAN(Z274:Z339)</f>
        <v>#NUM!</v>
      </c>
      <c r="AA454" s="43" t="e">
        <f>GEOMEAN(AA274:AA339)</f>
        <v>#NUM!</v>
      </c>
      <c r="AB454" s="43" t="e">
        <f>GEOMEAN(AB274:AB339)</f>
        <v>#DIV/0!</v>
      </c>
      <c r="AC454" s="43" t="e">
        <f>GEOMEAN(AC274:AC339)</f>
        <v>#DIV/0!</v>
      </c>
      <c r="AD454" s="256" t="str">
        <f>C454</f>
        <v>Class B1_SYN</v>
      </c>
      <c r="AE454" s="68" t="s">
        <v>123</v>
      </c>
      <c r="AF454" s="257" t="s">
        <v>126</v>
      </c>
      <c r="AG454" s="58" t="e">
        <f>AVERAGE(AG274,AG280,AG286,AG292,AG298,AG304,AG310,AG316,AG322,AG328,AG334)</f>
        <v>#VALUE!</v>
      </c>
      <c r="AH454" s="26" t="e">
        <f>AVERAGE(AH274:AH339)</f>
        <v>#VALUE!</v>
      </c>
      <c r="AI454" s="26" t="e">
        <f>AVERAGE(AI274:AI339)</f>
        <v>#VALUE!</v>
      </c>
      <c r="AJ454" s="26" t="e">
        <f>AVERAGE(AJ274:AJ339)</f>
        <v>#VALUE!</v>
      </c>
      <c r="AK454" s="58" t="e">
        <f>AVERAGE(AK274,AK280,AK286,AK292,AK298,AK304,AK310,AK316,AK322,AK328,AK334)</f>
        <v>#VALUE!</v>
      </c>
      <c r="AL454" s="26" t="e">
        <f>AVERAGE(AL274:AL339)</f>
        <v>#VALUE!</v>
      </c>
      <c r="AM454" s="58" t="e">
        <f>AVERAGE(AM274,AM280,AM286,AM292,AM298,AM304,AM310,AM316,AM322,AM328,AM334)</f>
        <v>#VALUE!</v>
      </c>
      <c r="AN454" s="26" t="e">
        <f>AVERAGE(AN274:AN339)</f>
        <v>#VALUE!</v>
      </c>
      <c r="AO454" s="58" t="e">
        <f>AVERAGE(AO274,AO280,AO286,AO292,AO298,AO304,AO310,AO316,AO322,AO328,AO334)</f>
        <v>#VALUE!</v>
      </c>
      <c r="AP454" s="27" t="e">
        <f>AVERAGE(AP274:AP339)</f>
        <v>#VALUE!</v>
      </c>
    </row>
    <row r="455" spans="3:42" ht="17.100000000000001" customHeight="1" x14ac:dyDescent="0.25">
      <c r="N455" s="6" t="s">
        <v>133</v>
      </c>
      <c r="O455" s="43">
        <f>SUM(O274:O339)</f>
        <v>0</v>
      </c>
      <c r="P455" s="43">
        <f>SUM(P274:P339)</f>
        <v>0</v>
      </c>
      <c r="Z455" s="43">
        <f>SUM(Z274:Z339)</f>
        <v>0</v>
      </c>
      <c r="AA455" s="43">
        <f>SUM(AA274:AA339)</f>
        <v>0</v>
      </c>
      <c r="AB455" s="43" t="e">
        <f>SUM(AB274:AB339)</f>
        <v>#DIV/0!</v>
      </c>
      <c r="AC455" s="43" t="e">
        <f>SUM(AC274:AC339)</f>
        <v>#DIV/0!</v>
      </c>
      <c r="AD455" s="256"/>
      <c r="AE455" s="69" t="s">
        <v>124</v>
      </c>
      <c r="AF455" s="258"/>
      <c r="AG455" s="59" t="e">
        <f>MIN(AG274,AG280,AG286,AG292,AG298,AG304,AG310,AG316,AG322,AG328,AG334)</f>
        <v>#VALUE!</v>
      </c>
      <c r="AH455" s="25" t="e">
        <f>MIN(AH274:AH339)</f>
        <v>#VALUE!</v>
      </c>
      <c r="AI455" s="25" t="e">
        <f>MIN(AI274:AI339)</f>
        <v>#VALUE!</v>
      </c>
      <c r="AJ455" s="25" t="e">
        <f>MIN(AJ274:AJ339)</f>
        <v>#VALUE!</v>
      </c>
      <c r="AK455" s="59" t="e">
        <f>MIN(AK274,AK280,AK286,AK292,AK298,AK304,AK310,AK316,AK322,AK328,AK334)</f>
        <v>#VALUE!</v>
      </c>
      <c r="AL455" s="25" t="e">
        <f>MIN(AL274:AL339)</f>
        <v>#VALUE!</v>
      </c>
      <c r="AM455" s="59" t="e">
        <f>MIN(AM274,AM280,AM286,AM292,AM298,AM304,AM310,AM316,AM322,AM328,AM334)</f>
        <v>#VALUE!</v>
      </c>
      <c r="AN455" s="25" t="e">
        <f>MIN(AN274:AN339)</f>
        <v>#VALUE!</v>
      </c>
      <c r="AO455" s="59" t="e">
        <f>MIN(AO274,AO280,AO286,AO292,AO298,AO304,AO310,AO316,AO322,AO328,AO334)</f>
        <v>#VALUE!</v>
      </c>
      <c r="AP455" s="29" t="e">
        <f>MIN(AP274:AP339)</f>
        <v>#VALUE!</v>
      </c>
    </row>
    <row r="456" spans="3:42" ht="17.100000000000001" customHeight="1" thickBot="1" x14ac:dyDescent="0.3">
      <c r="N456" s="6" t="s">
        <v>125</v>
      </c>
      <c r="O456" s="43">
        <f>MAX(O274:O339)</f>
        <v>0</v>
      </c>
      <c r="P456" s="43">
        <f>MAX(P274:P339)</f>
        <v>0</v>
      </c>
      <c r="Z456" s="43">
        <f>MAX(Z274:Z339)</f>
        <v>0</v>
      </c>
      <c r="AA456" s="43">
        <f>MAX(AA274:AA339)</f>
        <v>0</v>
      </c>
      <c r="AB456" s="43" t="e">
        <f>MAX(AB274:AB339)</f>
        <v>#DIV/0!</v>
      </c>
      <c r="AC456" s="43" t="e">
        <f>MAX(AC274:AC339)</f>
        <v>#DIV/0!</v>
      </c>
      <c r="AD456" s="256"/>
      <c r="AE456" s="69" t="s">
        <v>125</v>
      </c>
      <c r="AF456" s="259"/>
      <c r="AG456" s="60" t="e">
        <f>MAX(AG274,AG280,AG286,AG292,AG298,AG304,AG310,AG316,AG322,AG328,AG334)</f>
        <v>#VALUE!</v>
      </c>
      <c r="AH456" s="28" t="e">
        <f>MAX(AH274:AH339)</f>
        <v>#VALUE!</v>
      </c>
      <c r="AI456" s="28" t="e">
        <f>MAX(AI274:AI339)</f>
        <v>#VALUE!</v>
      </c>
      <c r="AJ456" s="28" t="e">
        <f>MAX(AJ274:AJ339)</f>
        <v>#VALUE!</v>
      </c>
      <c r="AK456" s="60" t="e">
        <f>MAX(AK274,AK280,AK286,AK292,AK298,AK304,AK310,AK316,AK322,AK328,AK334)</f>
        <v>#VALUE!</v>
      </c>
      <c r="AL456" s="28" t="e">
        <f>MAX(AL274:AL339)</f>
        <v>#VALUE!</v>
      </c>
      <c r="AM456" s="60" t="e">
        <f>MAX(AM274,AM280,AM286,AM292,AM298,AM304,AM310,AM316,AM322,AM328,AM334)</f>
        <v>#VALUE!</v>
      </c>
      <c r="AN456" s="28" t="e">
        <f>MAX(AN274:AN339)</f>
        <v>#VALUE!</v>
      </c>
      <c r="AO456" s="60" t="e">
        <f>MAX(AO274,AO280,AO286,AO292,AO298,AO304,AO310,AO316,AO322,AO328,AO334)</f>
        <v>#VALUE!</v>
      </c>
      <c r="AP456" s="30" t="e">
        <f>MAX(AP274:AP339)</f>
        <v>#VALUE!</v>
      </c>
    </row>
    <row r="457" spans="3:42" ht="17.100000000000001" customHeight="1" x14ac:dyDescent="0.25">
      <c r="N457" s="6" t="s">
        <v>124</v>
      </c>
      <c r="O457" s="43">
        <f>MIN(O274:O339)</f>
        <v>0</v>
      </c>
      <c r="P457" s="43">
        <f>MIN(P274:P339)</f>
        <v>0</v>
      </c>
      <c r="Z457" s="43">
        <f>MIN(Z274:Z339)</f>
        <v>0</v>
      </c>
      <c r="AA457" s="43">
        <f>MIN(AA274:AA339)</f>
        <v>0</v>
      </c>
      <c r="AB457" s="43" t="e">
        <f>MIN(AB274:AB339)</f>
        <v>#DIV/0!</v>
      </c>
      <c r="AC457" s="43" t="e">
        <f>MIN(AC274:AC339)</f>
        <v>#DIV/0!</v>
      </c>
      <c r="AD457" s="256"/>
      <c r="AE457" s="69" t="s">
        <v>123</v>
      </c>
      <c r="AF457" s="263" t="s">
        <v>127</v>
      </c>
      <c r="AG457" s="58" t="e">
        <f>AVERAGE(AG276,AG282,AG288,AG294,AG300,AG306,AG312,AG318,AG324,AG330,AG336)</f>
        <v>#VALUE!</v>
      </c>
      <c r="AH457" s="272"/>
      <c r="AI457" s="273"/>
      <c r="AJ457" s="274"/>
      <c r="AK457" s="58" t="e">
        <f>AVERAGE(AK276,AK282,AK288,AK294,AK300,AK306,AK312,AK318,AK324,AK330,AK336)</f>
        <v>#VALUE!</v>
      </c>
      <c r="AL457" s="281"/>
      <c r="AM457" s="58" t="e">
        <f>AVERAGE(AM276,AM282,AM288,AM294,AM300,AM306,AM312,AM318,AM324,AM330,AM336)</f>
        <v>#VALUE!</v>
      </c>
      <c r="AN457" s="281"/>
      <c r="AO457" s="58" t="e">
        <f>AVERAGE(AO276,AO282,AO288,AO294,AO300,AO306,AO312,AO318,AO324,AO330,AO336)</f>
        <v>#VALUE!</v>
      </c>
      <c r="AP457" s="281"/>
    </row>
    <row r="458" spans="3:42" ht="17.100000000000001" customHeight="1" x14ac:dyDescent="0.25">
      <c r="N458" s="6" t="s">
        <v>134</v>
      </c>
      <c r="O458" s="43"/>
      <c r="P458" s="43"/>
      <c r="Z458" s="112" t="e">
        <f>Z454/O454</f>
        <v>#NUM!</v>
      </c>
      <c r="AA458" s="112" t="e">
        <f>AA454/P454</f>
        <v>#NUM!</v>
      </c>
      <c r="AB458" s="43"/>
      <c r="AC458" s="43"/>
      <c r="AD458" s="256"/>
      <c r="AE458" s="69" t="s">
        <v>124</v>
      </c>
      <c r="AF458" s="264"/>
      <c r="AG458" s="59" t="e">
        <f>MIN(AG276,AG282,AG288,AG294,AG300,AG306,AG312,AG318,AG324,AG330,AG336)</f>
        <v>#VALUE!</v>
      </c>
      <c r="AH458" s="275"/>
      <c r="AI458" s="276"/>
      <c r="AJ458" s="277"/>
      <c r="AK458" s="59" t="e">
        <f>MIN(AK276,AK282,AK288,AK294,AK300,AK306,AK312,AK318,AK324,AK330,AK336)</f>
        <v>#VALUE!</v>
      </c>
      <c r="AL458" s="282"/>
      <c r="AM458" s="59" t="e">
        <f>MIN(AM276,AM282,AM288,AM294,AM300,AM306,AM312,AM318,AM324,AM330,AM336)</f>
        <v>#VALUE!</v>
      </c>
      <c r="AN458" s="282"/>
      <c r="AO458" s="59" t="e">
        <f>MIN(AO276,AO282,AO288,AO294,AO300,AO306,AO312,AO318,AO324,AO330,AO336)</f>
        <v>#VALUE!</v>
      </c>
      <c r="AP458" s="282"/>
    </row>
    <row r="459" spans="3:42" ht="17.100000000000001" customHeight="1" thickBot="1" x14ac:dyDescent="0.3">
      <c r="O459" s="43"/>
      <c r="P459" s="43"/>
      <c r="Z459" s="43"/>
      <c r="AA459" s="43"/>
      <c r="AB459" s="43"/>
      <c r="AC459" s="43"/>
      <c r="AD459" s="256"/>
      <c r="AE459" s="69" t="s">
        <v>125</v>
      </c>
      <c r="AF459" s="265"/>
      <c r="AG459" s="60" t="e">
        <f>MAX(AG276,AG282,AG288,AG294,AG300,AG306,AG312,AG318,AG324,AG330,AG336)</f>
        <v>#VALUE!</v>
      </c>
      <c r="AH459" s="275"/>
      <c r="AI459" s="276"/>
      <c r="AJ459" s="277"/>
      <c r="AK459" s="60" t="e">
        <f>MAX(AK276,AK282,AK288,AK294,AK300,AK306,AK312,AK318,AK324,AK330,AK336)</f>
        <v>#VALUE!</v>
      </c>
      <c r="AL459" s="282"/>
      <c r="AM459" s="60" t="e">
        <f>MAX(AM276,AM282,AM288,AM294,AM300,AM306,AM312,AM318,AM324,AM330,AM336)</f>
        <v>#VALUE!</v>
      </c>
      <c r="AN459" s="282"/>
      <c r="AO459" s="60" t="e">
        <f>MAX(AO276,AO282,AO288,AO294,AO300,AO306,AO312,AO318,AO324,AO330,AO336)</f>
        <v>#VALUE!</v>
      </c>
      <c r="AP459" s="282"/>
    </row>
    <row r="460" spans="3:42" ht="17.100000000000001" customHeight="1" x14ac:dyDescent="0.25">
      <c r="O460" s="43"/>
      <c r="P460" s="43"/>
      <c r="Z460" s="43"/>
      <c r="AA460" s="43"/>
      <c r="AB460" s="43"/>
      <c r="AC460" s="43"/>
      <c r="AD460" s="256"/>
      <c r="AE460" s="64" t="s">
        <v>123</v>
      </c>
      <c r="AF460" s="266" t="s">
        <v>128</v>
      </c>
      <c r="AG460" s="63" t="e">
        <f>AVERAGE(AG278,AG284,AG290,AG296,AG302,AG308,AG314,AG320,AG326,AG332,AG338)</f>
        <v>#VALUE!</v>
      </c>
      <c r="AH460" s="275"/>
      <c r="AI460" s="276"/>
      <c r="AJ460" s="277"/>
      <c r="AK460" s="63" t="e">
        <f>AVERAGE(AK278,AK284,AK290,AK296,AK302,AK308,AK314,AK320,AK326,AK332,AK338)</f>
        <v>#VALUE!</v>
      </c>
      <c r="AL460" s="282"/>
      <c r="AM460" s="63" t="e">
        <f>AVERAGE(AM278,AM284,AM290,AM296,AM302,AM308,AM314,AM320,AM326,AM332,AM338)</f>
        <v>#VALUE!</v>
      </c>
      <c r="AN460" s="282"/>
      <c r="AO460" s="63" t="e">
        <f>AVERAGE(AO278,AO284,AO290,AO296,AO302,AO308,AO314,AO320,AO326,AO332,AO338)</f>
        <v>#VALUE!</v>
      </c>
      <c r="AP460" s="282"/>
    </row>
    <row r="461" spans="3:42" ht="17.100000000000001" customHeight="1" x14ac:dyDescent="0.25">
      <c r="O461" s="43"/>
      <c r="P461" s="43"/>
      <c r="Z461" s="43"/>
      <c r="AA461" s="43"/>
      <c r="AB461" s="43"/>
      <c r="AC461" s="43"/>
      <c r="AD461" s="256"/>
      <c r="AE461" s="64" t="s">
        <v>124</v>
      </c>
      <c r="AF461" s="267"/>
      <c r="AG461" s="59" t="e">
        <f>MIN(AG278,AG284,AG290,AG296,AG302,AG308,AG314,AG320,AG326,AG332,AG338)</f>
        <v>#VALUE!</v>
      </c>
      <c r="AH461" s="275"/>
      <c r="AI461" s="276"/>
      <c r="AJ461" s="277"/>
      <c r="AK461" s="59" t="e">
        <f>MIN(AK278,AK284,AK290,AK296,AK302,AK308,AK314,AK320,AK326,AK332,AK338)</f>
        <v>#VALUE!</v>
      </c>
      <c r="AL461" s="282"/>
      <c r="AM461" s="59" t="e">
        <f>MIN(AM278,AM284,AM290,AM296,AM302,AM308,AM314,AM320,AM326,AM332,AM338)</f>
        <v>#VALUE!</v>
      </c>
      <c r="AN461" s="282"/>
      <c r="AO461" s="59" t="e">
        <f>MIN(AO278,AO284,AO290,AO296,AO302,AO308,AO314,AO320,AO326,AO332,AO338)</f>
        <v>#VALUE!</v>
      </c>
      <c r="AP461" s="282"/>
    </row>
    <row r="462" spans="3:42" ht="17.100000000000001" customHeight="1" thickBot="1" x14ac:dyDescent="0.3">
      <c r="O462" s="43"/>
      <c r="P462" s="43"/>
      <c r="Z462" s="43"/>
      <c r="AA462" s="43"/>
      <c r="AB462" s="43"/>
      <c r="AC462" s="43"/>
      <c r="AD462" s="256"/>
      <c r="AE462" s="65" t="s">
        <v>125</v>
      </c>
      <c r="AF462" s="268"/>
      <c r="AG462" s="60" t="e">
        <f>MAX(AG278,AG284,AG290,AG296,AG302,AG308,AG314,AG320,AG326,AG332,AG338)</f>
        <v>#VALUE!</v>
      </c>
      <c r="AH462" s="278"/>
      <c r="AI462" s="279"/>
      <c r="AJ462" s="280"/>
      <c r="AK462" s="60" t="e">
        <f>MAX(AK278,AK284,AK290,AK296,AK302,AK308,AK314,AK320,AK326,AK332,AK338)</f>
        <v>#VALUE!</v>
      </c>
      <c r="AL462" s="283"/>
      <c r="AM462" s="60" t="e">
        <f>MAX(AM278,AM284,AM290,AM296,AM302,AM308,AM314,AM320,AM326,AM332,AM338)</f>
        <v>#VALUE!</v>
      </c>
      <c r="AN462" s="283"/>
      <c r="AO462" s="60" t="e">
        <f>MAX(AO278,AO284,AO290,AO296,AO302,AO308,AO314,AO320,AO326,AO332,AO338)</f>
        <v>#VALUE!</v>
      </c>
      <c r="AP462" s="283"/>
    </row>
    <row r="463" spans="3:42" ht="17.100000000000001" customHeight="1" x14ac:dyDescent="0.25">
      <c r="C463" s="4" t="s">
        <v>104</v>
      </c>
      <c r="N463" s="6" t="s">
        <v>132</v>
      </c>
      <c r="O463" s="43" t="e">
        <f>GEOMEAN(O340:O363)</f>
        <v>#NUM!</v>
      </c>
      <c r="P463" s="43" t="e">
        <f>GEOMEAN(P340:P363)</f>
        <v>#NUM!</v>
      </c>
      <c r="Z463" s="43" t="e">
        <f>GEOMEAN(Z340:Z363)</f>
        <v>#NUM!</v>
      </c>
      <c r="AA463" s="43" t="e">
        <f>GEOMEAN(AA340:AA363)</f>
        <v>#NUM!</v>
      </c>
      <c r="AB463" s="43" t="e">
        <f>GEOMEAN(AB340:AB363)</f>
        <v>#DIV/0!</v>
      </c>
      <c r="AC463" s="43" t="e">
        <f>GEOMEAN(AC340:AC363)</f>
        <v>#DIV/0!</v>
      </c>
      <c r="AD463" s="256" t="str">
        <f>C463</f>
        <v>Class HDR1_4K</v>
      </c>
      <c r="AE463" s="68" t="s">
        <v>123</v>
      </c>
      <c r="AF463" s="257" t="s">
        <v>126</v>
      </c>
      <c r="AG463" s="58" t="e">
        <f>AVERAGE(AG340,AG346,AG352,AG358)</f>
        <v>#VALUE!</v>
      </c>
      <c r="AH463" s="26" t="e">
        <f>AVERAGE(AH340:AH363)</f>
        <v>#VALUE!</v>
      </c>
      <c r="AI463" s="26" t="e">
        <f>AVERAGE(AI340:AI363)</f>
        <v>#VALUE!</v>
      </c>
      <c r="AJ463" s="26" t="e">
        <f>AVERAGE(AJ340:AJ363)</f>
        <v>#VALUE!</v>
      </c>
      <c r="AK463" s="58" t="e">
        <f>AVERAGE(AK340,AK346,AK352,AK358)</f>
        <v>#VALUE!</v>
      </c>
      <c r="AL463" s="26" t="e">
        <f>AVERAGE(AL340:AL363)</f>
        <v>#VALUE!</v>
      </c>
      <c r="AM463" s="58" t="e">
        <f>AVERAGE(AM340,AM346,AM352,AM358)</f>
        <v>#VALUE!</v>
      </c>
      <c r="AN463" s="26" t="e">
        <f>AVERAGE(AN340:AN363)</f>
        <v>#VALUE!</v>
      </c>
      <c r="AO463" s="58" t="e">
        <f>AVERAGE(AO340,AO346,AO352,AO358)</f>
        <v>#VALUE!</v>
      </c>
      <c r="AP463" s="27" t="e">
        <f>AVERAGE(AP340:AP363)</f>
        <v>#VALUE!</v>
      </c>
    </row>
    <row r="464" spans="3:42" ht="17.100000000000001" customHeight="1" x14ac:dyDescent="0.25">
      <c r="N464" s="6" t="s">
        <v>133</v>
      </c>
      <c r="O464" s="43">
        <f>SUM(O340:O363)</f>
        <v>0</v>
      </c>
      <c r="P464" s="43">
        <f>SUM(P340:P363)</f>
        <v>0</v>
      </c>
      <c r="Z464" s="43">
        <f>SUM(Z340:Z363)</f>
        <v>0</v>
      </c>
      <c r="AA464" s="43">
        <f>SUM(AA340:AA363)</f>
        <v>0</v>
      </c>
      <c r="AB464" s="43" t="e">
        <f>SUM(AB340:AB363)</f>
        <v>#DIV/0!</v>
      </c>
      <c r="AC464" s="43" t="e">
        <f>SUM(AC340:AC363)</f>
        <v>#DIV/0!</v>
      </c>
      <c r="AD464" s="256"/>
      <c r="AE464" s="69" t="s">
        <v>124</v>
      </c>
      <c r="AF464" s="258"/>
      <c r="AG464" s="59" t="e">
        <f>MIN(AG340,AG346,AG352,AG358)</f>
        <v>#VALUE!</v>
      </c>
      <c r="AH464" s="25" t="e">
        <f>MIN(AH340:AH363)</f>
        <v>#VALUE!</v>
      </c>
      <c r="AI464" s="25" t="e">
        <f>MIN(AI340:AI363)</f>
        <v>#VALUE!</v>
      </c>
      <c r="AJ464" s="25" t="e">
        <f>MIN(AJ340:AJ363)</f>
        <v>#VALUE!</v>
      </c>
      <c r="AK464" s="59" t="e">
        <f>MIN(AK340,AK346,AK352,AK358)</f>
        <v>#VALUE!</v>
      </c>
      <c r="AL464" s="25" t="e">
        <f>MIN(AL340:AL363)</f>
        <v>#VALUE!</v>
      </c>
      <c r="AM464" s="59" t="e">
        <f>MIN(AM340,AM346,AM352,AM358)</f>
        <v>#VALUE!</v>
      </c>
      <c r="AN464" s="25" t="e">
        <f>MIN(AN340:AN363)</f>
        <v>#VALUE!</v>
      </c>
      <c r="AO464" s="59" t="e">
        <f>MIN(AO340,AO346,AO352,AO358)</f>
        <v>#VALUE!</v>
      </c>
      <c r="AP464" s="29" t="e">
        <f>MIN(AP340:AP363)</f>
        <v>#VALUE!</v>
      </c>
    </row>
    <row r="465" spans="3:42" ht="17.100000000000001" customHeight="1" thickBot="1" x14ac:dyDescent="0.3">
      <c r="N465" s="6" t="s">
        <v>125</v>
      </c>
      <c r="O465" s="43">
        <f>MAX(O340:O363)</f>
        <v>0</v>
      </c>
      <c r="P465" s="43">
        <f>MAX(P340:P363)</f>
        <v>0</v>
      </c>
      <c r="Z465" s="43">
        <f>MAX(Z340:Z363)</f>
        <v>0</v>
      </c>
      <c r="AA465" s="43">
        <f>MAX(AA340:AA363)</f>
        <v>0</v>
      </c>
      <c r="AB465" s="43" t="e">
        <f>MAX(AB340:AB363)</f>
        <v>#DIV/0!</v>
      </c>
      <c r="AC465" s="43" t="e">
        <f>MAX(AC340:AC363)</f>
        <v>#DIV/0!</v>
      </c>
      <c r="AD465" s="256"/>
      <c r="AE465" s="69" t="s">
        <v>125</v>
      </c>
      <c r="AF465" s="259"/>
      <c r="AG465" s="60" t="e">
        <f>MAX(AG340,AG346,AG352,AG358)</f>
        <v>#VALUE!</v>
      </c>
      <c r="AH465" s="28" t="e">
        <f>MAX(AH340:AH363)</f>
        <v>#VALUE!</v>
      </c>
      <c r="AI465" s="28" t="e">
        <f>MAX(AI340:AI363)</f>
        <v>#VALUE!</v>
      </c>
      <c r="AJ465" s="28" t="e">
        <f>MAX(AJ340:AJ363)</f>
        <v>#VALUE!</v>
      </c>
      <c r="AK465" s="60" t="e">
        <f>MAX(AK340,AK346,AK352,AK358)</f>
        <v>#VALUE!</v>
      </c>
      <c r="AL465" s="28" t="e">
        <f>MAX(AL340:AL363)</f>
        <v>#VALUE!</v>
      </c>
      <c r="AM465" s="60" t="e">
        <f>MAX(AM340,AM346,AM352,AM358)</f>
        <v>#VALUE!</v>
      </c>
      <c r="AN465" s="28" t="e">
        <f>MAX(AN340:AN363)</f>
        <v>#VALUE!</v>
      </c>
      <c r="AO465" s="60" t="e">
        <f>MAX(AO340,AO346,AO352,AO358)</f>
        <v>#VALUE!</v>
      </c>
      <c r="AP465" s="30" t="e">
        <f>MAX(AP340:AP363)</f>
        <v>#VALUE!</v>
      </c>
    </row>
    <row r="466" spans="3:42" ht="17.100000000000001" customHeight="1" x14ac:dyDescent="0.25">
      <c r="N466" s="6" t="s">
        <v>124</v>
      </c>
      <c r="O466" s="43">
        <f>MIN(O340:O363)</f>
        <v>0</v>
      </c>
      <c r="P466" s="43">
        <f>MIN(P340:P363)</f>
        <v>0</v>
      </c>
      <c r="Z466" s="43">
        <f>MIN(Z340:Z363)</f>
        <v>0</v>
      </c>
      <c r="AA466" s="43">
        <f>MIN(AA340:AA363)</f>
        <v>0</v>
      </c>
      <c r="AB466" s="43" t="e">
        <f>MIN(AB340:AB363)</f>
        <v>#DIV/0!</v>
      </c>
      <c r="AC466" s="43" t="e">
        <f>MIN(AC340:AC363)</f>
        <v>#DIV/0!</v>
      </c>
      <c r="AD466" s="256"/>
      <c r="AE466" s="69" t="s">
        <v>123</v>
      </c>
      <c r="AF466" s="263" t="s">
        <v>127</v>
      </c>
      <c r="AG466" s="58" t="e">
        <f>AVERAGE(AG342,AG348,AG354,AG360)</f>
        <v>#VALUE!</v>
      </c>
      <c r="AH466" s="272"/>
      <c r="AI466" s="273"/>
      <c r="AJ466" s="274"/>
      <c r="AK466" s="58" t="e">
        <f>AVERAGE(AK342,AK348,AK354,AK360)</f>
        <v>#VALUE!</v>
      </c>
      <c r="AL466" s="281"/>
      <c r="AM466" s="58" t="e">
        <f>AVERAGE(AM342,AM348,AM354,AM360)</f>
        <v>#VALUE!</v>
      </c>
      <c r="AN466" s="281"/>
      <c r="AO466" s="58" t="e">
        <f>AVERAGE(AO342,AO348,AO354,AO360)</f>
        <v>#VALUE!</v>
      </c>
      <c r="AP466" s="281"/>
    </row>
    <row r="467" spans="3:42" ht="17.100000000000001" customHeight="1" x14ac:dyDescent="0.25">
      <c r="N467" s="6" t="s">
        <v>134</v>
      </c>
      <c r="O467" s="43"/>
      <c r="P467" s="43"/>
      <c r="Z467" s="112" t="e">
        <f>Z463/O463</f>
        <v>#NUM!</v>
      </c>
      <c r="AA467" s="112" t="e">
        <f>AA463/P463</f>
        <v>#NUM!</v>
      </c>
      <c r="AB467" s="43"/>
      <c r="AC467" s="43"/>
      <c r="AD467" s="256"/>
      <c r="AE467" s="69" t="s">
        <v>124</v>
      </c>
      <c r="AF467" s="264"/>
      <c r="AG467" s="59" t="e">
        <f>MIN(AG342,AG348,AG354,AG360)</f>
        <v>#VALUE!</v>
      </c>
      <c r="AH467" s="275"/>
      <c r="AI467" s="276"/>
      <c r="AJ467" s="277"/>
      <c r="AK467" s="59" t="e">
        <f>MIN(AK342,AK348,AK354,AK360)</f>
        <v>#VALUE!</v>
      </c>
      <c r="AL467" s="282"/>
      <c r="AM467" s="59" t="e">
        <f>MIN(AM342,AM348,AM354,AM360)</f>
        <v>#VALUE!</v>
      </c>
      <c r="AN467" s="282"/>
      <c r="AO467" s="59" t="e">
        <f>MIN(AO342,AO348,AO354,AO360)</f>
        <v>#VALUE!</v>
      </c>
      <c r="AP467" s="282"/>
    </row>
    <row r="468" spans="3:42" ht="17.100000000000001" customHeight="1" thickBot="1" x14ac:dyDescent="0.3">
      <c r="O468" s="43"/>
      <c r="P468" s="43"/>
      <c r="Z468" s="43"/>
      <c r="AA468" s="43"/>
      <c r="AB468" s="43"/>
      <c r="AC468" s="43"/>
      <c r="AD468" s="256"/>
      <c r="AE468" s="69" t="s">
        <v>125</v>
      </c>
      <c r="AF468" s="265"/>
      <c r="AG468" s="60" t="e">
        <f>MAX(AG342,AG348,AG354,AG360)</f>
        <v>#VALUE!</v>
      </c>
      <c r="AH468" s="275"/>
      <c r="AI468" s="276"/>
      <c r="AJ468" s="277"/>
      <c r="AK468" s="60" t="e">
        <f>MAX(AK342,AK348,AK354,AK360)</f>
        <v>#VALUE!</v>
      </c>
      <c r="AL468" s="282"/>
      <c r="AM468" s="60" t="e">
        <f>MAX(AM342,AM348,AM354,AM360)</f>
        <v>#VALUE!</v>
      </c>
      <c r="AN468" s="282"/>
      <c r="AO468" s="60" t="e">
        <f>MAX(AO342,AO348,AO354,AO360)</f>
        <v>#VALUE!</v>
      </c>
      <c r="AP468" s="282"/>
    </row>
    <row r="469" spans="3:42" ht="17.100000000000001" customHeight="1" x14ac:dyDescent="0.25">
      <c r="O469" s="43"/>
      <c r="P469" s="43"/>
      <c r="Z469" s="43"/>
      <c r="AA469" s="43"/>
      <c r="AB469" s="43"/>
      <c r="AC469" s="43"/>
      <c r="AD469" s="256"/>
      <c r="AE469" s="64" t="s">
        <v>123</v>
      </c>
      <c r="AF469" s="266" t="s">
        <v>128</v>
      </c>
      <c r="AG469" s="63" t="e">
        <f>AVERAGE(AG344,AG350,AG356,AG362)</f>
        <v>#VALUE!</v>
      </c>
      <c r="AH469" s="275"/>
      <c r="AI469" s="276"/>
      <c r="AJ469" s="277"/>
      <c r="AK469" s="63" t="e">
        <f>AVERAGE(AK344,AK350,AK356,AK362)</f>
        <v>#VALUE!</v>
      </c>
      <c r="AL469" s="282"/>
      <c r="AM469" s="63" t="e">
        <f>AVERAGE(AM344,AM350,AM356,AM362)</f>
        <v>#VALUE!</v>
      </c>
      <c r="AN469" s="282"/>
      <c r="AO469" s="63" t="e">
        <f>AVERAGE(AO344,AO350,AO356,AO362)</f>
        <v>#VALUE!</v>
      </c>
      <c r="AP469" s="282"/>
    </row>
    <row r="470" spans="3:42" ht="17.100000000000001" customHeight="1" x14ac:dyDescent="0.25">
      <c r="O470" s="43"/>
      <c r="P470" s="43"/>
      <c r="Z470" s="43"/>
      <c r="AA470" s="43"/>
      <c r="AB470" s="43"/>
      <c r="AC470" s="43"/>
      <c r="AD470" s="256"/>
      <c r="AE470" s="64" t="s">
        <v>124</v>
      </c>
      <c r="AF470" s="267"/>
      <c r="AG470" s="59" t="e">
        <f>MIN(AG344,AG350,AG356,AG362)</f>
        <v>#VALUE!</v>
      </c>
      <c r="AH470" s="275"/>
      <c r="AI470" s="276"/>
      <c r="AJ470" s="277"/>
      <c r="AK470" s="59" t="e">
        <f>MIN(AK344,AK350,AK356,AK362)</f>
        <v>#VALUE!</v>
      </c>
      <c r="AL470" s="282"/>
      <c r="AM470" s="59" t="e">
        <f>MIN(AM344,AM350,AM356,AM362)</f>
        <v>#VALUE!</v>
      </c>
      <c r="AN470" s="282"/>
      <c r="AO470" s="59" t="e">
        <f>MIN(AO344,AO350,AO356,AO362)</f>
        <v>#VALUE!</v>
      </c>
      <c r="AP470" s="282"/>
    </row>
    <row r="471" spans="3:42" ht="17.100000000000001" customHeight="1" thickBot="1" x14ac:dyDescent="0.3">
      <c r="O471" s="43"/>
      <c r="P471" s="43"/>
      <c r="Z471" s="43"/>
      <c r="AA471" s="43"/>
      <c r="AB471" s="43"/>
      <c r="AC471" s="43"/>
      <c r="AD471" s="256"/>
      <c r="AE471" s="65" t="s">
        <v>125</v>
      </c>
      <c r="AF471" s="268"/>
      <c r="AG471" s="60" t="e">
        <f>MAX(AG344,AG350,AG356,AG362)</f>
        <v>#VALUE!</v>
      </c>
      <c r="AH471" s="278"/>
      <c r="AI471" s="279"/>
      <c r="AJ471" s="280"/>
      <c r="AK471" s="60" t="e">
        <f>MAX(AK344,AK350,AK356,AK362)</f>
        <v>#VALUE!</v>
      </c>
      <c r="AL471" s="283"/>
      <c r="AM471" s="60" t="e">
        <f>MAX(AM344,AM350,AM356,AM362)</f>
        <v>#VALUE!</v>
      </c>
      <c r="AN471" s="283"/>
      <c r="AO471" s="60" t="e">
        <f>MAX(AO344,AO350,AO356,AO362)</f>
        <v>#VALUE!</v>
      </c>
      <c r="AP471" s="283"/>
    </row>
    <row r="472" spans="3:42" ht="17.100000000000001" customHeight="1" x14ac:dyDescent="0.25">
      <c r="C472" s="4" t="s">
        <v>105</v>
      </c>
      <c r="N472" s="6" t="s">
        <v>132</v>
      </c>
      <c r="O472" s="43" t="e">
        <f>GEOMEAN(O364:O405)</f>
        <v>#NUM!</v>
      </c>
      <c r="P472" s="43" t="e">
        <f>GEOMEAN(P364:P405)</f>
        <v>#NUM!</v>
      </c>
      <c r="Z472" s="43" t="e">
        <f>GEOMEAN(Z364:Z405)</f>
        <v>#NUM!</v>
      </c>
      <c r="AA472" s="43" t="e">
        <f>GEOMEAN(AA364:AA405)</f>
        <v>#NUM!</v>
      </c>
      <c r="AB472" s="43" t="e">
        <f>GEOMEAN(AB364:AB405)</f>
        <v>#DIV/0!</v>
      </c>
      <c r="AC472" s="43" t="e">
        <f>GEOMEAN(AC364:AC405)</f>
        <v>#DIV/0!</v>
      </c>
      <c r="AD472" s="256" t="str">
        <f>C472</f>
        <v>Class HDR2_2K</v>
      </c>
      <c r="AE472" s="68" t="s">
        <v>123</v>
      </c>
      <c r="AF472" s="257" t="s">
        <v>126</v>
      </c>
      <c r="AG472" s="58" t="e">
        <f>AVERAGE(AG364,AG370,AG376,AG382,AG388,AG394,AG400)</f>
        <v>#VALUE!</v>
      </c>
      <c r="AH472" s="26" t="e">
        <f>AVERAGE(AH364:AH405)</f>
        <v>#VALUE!</v>
      </c>
      <c r="AI472" s="26" t="e">
        <f>AVERAGE(AI364:AI405)</f>
        <v>#VALUE!</v>
      </c>
      <c r="AJ472" s="26" t="e">
        <f>AVERAGE(AJ364:AJ405)</f>
        <v>#VALUE!</v>
      </c>
      <c r="AK472" s="58" t="e">
        <f>AVERAGE(AK364,AK370,AK376,AK382,AK388,AK394,AK400)</f>
        <v>#VALUE!</v>
      </c>
      <c r="AL472" s="26" t="e">
        <f>AVERAGE(AL364:AL405)</f>
        <v>#VALUE!</v>
      </c>
      <c r="AM472" s="58" t="e">
        <f>AVERAGE(AM364,AM370,AM376,AM382,AM388,AM394,AM400)</f>
        <v>#VALUE!</v>
      </c>
      <c r="AN472" s="26" t="e">
        <f>AVERAGE(AN364:AN405)</f>
        <v>#VALUE!</v>
      </c>
      <c r="AO472" s="58" t="e">
        <f>AVERAGE(AO364,AO370,AO376,AO382,AO388,AO394,AO400)</f>
        <v>#VALUE!</v>
      </c>
      <c r="AP472" s="27" t="e">
        <f>AVERAGE(AP364:AP405)</f>
        <v>#VALUE!</v>
      </c>
    </row>
    <row r="473" spans="3:42" ht="17.100000000000001" customHeight="1" x14ac:dyDescent="0.25">
      <c r="N473" s="6" t="s">
        <v>133</v>
      </c>
      <c r="O473" s="43">
        <f>SUM(O364:O405)</f>
        <v>0</v>
      </c>
      <c r="P473" s="43">
        <f>SUM(P364:P405)</f>
        <v>0</v>
      </c>
      <c r="Z473" s="43">
        <f>SUM(Z364:Z405)</f>
        <v>0</v>
      </c>
      <c r="AA473" s="43">
        <f>SUM(AA364:AA405)</f>
        <v>0</v>
      </c>
      <c r="AB473" s="43" t="e">
        <f>SUM(AB364:AB405)</f>
        <v>#DIV/0!</v>
      </c>
      <c r="AC473" s="43" t="e">
        <f>SUM(AC364:AC405)</f>
        <v>#DIV/0!</v>
      </c>
      <c r="AD473" s="256"/>
      <c r="AE473" s="69" t="s">
        <v>124</v>
      </c>
      <c r="AF473" s="258"/>
      <c r="AG473" s="59" t="e">
        <f>MIN(AG364,AG370,AG376,AG382,AG388,AG394,AG400)</f>
        <v>#VALUE!</v>
      </c>
      <c r="AH473" s="25" t="e">
        <f>MIN(AH364:AH405)</f>
        <v>#VALUE!</v>
      </c>
      <c r="AI473" s="25" t="e">
        <f>MIN(AI364:AI405)</f>
        <v>#VALUE!</v>
      </c>
      <c r="AJ473" s="25" t="e">
        <f>MIN(AJ364:AJ405)</f>
        <v>#VALUE!</v>
      </c>
      <c r="AK473" s="59" t="e">
        <f>MIN(AK364,AK370,AK376,AK382,AK388,AK394,AK400)</f>
        <v>#VALUE!</v>
      </c>
      <c r="AL473" s="25" t="e">
        <f>MIN(AL364:AL405)</f>
        <v>#VALUE!</v>
      </c>
      <c r="AM473" s="59" t="e">
        <f>MIN(AM364,AM370,AM376,AM382,AM388,AM394,AM400)</f>
        <v>#VALUE!</v>
      </c>
      <c r="AN473" s="25" t="e">
        <f>MIN(AN364:AN405)</f>
        <v>#VALUE!</v>
      </c>
      <c r="AO473" s="59" t="e">
        <f>MIN(AO364,AO370,AO376,AO382,AO388,AO394,AO400)</f>
        <v>#VALUE!</v>
      </c>
      <c r="AP473" s="29" t="e">
        <f>MIN(AP364:AP405)</f>
        <v>#VALUE!</v>
      </c>
    </row>
    <row r="474" spans="3:42" ht="17.100000000000001" customHeight="1" thickBot="1" x14ac:dyDescent="0.3">
      <c r="N474" s="6" t="s">
        <v>125</v>
      </c>
      <c r="O474" s="43">
        <f>MAX(O364:O405)</f>
        <v>0</v>
      </c>
      <c r="P474" s="43">
        <f>MAX(P364:P405)</f>
        <v>0</v>
      </c>
      <c r="Z474" s="43">
        <f>MAX(Z364:Z405)</f>
        <v>0</v>
      </c>
      <c r="AA474" s="43">
        <f>MAX(AA364:AA405)</f>
        <v>0</v>
      </c>
      <c r="AB474" s="43" t="e">
        <f>MAX(AB364:AB405)</f>
        <v>#DIV/0!</v>
      </c>
      <c r="AC474" s="43" t="e">
        <f>MAX(AC364:AC405)</f>
        <v>#DIV/0!</v>
      </c>
      <c r="AD474" s="256"/>
      <c r="AE474" s="69" t="s">
        <v>125</v>
      </c>
      <c r="AF474" s="259"/>
      <c r="AG474" s="60" t="e">
        <f>MAX(AG364,AG370,AG376,AG382,AG388,AG394,AG400)</f>
        <v>#VALUE!</v>
      </c>
      <c r="AH474" s="28" t="e">
        <f>MAX(AH364:AH405)</f>
        <v>#VALUE!</v>
      </c>
      <c r="AI474" s="28" t="e">
        <f>MAX(AI364:AI405)</f>
        <v>#VALUE!</v>
      </c>
      <c r="AJ474" s="28" t="e">
        <f>MAX(AJ364:AJ405)</f>
        <v>#VALUE!</v>
      </c>
      <c r="AK474" s="60" t="e">
        <f>MAX(AK364,AK370,AK376,AK382,AK388,AK394,AK400)</f>
        <v>#VALUE!</v>
      </c>
      <c r="AL474" s="28" t="e">
        <f>MAX(AL364:AL405)</f>
        <v>#VALUE!</v>
      </c>
      <c r="AM474" s="60" t="e">
        <f>MAX(AM364,AM370,AM376,AM382,AM388,AM394,AM400)</f>
        <v>#VALUE!</v>
      </c>
      <c r="AN474" s="28" t="e">
        <f>MAX(AN364:AN405)</f>
        <v>#VALUE!</v>
      </c>
      <c r="AO474" s="60" t="e">
        <f>MAX(AO364,AO370,AO376,AO382,AO388,AO394,AO400)</f>
        <v>#VALUE!</v>
      </c>
      <c r="AP474" s="30" t="e">
        <f>MAX(AP364:AP405)</f>
        <v>#VALUE!</v>
      </c>
    </row>
    <row r="475" spans="3:42" ht="17.100000000000001" customHeight="1" x14ac:dyDescent="0.25">
      <c r="N475" s="6" t="s">
        <v>124</v>
      </c>
      <c r="O475" s="43">
        <f>MIN(O364:O405)</f>
        <v>0</v>
      </c>
      <c r="P475" s="43">
        <f>MIN(P364:P405)</f>
        <v>0</v>
      </c>
      <c r="Z475" s="43">
        <f>MIN(Z364:Z405)</f>
        <v>0</v>
      </c>
      <c r="AA475" s="43">
        <f>MIN(AA364:AA405)</f>
        <v>0</v>
      </c>
      <c r="AB475" s="43" t="e">
        <f>MIN(AB364:AB405)</f>
        <v>#DIV/0!</v>
      </c>
      <c r="AC475" s="43" t="e">
        <f>MIN(AC364:AC405)</f>
        <v>#DIV/0!</v>
      </c>
      <c r="AD475" s="256"/>
      <c r="AE475" s="69" t="s">
        <v>123</v>
      </c>
      <c r="AF475" s="263" t="s">
        <v>127</v>
      </c>
      <c r="AG475" s="58" t="e">
        <f>AVERAGE(AG366,AG372,AG378,AG384,AG390,AG396,AG402)</f>
        <v>#VALUE!</v>
      </c>
      <c r="AH475" s="272"/>
      <c r="AI475" s="273"/>
      <c r="AJ475" s="274"/>
      <c r="AK475" s="58" t="e">
        <f>AVERAGE(AK366,AK372,AK378,AK384,AK390,AK396,AK402)</f>
        <v>#VALUE!</v>
      </c>
      <c r="AL475" s="281"/>
      <c r="AM475" s="58" t="e">
        <f>AVERAGE(AM366,AM372,AM378,AM384,AM390,AM396,AM402)</f>
        <v>#VALUE!</v>
      </c>
      <c r="AN475" s="281"/>
      <c r="AO475" s="58" t="e">
        <f>AVERAGE(AO366,AO372,AO378,AO384,AO390,AO396,AO402)</f>
        <v>#VALUE!</v>
      </c>
      <c r="AP475" s="281"/>
    </row>
    <row r="476" spans="3:42" ht="17.100000000000001" customHeight="1" x14ac:dyDescent="0.25">
      <c r="N476" s="6" t="s">
        <v>134</v>
      </c>
      <c r="O476" s="43"/>
      <c r="P476" s="43"/>
      <c r="Z476" s="112" t="e">
        <f>Z472/O472</f>
        <v>#NUM!</v>
      </c>
      <c r="AA476" s="112" t="e">
        <f>AA472/P472</f>
        <v>#NUM!</v>
      </c>
      <c r="AB476" s="43"/>
      <c r="AC476" s="43"/>
      <c r="AD476" s="256"/>
      <c r="AE476" s="69" t="s">
        <v>124</v>
      </c>
      <c r="AF476" s="264"/>
      <c r="AG476" s="59" t="e">
        <f>MIN(AG366,AG372,AG378,AG384,AG390,AG396,AG402)</f>
        <v>#VALUE!</v>
      </c>
      <c r="AH476" s="275"/>
      <c r="AI476" s="276"/>
      <c r="AJ476" s="277"/>
      <c r="AK476" s="59" t="e">
        <f>MIN(AK366,AK372,AK378,AK384,AK390,AK396,AK402)</f>
        <v>#VALUE!</v>
      </c>
      <c r="AL476" s="282"/>
      <c r="AM476" s="59" t="e">
        <f>MIN(AM366,AM372,AM378,AM384,AM390,AM396,AM402)</f>
        <v>#VALUE!</v>
      </c>
      <c r="AN476" s="282"/>
      <c r="AO476" s="59" t="e">
        <f>MIN(AO366,AO372,AO378,AO384,AO390,AO396,AO402)</f>
        <v>#VALUE!</v>
      </c>
      <c r="AP476" s="282"/>
    </row>
    <row r="477" spans="3:42" ht="17.100000000000001" customHeight="1" thickBot="1" x14ac:dyDescent="0.3">
      <c r="O477" s="43"/>
      <c r="P477" s="43"/>
      <c r="Z477" s="43"/>
      <c r="AA477" s="43"/>
      <c r="AB477" s="43"/>
      <c r="AC477" s="43"/>
      <c r="AD477" s="256"/>
      <c r="AE477" s="69" t="s">
        <v>125</v>
      </c>
      <c r="AF477" s="265"/>
      <c r="AG477" s="60" t="e">
        <f>MAX(AG366,AG372,AG378,AG384,AG390,AG396,AG402)</f>
        <v>#VALUE!</v>
      </c>
      <c r="AH477" s="275"/>
      <c r="AI477" s="276"/>
      <c r="AJ477" s="277"/>
      <c r="AK477" s="60" t="e">
        <f>MAX(AK366,AK372,AK378,AK384,AK390,AK396,AK402)</f>
        <v>#VALUE!</v>
      </c>
      <c r="AL477" s="282"/>
      <c r="AM477" s="60" t="e">
        <f>MAX(AM366,AM372,AM378,AM384,AM390,AM396,AM402)</f>
        <v>#VALUE!</v>
      </c>
      <c r="AN477" s="282"/>
      <c r="AO477" s="60" t="e">
        <f>MAX(AO366,AO372,AO378,AO384,AO390,AO396,AO402)</f>
        <v>#VALUE!</v>
      </c>
      <c r="AP477" s="282"/>
    </row>
    <row r="478" spans="3:42" ht="17.100000000000001" customHeight="1" x14ac:dyDescent="0.25">
      <c r="O478" s="43"/>
      <c r="P478" s="43"/>
      <c r="Z478" s="43"/>
      <c r="AA478" s="43"/>
      <c r="AB478" s="43"/>
      <c r="AC478" s="43"/>
      <c r="AD478" s="256"/>
      <c r="AE478" s="64" t="s">
        <v>123</v>
      </c>
      <c r="AF478" s="266" t="s">
        <v>128</v>
      </c>
      <c r="AG478" s="63" t="e">
        <f>AVERAGE(AG368,AG374,AG380,AG386,AG392,AG398,AG404)</f>
        <v>#VALUE!</v>
      </c>
      <c r="AH478" s="275"/>
      <c r="AI478" s="276"/>
      <c r="AJ478" s="277"/>
      <c r="AK478" s="63" t="e">
        <f>AVERAGE(AK368,AK374,AK380,AK386,AK392,AK398,AK404)</f>
        <v>#VALUE!</v>
      </c>
      <c r="AL478" s="282"/>
      <c r="AM478" s="63" t="e">
        <f>AVERAGE(AM368,AM374,AM380,AM386,AM392,AM398,AM404)</f>
        <v>#VALUE!</v>
      </c>
      <c r="AN478" s="282"/>
      <c r="AO478" s="63" t="e">
        <f>AVERAGE(AO368,AO374,AO380,AO386,AO392,AO398,AO404)</f>
        <v>#VALUE!</v>
      </c>
      <c r="AP478" s="282"/>
    </row>
    <row r="479" spans="3:42" ht="17.100000000000001" customHeight="1" x14ac:dyDescent="0.25">
      <c r="O479" s="43"/>
      <c r="P479" s="43"/>
      <c r="Z479" s="43"/>
      <c r="AA479" s="43"/>
      <c r="AB479" s="43"/>
      <c r="AC479" s="43"/>
      <c r="AD479" s="256"/>
      <c r="AE479" s="64" t="s">
        <v>124</v>
      </c>
      <c r="AF479" s="267"/>
      <c r="AG479" s="59" t="e">
        <f>MIN(AG368,AG374,AG380,AG386,AG392,AG398,AG404)</f>
        <v>#VALUE!</v>
      </c>
      <c r="AH479" s="275"/>
      <c r="AI479" s="276"/>
      <c r="AJ479" s="277"/>
      <c r="AK479" s="59" t="e">
        <f>MIN(AK368,AK374,AK380,AK386,AK392,AK398,AK404)</f>
        <v>#VALUE!</v>
      </c>
      <c r="AL479" s="282"/>
      <c r="AM479" s="59" t="e">
        <f>MIN(AM368,AM374,AM380,AM386,AM392,AM398,AM404)</f>
        <v>#VALUE!</v>
      </c>
      <c r="AN479" s="282"/>
      <c r="AO479" s="59" t="e">
        <f>MIN(AO368,AO374,AO380,AO386,AO392,AO398,AO404)</f>
        <v>#VALUE!</v>
      </c>
      <c r="AP479" s="282"/>
    </row>
    <row r="480" spans="3:42" ht="17.100000000000001" customHeight="1" thickBot="1" x14ac:dyDescent="0.3">
      <c r="O480" s="43"/>
      <c r="P480" s="43"/>
      <c r="Z480" s="43"/>
      <c r="AA480" s="43"/>
      <c r="AB480" s="43"/>
      <c r="AC480" s="43"/>
      <c r="AD480" s="271"/>
      <c r="AE480" s="65" t="s">
        <v>125</v>
      </c>
      <c r="AF480" s="268"/>
      <c r="AG480" s="60" t="e">
        <f>MAX(AG368,AG374,AG380,AG386,AG392,AG398,AG404)</f>
        <v>#VALUE!</v>
      </c>
      <c r="AH480" s="278"/>
      <c r="AI480" s="279"/>
      <c r="AJ480" s="280"/>
      <c r="AK480" s="60" t="e">
        <f>MAX(AK368,AK374,AK380,AK386,AK392,AK398,AK404)</f>
        <v>#VALUE!</v>
      </c>
      <c r="AL480" s="283"/>
      <c r="AM480" s="60" t="e">
        <f>MAX(AM368,AM374,AM380,AM386,AM392,AM398,AM404)</f>
        <v>#VALUE!</v>
      </c>
      <c r="AN480" s="283"/>
      <c r="AO480" s="60" t="e">
        <f>MAX(AO368,AO374,AO380,AO386,AO392,AO398,AO404)</f>
        <v>#VALUE!</v>
      </c>
      <c r="AP480" s="283"/>
    </row>
    <row r="481" spans="1:42" s="82" customFormat="1" ht="17.100000000000001" customHeight="1" x14ac:dyDescent="0.25">
      <c r="D481" s="83"/>
      <c r="F481" s="83"/>
      <c r="G481" s="83"/>
      <c r="H481" s="83"/>
      <c r="I481" s="83"/>
      <c r="J481" s="83"/>
      <c r="K481" s="83"/>
      <c r="L481" s="83"/>
      <c r="M481" s="83"/>
      <c r="N481" s="83"/>
      <c r="O481" s="84"/>
      <c r="P481" s="84"/>
      <c r="Q481" s="74"/>
      <c r="R481" s="74"/>
      <c r="S481" s="74"/>
      <c r="T481" s="74"/>
      <c r="U481" s="74"/>
      <c r="V481" s="74"/>
      <c r="W481" s="74"/>
      <c r="X481" s="74"/>
      <c r="Y481" s="74"/>
      <c r="Z481" s="90"/>
      <c r="AA481" s="90"/>
      <c r="AB481" s="90"/>
      <c r="AC481" s="90"/>
      <c r="AD481" s="85"/>
      <c r="AE481" s="86"/>
      <c r="AF481" s="87"/>
      <c r="AG481" s="88"/>
      <c r="AH481" s="89"/>
      <c r="AI481" s="89"/>
      <c r="AJ481" s="89"/>
      <c r="AK481" s="88"/>
      <c r="AL481" s="89"/>
      <c r="AM481" s="88"/>
      <c r="AN481" s="89"/>
      <c r="AO481" s="88"/>
      <c r="AP481" s="89"/>
    </row>
    <row r="482" spans="1:42" s="82" customFormat="1" ht="17.100000000000001" customHeight="1" thickBot="1" x14ac:dyDescent="0.3">
      <c r="A482" s="96"/>
      <c r="B482" s="96"/>
      <c r="C482" s="96"/>
      <c r="D482" s="97"/>
      <c r="E482" s="96"/>
      <c r="F482" s="97"/>
      <c r="G482" s="97"/>
      <c r="H482" s="97"/>
      <c r="I482" s="97"/>
      <c r="J482" s="97"/>
      <c r="K482" s="97"/>
      <c r="L482" s="97"/>
      <c r="M482" s="97"/>
      <c r="N482" s="97"/>
      <c r="O482" s="98"/>
      <c r="P482" s="98"/>
      <c r="Q482" s="96"/>
      <c r="R482" s="96"/>
      <c r="S482" s="96"/>
      <c r="T482" s="96"/>
      <c r="U482" s="96"/>
      <c r="V482" s="96"/>
      <c r="W482" s="96"/>
      <c r="X482" s="96"/>
      <c r="Y482" s="96"/>
      <c r="Z482" s="98"/>
      <c r="AA482" s="98"/>
      <c r="AB482" s="98"/>
      <c r="AC482" s="98"/>
      <c r="AD482" s="99"/>
      <c r="AE482" s="100"/>
      <c r="AF482" s="101"/>
      <c r="AG482" s="102"/>
      <c r="AH482" s="103"/>
      <c r="AI482" s="103"/>
      <c r="AJ482" s="103"/>
      <c r="AK482" s="102"/>
      <c r="AL482" s="103"/>
      <c r="AM482" s="102"/>
      <c r="AN482" s="103"/>
      <c r="AO482" s="102"/>
      <c r="AP482" s="103"/>
    </row>
    <row r="483" spans="1:42" ht="17.100000000000001" customHeight="1" x14ac:dyDescent="0.25">
      <c r="C483" s="4" t="s">
        <v>131</v>
      </c>
      <c r="N483" s="6" t="s">
        <v>132</v>
      </c>
      <c r="O483" s="43" t="e">
        <f>GEOMEAN(O4:O405)</f>
        <v>#NUM!</v>
      </c>
      <c r="P483" s="43" t="e">
        <f>GEOMEAN(P4:P405)</f>
        <v>#NUM!</v>
      </c>
      <c r="Z483" s="43" t="e">
        <f>GEOMEAN(Z4:Z405)</f>
        <v>#NUM!</v>
      </c>
      <c r="AA483" s="43" t="e">
        <f>GEOMEAN(AA4:AA405)</f>
        <v>#NUM!</v>
      </c>
      <c r="AB483" s="43" t="e">
        <f>GEOMEAN(AB4:AB405)</f>
        <v>#DIV/0!</v>
      </c>
      <c r="AC483" s="43" t="e">
        <f>GEOMEAN(AC4:AC405)</f>
        <v>#DIV/0!</v>
      </c>
      <c r="AD483" s="287" t="str">
        <f>C483</f>
        <v>Overall</v>
      </c>
      <c r="AE483" s="68" t="s">
        <v>123</v>
      </c>
      <c r="AF483" s="257" t="s">
        <v>126</v>
      </c>
      <c r="AG483" s="58" t="e">
        <f>AVERAGE(AG4,AG10,AG16,AG22,AG28,AG34,AG40,AG46,AG52,AG58,AG64,AG70,AG76,AG82,AG88,AG94,AG100,AG106,AG112,AG118,AG124,AG130,AG136,AG142,AG148,AG154,AG160,AG166,AG172,AG178,AG184,AG190,AG196,AG202,AG208,AG214,AG220,AG226,AG232,AG238,AG244,AG250,AG256,AG262,AG268,AG274,AG280,AG286,AG292,AG298,AG304,AG310,AG316,AG322,AG328,AG334,AG340,AG346,AG352,AG358,AG364,AG370,AG376,AG382,AG388,AG394,AG400)</f>
        <v>#VALUE!</v>
      </c>
      <c r="AH483" s="26" t="e">
        <f>AVERAGE(AH4:AH405)</f>
        <v>#VALUE!</v>
      </c>
      <c r="AI483" s="26" t="e">
        <f>AVERAGE(AI4:AI405)</f>
        <v>#VALUE!</v>
      </c>
      <c r="AJ483" s="26" t="e">
        <f>AVERAGE(AJ4:AJ405)</f>
        <v>#VALUE!</v>
      </c>
      <c r="AK483" s="58" t="e">
        <f>AVERAGE(AK4,AK10,AK16,AK22,AK28,AK34,AK40,AK46,AK52,AK58,AK64,AK70,AK76,AK82,AK88,AK94,AK100,AK106,AK112,AK118,AK124,AK130,AK136,AK142,AK148,AK154,AK160,AK166,AK172,AK178,AK184,AK190,AK196,AK202,AK208,AK214,AK220,AK226,AK232,AK238,AK244,AK250,AK256,AK262,AK268,AK274,AK280,AK286,AK292,AK298,AK304,AK310,AK316,AK322,AK328,AK334,AK340,AK346,AK352,AK358,AK364,AK370,AK376,AK382,AK388,AK394,AK400)</f>
        <v>#VALUE!</v>
      </c>
      <c r="AL483" s="26" t="e">
        <f>AVERAGE(AL4:AL405)</f>
        <v>#VALUE!</v>
      </c>
      <c r="AM483" s="58" t="e">
        <f>AVERAGE(AM4,AM10,AM16,AM22,AM28,AM34,AM40,AM46,AM52,AM58,AM64,AM70,AM76,AM82,AM88,AM94,AM100,AM106,AM112,AM118,AM124,AM130,AM136,AM142,AM148,AM154,AM160,AM166,AM172,AM178,AM184,AM190,AM196,AM202,AM208,AM214,AM220,AM226,AM232,AM238,AM244,AM250,AM256,AM262,AM268,AM274,AM280,AM286,AM292,AM298,AM304,AM310,AM316,AM322,AM328,AM334,AM340,AM346,AM352,AM358,AM364,AM370,AM376,AM382,AM388,AM394,AM400)</f>
        <v>#VALUE!</v>
      </c>
      <c r="AN483" s="26" t="e">
        <f>AVERAGE(AN4:AN405)</f>
        <v>#VALUE!</v>
      </c>
      <c r="AO483" s="58" t="e">
        <f>AVERAGE(AO4,AO10,AO16,AO22,AO28,AO34,AO40,AO46,AO52,AO58,AO64,AO70,AO76,AO82,AO88,AO94,AO100,AO106,AO112,AO118,AO124,AO130,AO136,AO142,AO148,AO154,AO160,AO166,AO172,AO178,AO184,AO190,AO196,AO202,AO208,AO214,AO220,AO226,AO232,AO238,AO244,AO250,AO256,AO262,AO268,AO274,AO280,AO286,AO292,AO298,AO304,AO310,AO316,AO322,AO328,AO334,AO340,AO346,AO352,AO358,AO364,AO370,AO376,AO382,AO388,AO394,AO400)</f>
        <v>#VALUE!</v>
      </c>
      <c r="AP483" s="26" t="e">
        <f>AVERAGE(AP4:AP405)</f>
        <v>#VALUE!</v>
      </c>
    </row>
    <row r="484" spans="1:42" ht="17.100000000000001" customHeight="1" x14ac:dyDescent="0.25">
      <c r="N484" s="6" t="s">
        <v>133</v>
      </c>
      <c r="O484" s="43">
        <f>SUM(O4:O405)</f>
        <v>0</v>
      </c>
      <c r="P484" s="43">
        <f>SUM(P4:P405)</f>
        <v>0</v>
      </c>
      <c r="Z484" s="43">
        <f>SUM(Z4:Z405)</f>
        <v>0</v>
      </c>
      <c r="AA484" s="43">
        <f>SUM(AA4:AA405)</f>
        <v>0</v>
      </c>
      <c r="AB484" s="43"/>
      <c r="AC484" s="43"/>
      <c r="AD484" s="288"/>
      <c r="AE484" s="69" t="s">
        <v>124</v>
      </c>
      <c r="AF484" s="258"/>
      <c r="AG484" s="59" t="e">
        <f>MIN(AG4,AG10,AG16,AG22,AG28,AG34,AG40,AG46,AG52,AG58,AG64,AG70,AG76,AG82,AG88,AG94,AG100,AG106,AG112,AG118,AG124,AG130,AG136,AG142,AG148,AG154,AG160,AG166,AG172,AG178,AG184,AG190,AG196,AG202,AG208,AG214,AG220,AG226,AG232,AG238,AG244,AG250,AG256,AG262,AG268,AG274,AG280,AG286,AG292,AG298,AG304,AG310,AG316,AG322,AG328,AG334,AG340,AG346,AG352,AG358,AG364,AG370,AG376,AG382,AG388,AG394,AG400)</f>
        <v>#VALUE!</v>
      </c>
      <c r="AH484" s="25" t="e">
        <f>MIN(AH4:AH405)</f>
        <v>#VALUE!</v>
      </c>
      <c r="AI484" s="25" t="e">
        <f>MIN(AI4:AI405)</f>
        <v>#VALUE!</v>
      </c>
      <c r="AJ484" s="25" t="e">
        <f>MIN(AJ4:AJ405)</f>
        <v>#VALUE!</v>
      </c>
      <c r="AK484" s="59" t="e">
        <f>MIN(AK4,AK10,AK16,AK22,AK28,AK34,AK40,AK46,AK52,AK58,AK64,AK70,AK76,AK82,AK88,AK94,AK100,AK106,AK112,AK118,AK124,AK130,AK136,AK142,AK148,AK154,AK160,AK166,AK172,AK178,AK184,AK190,AK196,AK202,AK208,AK214,AK220,AK226,AK232,AK238,AK244,AK250,AK256,AK262,AK268,AK274,AK280,AK286,AK292,AK298,AK304,AK310,AK316,AK322,AK328,AK334,AK340,AK346,AK352,AK358,AK364,AK370,AK376,AK382,AK388,AK394,AK400)</f>
        <v>#VALUE!</v>
      </c>
      <c r="AL484" s="25" t="e">
        <f>MIN(AL4:AL405)</f>
        <v>#VALUE!</v>
      </c>
      <c r="AM484" s="59" t="e">
        <f>MIN(AM4,AM10,AM16,AM22,AM28,AM34,AM40,AM46,AM52,AM58,AM64,AM70,AM76,AM82,AM88,AM94,AM100,AM106,AM112,AM118,AM124,AM130,AM136,AM142,AM148,AM154,AM160,AM166,AM172,AM178,AM184,AM190,AM196,AM202,AM208,AM214,AM220,AM226,AM232,AM238,AM244,AM250,AM256,AM262,AM268,AM274,AM280,AM286,AM292,AM298,AM304,AM310,AM316,AM322,AM328,AM334,AM340,AM346,AM352,AM358,AM364,AM370,AM376,AM382,AM388,AM394,AM400)</f>
        <v>#VALUE!</v>
      </c>
      <c r="AN484" s="25" t="e">
        <f>MIN(AN4:AN405)</f>
        <v>#VALUE!</v>
      </c>
      <c r="AO484" s="59" t="e">
        <f>MIN(AO4,AO10,AO16,AO22,AO28,AO34,AO40,AO46,AO52,AO58,AO64,AO70,AO76,AO82,AO88,AO94,AO100,AO106,AO112,AO118,AO124,AO130,AO136,AO142,AO148,AO154,AO160,AO166,AO172,AO178,AO184,AO190,AO196,AO202,AO208,AO214,AO220,AO226,AO232,AO238,AO244,AO250,AO256,AO262,AO268,AO274,AO280,AO286,AO292,AO298,AO304,AO310,AO316,AO322,AO328,AO334,AO340,AO346,AO352,AO358,AO364,AO370,AO376,AO382,AO388,AO394,AO400)</f>
        <v>#VALUE!</v>
      </c>
      <c r="AP484" s="25" t="e">
        <f>MIN(AP4:AP405)</f>
        <v>#VALUE!</v>
      </c>
    </row>
    <row r="485" spans="1:42" ht="17.100000000000001" customHeight="1" thickBot="1" x14ac:dyDescent="0.3">
      <c r="N485" s="6" t="s">
        <v>125</v>
      </c>
      <c r="O485" s="43">
        <f>MAX(O4:O405)</f>
        <v>0</v>
      </c>
      <c r="P485" s="43">
        <f>MAX(P4:P405)</f>
        <v>0</v>
      </c>
      <c r="Z485" s="43">
        <f>MAX(Z4:Z405)</f>
        <v>0</v>
      </c>
      <c r="AA485" s="43">
        <f>MAX(AA4:AA405)</f>
        <v>0</v>
      </c>
      <c r="AB485" s="43"/>
      <c r="AC485" s="43"/>
      <c r="AD485" s="288"/>
      <c r="AE485" s="69" t="s">
        <v>125</v>
      </c>
      <c r="AF485" s="259"/>
      <c r="AG485" s="60" t="e">
        <f>MAX(AG4,AG10,AG16,AG22,AG28,AG34,AG40,AG46,AG52,AG58,AG64,AG70,AG76,AG82,AG88,AG94,AG100,AG106,AG112,AG118,AG124,AG130,AG136,AG142,AG148,AG154,AG160,AG166,AG172,AG178,AG184,AG190,AG196,AG202,AG208,AG214,AG220,AG226,AG232,AG238,AG244,AG250,AG256,AG262,AG268,AG274,AG280,AG286,AG292,AG298,AG304,AG310,AG316,AG322,AG328,AG334,AG340,AG346,AG352,AG358,AG364,AG370,AG376,AG382,AG388,AG394,AG400)</f>
        <v>#VALUE!</v>
      </c>
      <c r="AH485" s="28" t="e">
        <f>MAX(AH4:AH405)</f>
        <v>#VALUE!</v>
      </c>
      <c r="AI485" s="28" t="e">
        <f>MAX(AI4:AI405)</f>
        <v>#VALUE!</v>
      </c>
      <c r="AJ485" s="28" t="e">
        <f>MAX(AJ4:AJ405)</f>
        <v>#VALUE!</v>
      </c>
      <c r="AK485" s="60" t="e">
        <f>MAX(AK4,AK10,AK16,AK22,AK28,AK34,AK40,AK46,AK52,AK58,AK64,AK70,AK76,AK82,AK88,AK94,AK100,AK106,AK112,AK118,AK124,AK130,AK136,AK142,AK148,AK154,AK160,AK166,AK172,AK178,AK184,AK190,AK196,AK202,AK208,AK214,AK220,AK226,AK232,AK238,AK244,AK250,AK256,AK262,AK268,AK274,AK280,AK286,AK292,AK298,AK304,AK310,AK316,AK322,AK328,AK334,AK340,AK346,AK352,AK358,AK364,AK370,AK376,AK382,AK388,AK394,AK400)</f>
        <v>#VALUE!</v>
      </c>
      <c r="AL485" s="28" t="e">
        <f>MAX(AL4:AL405)</f>
        <v>#VALUE!</v>
      </c>
      <c r="AM485" s="60" t="e">
        <f>MAX(AM4,AM10,AM16,AM22,AM28,AM34,AM40,AM46,AM52,AM58,AM64,AM70,AM76,AM82,AM88,AM94,AM100,AM106,AM112,AM118,AM124,AM130,AM136,AM142,AM148,AM154,AM160,AM166,AM172,AM178,AM184,AM190,AM196,AM202,AM208,AM214,AM220,AM226,AM232,AM238,AM244,AM250,AM256,AM262,AM268,AM274,AM280,AM286,AM292,AM298,AM304,AM310,AM316,AM322,AM328,AM334,AM340,AM346,AM352,AM358,AM364,AM370,AM376,AM382,AM388,AM394,AM400)</f>
        <v>#VALUE!</v>
      </c>
      <c r="AN485" s="28" t="e">
        <f>MAX(AN4:AN405)</f>
        <v>#VALUE!</v>
      </c>
      <c r="AO485" s="60" t="e">
        <f>MAX(AO4,AO10,AO16,AO22,AO28,AO34,AO40,AO46,AO52,AO58,AO64,AO70,AO76,AO82,AO88,AO94,AO100,AO106,AO112,AO118,AO124,AO130,AO136,AO142,AO148,AO154,AO160,AO166,AO172,AO178,AO184,AO190,AO196,AO202,AO208,AO214,AO220,AO226,AO232,AO238,AO244,AO250,AO256,AO262,AO268,AO274,AO280,AO286,AO292,AO298,AO304,AO310,AO316,AO322,AO328,AO334,AO340,AO346,AO352,AO358,AO364,AO370,AO376,AO382,AO388,AO394,AO400)</f>
        <v>#VALUE!</v>
      </c>
      <c r="AP485" s="28" t="e">
        <f>MAX(AP4:AP405)</f>
        <v>#VALUE!</v>
      </c>
    </row>
    <row r="486" spans="1:42" ht="17.100000000000001" customHeight="1" x14ac:dyDescent="0.25">
      <c r="N486" s="6" t="s">
        <v>124</v>
      </c>
      <c r="O486" s="43">
        <f>MIN(O4:O405)</f>
        <v>0</v>
      </c>
      <c r="P486" s="43">
        <f>MIN(P4:P405)</f>
        <v>0</v>
      </c>
      <c r="Z486" s="43">
        <f>MIN(Z4:Z405)</f>
        <v>0</v>
      </c>
      <c r="AA486" s="43">
        <f>MIN(AA4:AA405)</f>
        <v>0</v>
      </c>
      <c r="AB486" s="43"/>
      <c r="AC486" s="43"/>
      <c r="AD486" s="288"/>
      <c r="AE486" s="69" t="s">
        <v>123</v>
      </c>
      <c r="AF486" s="263" t="s">
        <v>127</v>
      </c>
      <c r="AG486" s="58" t="e">
        <f>AVERAGE(AG6,AG12,AG18,AG24,AG30,AG36,AG42,AG48,AG54,AG60,AG66,AG72,AG78,AG84,AG90,AG96,AG102,AG108,AG114,AG120,AG126,AG132,AG138,AG144,AG150,AG156,AG162,AG168,AG174,AG180,AG186,AG192,AG198,AG204,AG210,AG216,AG222,AG228,AG234,AG240,AG246,AG252,AG258,AG264,AG270,AG276,AG282,AG288,AG294,AG300,AG306,AG312,AG318,AG324,AG330,AG336,AG342,AG348,AG354,AG360,AG366,AG372,AG378,AG384,AG390,AG396,AG402)</f>
        <v>#VALUE!</v>
      </c>
      <c r="AH486" s="272"/>
      <c r="AI486" s="273"/>
      <c r="AJ486" s="274"/>
      <c r="AK486" s="58" t="e">
        <f>AVERAGE(AK6,AK12,AK18,AK24,AK30,AK36,AK42,AK48,AK54,AK60,AK66,AK72,AK78,AK84,AK90,AK96,AK102,AK108,AK114,AK120,AK126,AK132,AK138,AK144,AK150,AK156,AK162,AK168,AK174,AK180,AK186,AK192,AK198,AK204,AK210,AK216,AK222,AK228,AK234,AK240,AK246,AK252,AK258,AK264,AK270,AK276,AK282,AK288,AK294,AK300,AK306,AK312,AK318,AK324,AK330,AK336,AK342,AK348,AK354,AK360,AK366,AK372,AK378,AK384,AK390,AK396,AK402)</f>
        <v>#VALUE!</v>
      </c>
      <c r="AL486" s="281"/>
      <c r="AM486" s="58" t="e">
        <f>AVERAGE(AM6,AM12,AM18,AM24,AM30,AM36,AM42,AM48,AM54,AM60,AM66,AM72,AM78,AM84,AM90,AM96,AM102,AM108,AM114,AM120,AM126,AM132,AM138,AM144,AM150,AM156,AM162,AM168,AM174,AM180,AM186,AM192,AM198,AM204,AM210,AM216,AM222,AM228,AM234,AM240,AM246,AM252,AM258,AM264,AM270,AM276,AM282,AM288,AM294,AM300,AM306,AM312,AM318,AM324,AM330,AM336,AM342,AM348,AM354,AM360,AM366,AM372,AM378,AM384,AM390,AM396,AM402)</f>
        <v>#VALUE!</v>
      </c>
      <c r="AN486" s="281"/>
      <c r="AO486" s="58" t="e">
        <f>AVERAGE(AO6,AO12,AO18,AO24,AO30,AO36,AO42,AO48,AO54,AO60,AO66,AO72,AO78,AO84,AO90,AO96,AO102,AO108,AO114,AO120,AO126,AO132,AO138,AO144,AO150,AO156,AO162,AO168,AO174,AO180,AO186,AO192,AO198,AO204,AO210,AO216,AO222,AO228,AO234,AO240,AO246,AO252,AO258,AO264,AO270,AO276,AO282,AO288,AO294,AO300,AO306,AO312,AO318,AO324,AO330,AO336,AO342,AO348,AO354,AO360,AO366,AO372,AO378,AO384,AO390,AO396,AO402)</f>
        <v>#VALUE!</v>
      </c>
      <c r="AP486" s="281"/>
    </row>
    <row r="487" spans="1:42" ht="17.100000000000001" customHeight="1" x14ac:dyDescent="0.25">
      <c r="N487" s="6" t="s">
        <v>134</v>
      </c>
      <c r="O487" s="43"/>
      <c r="P487" s="43"/>
      <c r="Z487" s="112" t="e">
        <f>Z483/O483</f>
        <v>#NUM!</v>
      </c>
      <c r="AA487" s="112" t="e">
        <f>AA483/P483</f>
        <v>#NUM!</v>
      </c>
      <c r="AB487" s="43"/>
      <c r="AC487" s="43"/>
      <c r="AD487" s="288"/>
      <c r="AE487" s="69" t="s">
        <v>124</v>
      </c>
      <c r="AF487" s="264"/>
      <c r="AG487" s="59" t="e">
        <f>MIN(AG6,AG12,AG18,AG24,AG30,AG36,AG42,AG48,AG54,AG60,AG66,AG72,AG78,AG84,AG90,AG96,AG102,AG108,AG114,AG120,AG126,AG132,AG138,AG144,AG150,AG156,AG162,AG168,AG174,AG180,AG186,AG192,AG198,AG204,AG210,AG216,AG222,AG228,AG234,AG240,AG246,AG252,AG258,AG264,AG270,AG276,AG282,AG288,AG294,AG300,AG306,AG312,AG318,AG324,AG330,AG336,AG342,AG348,AG354,AG360,AG366,AG372,AG378,AG384,AG390,AG396,AG402)</f>
        <v>#VALUE!</v>
      </c>
      <c r="AH487" s="275"/>
      <c r="AI487" s="276"/>
      <c r="AJ487" s="277"/>
      <c r="AK487" s="59" t="e">
        <f>MIN(AK6,AK12,AK18,AK24,AK30,AK36,AK42,AK48,AK54,AK60,AK66,AK72,AK78,AK84,AK90,AK96,AK102,AK108,AK114,AK120,AK126,AK132,AK138,AK144,AK150,AK156,AK162,AK168,AK174,AK180,AK186,AK192,AK198,AK204,AK210,AK216,AK222,AK228,AK234,AK240,AK246,AK252,AK258,AK264,AK270,AK276,AK282,AK288,AK294,AK300,AK306,AK312,AK318,AK324,AK330,AK336,AK342,AK348,AK354,AK360,AK366,AK372,AK378,AK384,AK390,AK396,AK402)</f>
        <v>#VALUE!</v>
      </c>
      <c r="AL487" s="282"/>
      <c r="AM487" s="59" t="e">
        <f>MIN(AM6,AM12,AM18,AM24,AM30,AM36,AM42,AM48,AM54,AM60,AM66,AM72,AM78,AM84,AM90,AM96,AM102,AM108,AM114,AM120,AM126,AM132,AM138,AM144,AM150,AM156,AM162,AM168,AM174,AM180,AM186,AM192,AM198,AM204,AM210,AM216,AM222,AM228,AM234,AM240,AM246,AM252,AM258,AM264,AM270,AM276,AM282,AM288,AM294,AM300,AM306,AM312,AM318,AM324,AM330,AM336,AM342,AM348,AM354,AM360,AM366,AM372,AM378,AM384,AM390,AM396,AM402)</f>
        <v>#VALUE!</v>
      </c>
      <c r="AN487" s="282"/>
      <c r="AO487" s="59" t="e">
        <f>MIN(AO6,AO12,AO18,AO24,AO30,AO36,AO42,AO48,AO54,AO60,AO66,AO72,AO78,AO84,AO90,AO96,AO102,AO108,AO114,AO120,AO126,AO132,AO138,AO144,AO150,AO156,AO162,AO168,AO174,AO180,AO186,AO192,AO198,AO204,AO210,AO216,AO222,AO228,AO234,AO240,AO246,AO252,AO258,AO264,AO270,AO276,AO282,AO288,AO294,AO300,AO306,AO312,AO318,AO324,AO330,AO336,AO342,AO348,AO354,AO360,AO366,AO372,AO378,AO384,AO390,AO396,AO402)</f>
        <v>#VALUE!</v>
      </c>
      <c r="AP487" s="282"/>
    </row>
    <row r="488" spans="1:42" ht="17.100000000000001" customHeight="1" thickBot="1" x14ac:dyDescent="0.3">
      <c r="O488" s="43"/>
      <c r="P488" s="43"/>
      <c r="Z488" s="43"/>
      <c r="AA488" s="43"/>
      <c r="AB488" s="43"/>
      <c r="AC488" s="43"/>
      <c r="AD488" s="288"/>
      <c r="AE488" s="69" t="s">
        <v>125</v>
      </c>
      <c r="AF488" s="265"/>
      <c r="AG488" s="60" t="e">
        <f>MAX(AG6,AG12,AG18,AG24,AG30,AG36,AG42,AG48,AG54,AG60,AG66,AG72,AG78,AG84,AG90,AG96,AG102,AG108,AG114,AG120,AG126,AG132,AG138,AG144,AG150,AG156,AG162,AG168,AG174,AG180,AG186,AG192,AG198,AG204,AG210,AG216,AG222,AG228,AG234,AG240,AG246,AG252,AG258,AG264,AG270,AG276,AG282,AG288,AG294,AG300,AG306,AG312,AG318,AG324,AG330,AG336,AG342,AG348,AG354,AG360,AG366,AG372,AG378,AG384,AG390,AG396,AG402)</f>
        <v>#VALUE!</v>
      </c>
      <c r="AH488" s="275"/>
      <c r="AI488" s="276"/>
      <c r="AJ488" s="277"/>
      <c r="AK488" s="60" t="e">
        <f>MAX(AK6,AK12,AK18,AK24,AK30,AK36,AK42,AK48,AK54,AK60,AK66,AK72,AK78,AK84,AK90,AK96,AK102,AK108,AK114,AK120,AK126,AK132,AK138,AK144,AK150,AK156,AK162,AK168,AK174,AK180,AK186,AK192,AK198,AK204,AK210,AK216,AK222,AK228,AK234,AK240,AK246,AK252,AK258,AK264,AK270,AK276,AK282,AK288,AK294,AK300,AK306,AK312,AK318,AK324,AK330,AK336,AK342,AK348,AK354,AK360,AK366,AK372,AK378,AK384,AK390,AK396,AK402)</f>
        <v>#VALUE!</v>
      </c>
      <c r="AL488" s="282"/>
      <c r="AM488" s="60" t="e">
        <f>MAX(AM6,AM12,AM18,AM24,AM30,AM36,AM42,AM48,AM54,AM60,AM66,AM72,AM78,AM84,AM90,AM96,AM102,AM108,AM114,AM120,AM126,AM132,AM138,AM144,AM150,AM156,AM162,AM168,AM174,AM180,AM186,AM192,AM198,AM204,AM210,AM216,AM222,AM228,AM234,AM240,AM246,AM252,AM258,AM264,AM270,AM276,AM282,AM288,AM294,AM300,AM306,AM312,AM318,AM324,AM330,AM336,AM342,AM348,AM354,AM360,AM366,AM372,AM378,AM384,AM390,AM396,AM402)</f>
        <v>#VALUE!</v>
      </c>
      <c r="AN488" s="282"/>
      <c r="AO488" s="60" t="e">
        <f>MAX(AO6,AO12,AO18,AO24,AO30,AO36,AO42,AO48,AO54,AO60,AO66,AO72,AO78,AO84,AO90,AO96,AO102,AO108,AO114,AO120,AO126,AO132,AO138,AO144,AO150,AO156,AO162,AO168,AO174,AO180,AO186,AO192,AO198,AO204,AO210,AO216,AO222,AO228,AO234,AO240,AO246,AO252,AO258,AO264,AO270,AO276,AO282,AO288,AO294,AO300,AO306,AO312,AO318,AO324,AO330,AO336,AO342,AO348,AO354,AO360,AO366,AO372,AO378,AO384,AO390,AO396,AO402)</f>
        <v>#VALUE!</v>
      </c>
      <c r="AP488" s="282"/>
    </row>
    <row r="489" spans="1:42" ht="17.100000000000001" customHeight="1" x14ac:dyDescent="0.25">
      <c r="O489" s="43"/>
      <c r="P489" s="43"/>
      <c r="Z489" s="43"/>
      <c r="AA489" s="43"/>
      <c r="AB489" s="43"/>
      <c r="AC489" s="43"/>
      <c r="AD489" s="288"/>
      <c r="AE489" s="64" t="s">
        <v>123</v>
      </c>
      <c r="AF489" s="266" t="s">
        <v>128</v>
      </c>
      <c r="AG489" s="63" t="e">
        <f>AVERAGE(AG8,AG14,AG20,AG26,AG32,AG38,AG44,AG50,AG56,AG62,AG68,AG74,AG80,AG86,AG92,AG98,AG104,AG110,AG116,AG122,AG128,AG134,AG140,AG146,AG152,AG158,AG164,AG170,AG176,AG182,AG188,AG194,AG200,AG206,AG212,AG218,AG224,AG230,AG236,AG242,AG248,AG254,AG260,AG266,AG272,AG278,AG284,AG290,AG296,AG302,AG308,AG314,AG320,AG326,AG332,AG338,AG344,AG350,AG356,AG362,AG368,AG374,AG380,AG386,AG392,AG398,AG404)</f>
        <v>#VALUE!</v>
      </c>
      <c r="AH489" s="275"/>
      <c r="AI489" s="276"/>
      <c r="AJ489" s="277"/>
      <c r="AK489" s="63" t="e">
        <f>AVERAGE(AK8,AK14,AK20,AK26,AK32,AK38,AK44,AK50,AK56,AK62,AK68,AK74,AK80,AK86,AK92,AK98,AK104,AK110,AK116,AK122,AK128,AK134,AK140,AK146,AK152,AK158,AK164,AK170,AK176,AK182,AK188,AK194,AK200,AK206,AK212,AK218,AK224,AK230,AK236,AK242,AK248,AK254,AK260,AK266,AK272,AK278,AK284,AK290,AK296,AK302,AK308,AK314,AK320,AK326,AK332,AK338,AK344,AK350,AK356,AK362,AK368,AK374,AK380,AK386,AK392,AK398,AK404)</f>
        <v>#VALUE!</v>
      </c>
      <c r="AL489" s="282"/>
      <c r="AM489" s="63" t="e">
        <f>AVERAGE(AM8,AM14,AM20,AM26,AM32,AM38,AM44,AM50,AM56,AM62,AM68,AM74,AM80,AM86,AM92,AM98,AM104,AM110,AM116,AM122,AM128,AM134,AM140,AM146,AM152,AM158,AM164,AM170,AM176,AM182,AM188,AM194,AM200,AM206,AM212,AM218,AM224,AM230,AM236,AM242,AM248,AM254,AM260,AM266,AM272,AM278,AM284,AM290,AM296,AM302,AM308,AM314,AM320,AM326,AM332,AM338,AM344,AM350,AM356,AM362,AM368,AM374,AM380,AM386,AM392,AM398,AM404)</f>
        <v>#VALUE!</v>
      </c>
      <c r="AN489" s="282"/>
      <c r="AO489" s="63" t="e">
        <f>AVERAGE(AO8,AO14,AO20,AO26,AO32,AO38,AO44,AO50,AO56,AO62,AO68,AO74,AO80,AO86,AO92,AO98,AO104,AO110,AO116,AO122,AO128,AO134,AO140,AO146,AO152,AO158,AO164,AO170,AO176,AO182,AO188,AO194,AO200,AO206,AO212,AO218,AO224,AO230,AO236,AO242,AO248,AO254,AO260,AO266,AO272,AO278,AO284,AO290,AO296,AO302,AO308,AO314,AO320,AO326,AO332,AO338,AO344,AO350,AO356,AO362,AO368,AO374,AO380,AO386,AO392,AO398,AO404)</f>
        <v>#VALUE!</v>
      </c>
      <c r="AP489" s="282"/>
    </row>
    <row r="490" spans="1:42" ht="17.100000000000001" customHeight="1" x14ac:dyDescent="0.25">
      <c r="O490" s="43"/>
      <c r="P490" s="43"/>
      <c r="Z490" s="43"/>
      <c r="AA490" s="43"/>
      <c r="AB490" s="43"/>
      <c r="AC490" s="43"/>
      <c r="AD490" s="288"/>
      <c r="AE490" s="64" t="s">
        <v>124</v>
      </c>
      <c r="AF490" s="267"/>
      <c r="AG490" s="59" t="e">
        <f>MIN(AG8,AG14,AG20,AG26,AG32,AG38,AG44,AG50,AG56,AG62,AG68,AG74,AG80,AG86,AG92,AG98,AG104,AG110,AG116,AG122,AG128,AG134,AG140,AG146,AG152,AG158,AG164,AG170,AG176,AG182,AG188,AG194,AG200,AG206,AG212,AG218,AG224,AG230,AG236,AG242,AG248,AG254,AG260,AG266,AG272,AG278,AG284,AG290,AG296,AG302,AG308,AG314,AG320,AG326,AG332,AG338,AG344,AG350,AG356,AG362,AG368,AG374,AG380,AG386,AG392,AG398,AG404)</f>
        <v>#VALUE!</v>
      </c>
      <c r="AH490" s="275"/>
      <c r="AI490" s="276"/>
      <c r="AJ490" s="277"/>
      <c r="AK490" s="59" t="e">
        <f>MIN(AK8,AK14,AK20,AK26,AK32,AK38,AK44,AK50,AK56,AK62,AK68,AK74,AK80,AK86,AK92,AK98,AK104,AK110,AK116,AK122,AK128,AK134,AK140,AK146,AK152,AK158,AK164,AK170,AK176,AK182,AK188,AK194,AK200,AK206,AK212,AK218,AK224,AK230,AK236,AK242,AK248,AK254,AK260,AK266,AK272,AK278,AK284,AK290,AK296,AK302,AK308,AK314,AK320,AK326,AK332,AK338,AK344,AK350,AK356,AK362,AK368,AK374,AK380,AK386,AK392,AK398,AK404)</f>
        <v>#VALUE!</v>
      </c>
      <c r="AL490" s="282"/>
      <c r="AM490" s="59" t="e">
        <f>MIN(AM8,AM14,AM20,AM26,AM32,AM38,AM44,AM50,AM56,AM62,AM68,AM74,AM80,AM86,AM92,AM98,AM104,AM110,AM116,AM122,AM128,AM134,AM140,AM146,AM152,AM158,AM164,AM170,AM176,AM182,AM188,AM194,AM200,AM206,AM212,AM218,AM224,AM230,AM236,AM242,AM248,AM254,AM260,AM266,AM272,AM278,AM284,AM290,AM296,AM302,AM308,AM314,AM320,AM326,AM332,AM338,AM344,AM350,AM356,AM362,AM368,AM374,AM380,AM386,AM392,AM398,AM404)</f>
        <v>#VALUE!</v>
      </c>
      <c r="AN490" s="282"/>
      <c r="AO490" s="59" t="e">
        <f>MIN(AO8,AO14,AO20,AO26,AO32,AO38,AO44,AO50,AO56,AO62,AO68,AO74,AO80,AO86,AO92,AO98,AO104,AO110,AO116,AO122,AO128,AO134,AO140,AO146,AO152,AO158,AO164,AO170,AO176,AO182,AO188,AO194,AO200,AO206,AO212,AO218,AO224,AO230,AO236,AO242,AO248,AO254,AO260,AO266,AO272,AO278,AO284,AO290,AO296,AO302,AO308,AO314,AO320,AO326,AO332,AO338,AO344,AO350,AO356,AO362,AO368,AO374,AO380,AO386,AO392,AO398,AO404)</f>
        <v>#VALUE!</v>
      </c>
      <c r="AP490" s="282"/>
    </row>
    <row r="491" spans="1:42" ht="17.100000000000001" customHeight="1" thickBot="1" x14ac:dyDescent="0.3">
      <c r="O491" s="43"/>
      <c r="P491" s="43"/>
      <c r="Z491" s="43"/>
      <c r="AA491" s="43"/>
      <c r="AB491" s="43"/>
      <c r="AC491" s="43"/>
      <c r="AD491" s="289"/>
      <c r="AE491" s="65" t="s">
        <v>125</v>
      </c>
      <c r="AF491" s="268"/>
      <c r="AG491" s="60" t="e">
        <f>MAX(AG8,AG14,AG20,AG26,AG32,AG38,AG44,AG50,AG56,AG62,AG68,AG74,AG80,AG86,AG92,AG98,AG104,AG110,AG116,AG122,AG128,AG134,AG140,AG146,AG152,AG158,AG164,AG170,AG176,AG182,AG188,AG194,AG200,AG206,AG212,AG218,AG224,AG230,AG236,AG242,AG248,AG254,AG260,AG266,AG272,AG278,AG284,AG290,AG296,AG302,AG308,AG314,AG320,AG326,AG332,AG338,AG344,AG350,AG356,AG362,AG368,AG374,AG380,AG386,AG392,AG398,AG404)</f>
        <v>#VALUE!</v>
      </c>
      <c r="AH491" s="278"/>
      <c r="AI491" s="279"/>
      <c r="AJ491" s="280"/>
      <c r="AK491" s="60" t="e">
        <f>MAX(AK8,AK14,AK20,AK26,AK32,AK38,AK44,AK50,AK56,AK62,AK68,AK74,AK80,AK86,AK92,AK98,AK104,AK110,AK116,AK122,AK128,AK134,AK140,AK146,AK152,AK158,AK164,AK170,AK176,AK182,AK188,AK194,AK200,AK206,AK212,AK218,AK224,AK230,AK236,AK242,AK248,AK254,AK260,AK266,AK272,AK278,AK284,AK290,AK296,AK302,AK308,AK314,AK320,AK326,AK332,AK338,AK344,AK350,AK356,AK362,AK368,AK374,AK380,AK386,AK392,AK398,AK404)</f>
        <v>#VALUE!</v>
      </c>
      <c r="AL491" s="283"/>
      <c r="AM491" s="60" t="e">
        <f>MAX(AM8,AM14,AM20,AM26,AM32,AM38,AM44,AM50,AM56,AM62,AM68,AM74,AM80,AM86,AM92,AM98,AM104,AM110,AM116,AM122,AM128,AM134,AM140,AM146,AM152,AM158,AM164,AM170,AM176,AM182,AM188,AM194,AM200,AM206,AM212,AM218,AM224,AM230,AM236,AM242,AM248,AM254,AM260,AM266,AM272,AM278,AM284,AM290,AM296,AM302,AM308,AM314,AM320,AM326,AM332,AM338,AM344,AM350,AM356,AM362,AM368,AM374,AM380,AM386,AM392,AM398,AM404)</f>
        <v>#VALUE!</v>
      </c>
      <c r="AN491" s="283"/>
      <c r="AO491" s="60" t="e">
        <f>MAX(AO8,AO14,AO20,AO26,AO32,AO38,AO44,AO50,AO56,AO62,AO68,AO74,AO80,AO86,AO92,AO98,AO104,AO110,AO116,AO122,AO128,AO134,AO140,AO146,AO152,AO158,AO164,AO170,AO176,AO182,AO188,AO194,AO200,AO206,AO212,AO218,AO224,AO230,AO236,AO242,AO248,AO254,AO260,AO266,AO272,AO278,AO284,AO290,AO296,AO302,AO308,AO314,AO320,AO326,AO332,AO338,AO344,AO350,AO356,AO362,AO368,AO374,AO380,AO386,AO392,AO398,AO404)</f>
        <v>#VALUE!</v>
      </c>
      <c r="AP491" s="283"/>
    </row>
    <row r="492" spans="1:42" s="82" customFormat="1" ht="17.100000000000001" customHeight="1" x14ac:dyDescent="0.25">
      <c r="D492" s="83"/>
      <c r="F492" s="83"/>
      <c r="G492" s="83"/>
      <c r="H492" s="83"/>
      <c r="I492" s="83"/>
      <c r="J492" s="83"/>
      <c r="K492" s="83"/>
      <c r="L492" s="83"/>
      <c r="M492" s="83"/>
      <c r="N492" s="83"/>
      <c r="O492" s="84"/>
      <c r="P492" s="84"/>
      <c r="Z492" s="84"/>
      <c r="AA492" s="84"/>
      <c r="AB492" s="84"/>
      <c r="AC492" s="84"/>
      <c r="AD492" s="85"/>
      <c r="AE492" s="86"/>
      <c r="AF492" s="87"/>
      <c r="AG492" s="88"/>
      <c r="AH492" s="89"/>
      <c r="AI492" s="89"/>
      <c r="AJ492" s="89"/>
      <c r="AK492" s="88"/>
      <c r="AL492" s="89"/>
      <c r="AM492" s="88"/>
      <c r="AN492" s="89"/>
      <c r="AO492" s="88"/>
      <c r="AP492" s="89"/>
    </row>
    <row r="493" spans="1:42" s="82" customFormat="1" ht="17.100000000000001" customHeight="1" thickBot="1" x14ac:dyDescent="0.3">
      <c r="A493" s="104"/>
      <c r="B493" s="104"/>
      <c r="C493" s="104"/>
      <c r="D493" s="105"/>
      <c r="E493" s="104"/>
      <c r="F493" s="105"/>
      <c r="G493" s="105"/>
      <c r="H493" s="105"/>
      <c r="I493" s="105"/>
      <c r="J493" s="105"/>
      <c r="K493" s="105"/>
      <c r="L493" s="105"/>
      <c r="M493" s="105"/>
      <c r="N493" s="105"/>
      <c r="O493" s="106"/>
      <c r="P493" s="106"/>
      <c r="Q493" s="104"/>
      <c r="R493" s="104"/>
      <c r="S493" s="104"/>
      <c r="T493" s="104"/>
      <c r="U493" s="104"/>
      <c r="V493" s="104"/>
      <c r="W493" s="104"/>
      <c r="X493" s="104"/>
      <c r="Y493" s="104"/>
      <c r="Z493" s="106"/>
      <c r="AA493" s="106"/>
      <c r="AB493" s="106"/>
      <c r="AC493" s="106"/>
      <c r="AD493" s="107"/>
      <c r="AE493" s="108"/>
      <c r="AF493" s="109"/>
      <c r="AG493" s="110"/>
      <c r="AH493" s="111"/>
      <c r="AI493" s="111"/>
      <c r="AJ493" s="111"/>
      <c r="AK493" s="110"/>
      <c r="AL493" s="111"/>
      <c r="AM493" s="110"/>
      <c r="AN493" s="111"/>
      <c r="AO493" s="110"/>
      <c r="AP493" s="111"/>
    </row>
    <row r="494" spans="1:42" ht="17.100000000000001" customHeight="1" thickBot="1" x14ac:dyDescent="0.3">
      <c r="A494" s="10"/>
      <c r="B494" s="10"/>
      <c r="C494" s="11"/>
      <c r="D494" s="23"/>
      <c r="E494" s="11"/>
      <c r="F494" s="23"/>
      <c r="G494" s="23"/>
      <c r="H494" s="23"/>
      <c r="I494" s="23"/>
      <c r="J494" s="23"/>
      <c r="K494" s="23"/>
      <c r="L494" s="23"/>
      <c r="M494" s="23"/>
      <c r="N494" s="23"/>
      <c r="O494" s="44"/>
      <c r="P494" s="44"/>
      <c r="Q494" s="11"/>
      <c r="R494" s="11"/>
      <c r="S494" s="11"/>
      <c r="T494" s="11"/>
      <c r="U494" s="11"/>
      <c r="V494" s="11"/>
      <c r="W494" s="11"/>
      <c r="X494" s="11"/>
      <c r="Y494" s="11"/>
      <c r="Z494" s="44"/>
      <c r="AA494" s="44"/>
      <c r="AB494" s="44"/>
      <c r="AC494" s="44"/>
      <c r="AD494" s="11"/>
      <c r="AE494" s="11"/>
      <c r="AF494" s="11"/>
      <c r="AG494" s="12"/>
      <c r="AH494" s="12"/>
      <c r="AI494" s="13"/>
      <c r="AJ494" s="13"/>
      <c r="AK494" s="12"/>
      <c r="AL494" s="12"/>
      <c r="AM494" s="12"/>
      <c r="AN494" s="12"/>
      <c r="AO494" s="12"/>
      <c r="AP494" s="12"/>
    </row>
    <row r="495" spans="1:42" ht="17.100000000000001" customHeight="1" x14ac:dyDescent="0.25">
      <c r="O495" s="45"/>
      <c r="P495" s="45"/>
      <c r="Z495" s="14"/>
      <c r="AA495" s="14"/>
      <c r="AB495" s="14"/>
      <c r="AC495" s="14"/>
    </row>
    <row r="496" spans="1:42" ht="17.100000000000001" customHeight="1" x14ac:dyDescent="0.25">
      <c r="Z496" s="15"/>
      <c r="AA496" s="15"/>
      <c r="AB496" s="15"/>
      <c r="AC496" s="15"/>
    </row>
    <row r="497" spans="15:29" ht="17.100000000000001" customHeight="1" x14ac:dyDescent="0.25">
      <c r="O497" s="45"/>
      <c r="P497" s="45"/>
      <c r="Z497" s="14"/>
      <c r="AA497" s="14"/>
      <c r="AB497" s="14"/>
      <c r="AC497" s="14"/>
    </row>
    <row r="500" spans="15:29" ht="17.100000000000001" customHeight="1" x14ac:dyDescent="0.25">
      <c r="O500" s="43"/>
      <c r="P500" s="43"/>
      <c r="Z500" s="8"/>
      <c r="AA500" s="8"/>
      <c r="AB500" s="8"/>
      <c r="AC500" s="8"/>
    </row>
    <row r="501" spans="15:29" ht="17.100000000000001" customHeight="1" x14ac:dyDescent="0.25">
      <c r="O501" s="43"/>
      <c r="P501" s="43"/>
      <c r="Z501" s="8"/>
      <c r="AA501" s="8"/>
      <c r="AB501" s="8"/>
      <c r="AC501" s="8"/>
    </row>
    <row r="502" spans="15:29" ht="17.100000000000001" customHeight="1" x14ac:dyDescent="0.25">
      <c r="O502" s="43"/>
      <c r="P502" s="43"/>
      <c r="Z502" s="8"/>
      <c r="AA502" s="8"/>
      <c r="AB502" s="8"/>
      <c r="AC502" s="8"/>
    </row>
    <row r="503" spans="15:29" ht="17.100000000000001" customHeight="1" x14ac:dyDescent="0.25">
      <c r="O503" s="43"/>
      <c r="P503" s="43"/>
      <c r="Z503" s="8"/>
      <c r="AA503" s="8"/>
      <c r="AB503" s="8"/>
      <c r="AC503" s="8"/>
    </row>
    <row r="504" spans="15:29" ht="17.100000000000001" customHeight="1" x14ac:dyDescent="0.25">
      <c r="O504" s="43"/>
      <c r="P504" s="43"/>
      <c r="Z504" s="8"/>
      <c r="AA504" s="8"/>
      <c r="AB504" s="8"/>
      <c r="AC504" s="8"/>
    </row>
    <row r="505" spans="15:29" ht="17.100000000000001" customHeight="1" x14ac:dyDescent="0.25">
      <c r="O505" s="43"/>
      <c r="P505" s="43"/>
      <c r="Z505" s="8"/>
      <c r="AA505" s="8"/>
      <c r="AB505" s="8"/>
      <c r="AC505" s="8"/>
    </row>
    <row r="506" spans="15:29" ht="17.100000000000001" customHeight="1" x14ac:dyDescent="0.25">
      <c r="O506" s="43"/>
      <c r="P506" s="43"/>
      <c r="Z506" s="8"/>
      <c r="AA506" s="8"/>
      <c r="AB506" s="8"/>
      <c r="AC506" s="8"/>
    </row>
    <row r="507" spans="15:29" ht="17.100000000000001" customHeight="1" x14ac:dyDescent="0.25">
      <c r="O507" s="43"/>
      <c r="P507" s="43"/>
      <c r="Z507" s="8"/>
      <c r="AA507" s="8"/>
      <c r="AB507" s="8"/>
      <c r="AC507" s="8"/>
    </row>
    <row r="508" spans="15:29" ht="17.100000000000001" customHeight="1" x14ac:dyDescent="0.25">
      <c r="AB508" s="8"/>
      <c r="AC508" s="8"/>
    </row>
    <row r="509" spans="15:29" ht="17.100000000000001" customHeight="1" x14ac:dyDescent="0.25">
      <c r="AB509" s="8"/>
      <c r="AC509" s="8"/>
    </row>
    <row r="510" spans="15:29" ht="17.100000000000001" customHeight="1" x14ac:dyDescent="0.25">
      <c r="O510" s="43"/>
      <c r="P510" s="43"/>
      <c r="Z510" s="8"/>
      <c r="AA510" s="8"/>
      <c r="AB510" s="8"/>
      <c r="AC510" s="8"/>
    </row>
    <row r="511" spans="15:29" ht="17.100000000000001" customHeight="1" x14ac:dyDescent="0.25">
      <c r="O511" s="43"/>
      <c r="P511" s="43"/>
      <c r="Z511" s="8"/>
      <c r="AA511" s="8"/>
      <c r="AB511" s="8"/>
      <c r="AC511" s="8"/>
    </row>
    <row r="512" spans="15:29" ht="17.100000000000001" customHeight="1" x14ac:dyDescent="0.25">
      <c r="O512" s="43"/>
      <c r="P512" s="43"/>
      <c r="Z512" s="8"/>
      <c r="AA512" s="8"/>
      <c r="AB512" s="8"/>
      <c r="AC512" s="8"/>
    </row>
    <row r="513" spans="15:29" ht="17.100000000000001" customHeight="1" x14ac:dyDescent="0.25">
      <c r="O513" s="43"/>
      <c r="P513" s="43"/>
      <c r="Z513" s="8"/>
      <c r="AA513" s="8"/>
      <c r="AB513" s="8"/>
      <c r="AC513" s="8"/>
    </row>
    <row r="514" spans="15:29" ht="17.100000000000001" customHeight="1" x14ac:dyDescent="0.25">
      <c r="O514" s="43"/>
      <c r="P514" s="43"/>
      <c r="Z514" s="8"/>
      <c r="AA514" s="8"/>
      <c r="AB514" s="8"/>
      <c r="AC514" s="8"/>
    </row>
    <row r="515" spans="15:29" ht="17.100000000000001" customHeight="1" x14ac:dyDescent="0.25">
      <c r="O515" s="43"/>
      <c r="P515" s="43"/>
      <c r="Z515" s="8"/>
      <c r="AA515" s="8"/>
      <c r="AB515" s="8"/>
      <c r="AC515" s="8"/>
    </row>
    <row r="516" spans="15:29" ht="17.100000000000001" customHeight="1" x14ac:dyDescent="0.25">
      <c r="O516" s="43"/>
      <c r="P516" s="43"/>
      <c r="Z516" s="8"/>
      <c r="AA516" s="8"/>
      <c r="AB516" s="8"/>
      <c r="AC516" s="8"/>
    </row>
    <row r="517" spans="15:29" ht="17.100000000000001" customHeight="1" x14ac:dyDescent="0.25">
      <c r="O517" s="43"/>
      <c r="P517" s="43"/>
      <c r="Z517" s="8"/>
      <c r="AA517" s="8"/>
      <c r="AB517" s="8"/>
      <c r="AC517" s="8"/>
    </row>
  </sheetData>
  <mergeCells count="1772">
    <mergeCell ref="AN486:AN491"/>
    <mergeCell ref="AP486:AP491"/>
    <mergeCell ref="AF489:AF491"/>
    <mergeCell ref="AD483:AD491"/>
    <mergeCell ref="AF483:AF485"/>
    <mergeCell ref="AF486:AF488"/>
    <mergeCell ref="AH486:AJ491"/>
    <mergeCell ref="AL486:AL491"/>
    <mergeCell ref="AF400:AF401"/>
    <mergeCell ref="AF402:AF403"/>
    <mergeCell ref="AF404:AF405"/>
    <mergeCell ref="AF1:AP1"/>
    <mergeCell ref="AF2:AJ2"/>
    <mergeCell ref="AF3:AG3"/>
    <mergeCell ref="AF390:AF391"/>
    <mergeCell ref="AF392:AF393"/>
    <mergeCell ref="AF394:AF395"/>
    <mergeCell ref="AF396:AF397"/>
    <mergeCell ref="AF398:AF399"/>
    <mergeCell ref="AF380:AF381"/>
    <mergeCell ref="AF382:AF383"/>
    <mergeCell ref="AF384:AF385"/>
    <mergeCell ref="AF386:AF387"/>
    <mergeCell ref="AF388:AF389"/>
    <mergeCell ref="AF370:AF371"/>
    <mergeCell ref="AF372:AF373"/>
    <mergeCell ref="AF374:AF375"/>
    <mergeCell ref="AF376:AF377"/>
    <mergeCell ref="AF378:AF379"/>
    <mergeCell ref="AF360:AF361"/>
    <mergeCell ref="AF362:AF363"/>
    <mergeCell ref="AF364:AF365"/>
    <mergeCell ref="AF366:AF367"/>
    <mergeCell ref="AF368:AF369"/>
    <mergeCell ref="AF350:AF351"/>
    <mergeCell ref="AF352:AF353"/>
    <mergeCell ref="AF354:AF355"/>
    <mergeCell ref="AF356:AF357"/>
    <mergeCell ref="AF358:AF359"/>
    <mergeCell ref="AF340:AF341"/>
    <mergeCell ref="AF342:AF343"/>
    <mergeCell ref="AF344:AF345"/>
    <mergeCell ref="AF346:AF347"/>
    <mergeCell ref="AF348:AF349"/>
    <mergeCell ref="AF330:AF331"/>
    <mergeCell ref="AF332:AF333"/>
    <mergeCell ref="AF334:AF335"/>
    <mergeCell ref="AF336:AF337"/>
    <mergeCell ref="AF338:AF339"/>
    <mergeCell ref="AF320:AF321"/>
    <mergeCell ref="AF322:AF323"/>
    <mergeCell ref="AF324:AF325"/>
    <mergeCell ref="AF326:AF327"/>
    <mergeCell ref="AF328:AF329"/>
    <mergeCell ref="AF310:AF311"/>
    <mergeCell ref="AF312:AF313"/>
    <mergeCell ref="AF314:AF315"/>
    <mergeCell ref="AF316:AF317"/>
    <mergeCell ref="AF318:AF319"/>
    <mergeCell ref="AF300:AF301"/>
    <mergeCell ref="AF302:AF303"/>
    <mergeCell ref="AF304:AF305"/>
    <mergeCell ref="AF306:AF307"/>
    <mergeCell ref="AF308:AF309"/>
    <mergeCell ref="AF290:AF291"/>
    <mergeCell ref="AF292:AF293"/>
    <mergeCell ref="AF294:AF295"/>
    <mergeCell ref="AF296:AF297"/>
    <mergeCell ref="AF298:AF299"/>
    <mergeCell ref="AF280:AF281"/>
    <mergeCell ref="AF282:AF283"/>
    <mergeCell ref="AF284:AF285"/>
    <mergeCell ref="AF286:AF287"/>
    <mergeCell ref="AF288:AF289"/>
    <mergeCell ref="AF270:AF271"/>
    <mergeCell ref="AF272:AF273"/>
    <mergeCell ref="AF274:AF275"/>
    <mergeCell ref="AF276:AF277"/>
    <mergeCell ref="AF278:AF279"/>
    <mergeCell ref="AF260:AF261"/>
    <mergeCell ref="AF262:AF263"/>
    <mergeCell ref="AF264:AF265"/>
    <mergeCell ref="AF266:AF267"/>
    <mergeCell ref="AF268:AF269"/>
    <mergeCell ref="AF250:AF251"/>
    <mergeCell ref="AF252:AF253"/>
    <mergeCell ref="AF254:AF255"/>
    <mergeCell ref="AF256:AF257"/>
    <mergeCell ref="AF258:AF259"/>
    <mergeCell ref="AF240:AF241"/>
    <mergeCell ref="AF242:AF243"/>
    <mergeCell ref="AF244:AF245"/>
    <mergeCell ref="AF246:AF247"/>
    <mergeCell ref="AF248:AF249"/>
    <mergeCell ref="AF230:AF231"/>
    <mergeCell ref="AF232:AF233"/>
    <mergeCell ref="AF234:AF235"/>
    <mergeCell ref="AF236:AF237"/>
    <mergeCell ref="AF238:AF239"/>
    <mergeCell ref="AF220:AF221"/>
    <mergeCell ref="AF222:AF223"/>
    <mergeCell ref="AF224:AF225"/>
    <mergeCell ref="AF226:AF227"/>
    <mergeCell ref="AF228:AF229"/>
    <mergeCell ref="AF210:AF211"/>
    <mergeCell ref="AF212:AF213"/>
    <mergeCell ref="AF214:AF215"/>
    <mergeCell ref="AF216:AF217"/>
    <mergeCell ref="AF218:AF219"/>
    <mergeCell ref="AF200:AF201"/>
    <mergeCell ref="AF202:AF203"/>
    <mergeCell ref="AF204:AF205"/>
    <mergeCell ref="AF206:AF207"/>
    <mergeCell ref="AF208:AF209"/>
    <mergeCell ref="AF190:AF191"/>
    <mergeCell ref="AF192:AF193"/>
    <mergeCell ref="AF194:AF195"/>
    <mergeCell ref="AF196:AF197"/>
    <mergeCell ref="AF198:AF199"/>
    <mergeCell ref="AF180:AF181"/>
    <mergeCell ref="AF182:AF183"/>
    <mergeCell ref="AF184:AF185"/>
    <mergeCell ref="AF186:AF187"/>
    <mergeCell ref="AF188:AF189"/>
    <mergeCell ref="AF170:AF171"/>
    <mergeCell ref="AF172:AF173"/>
    <mergeCell ref="AF174:AF175"/>
    <mergeCell ref="AF176:AF177"/>
    <mergeCell ref="AF178:AF179"/>
    <mergeCell ref="AF160:AF161"/>
    <mergeCell ref="AF162:AF163"/>
    <mergeCell ref="AF164:AF165"/>
    <mergeCell ref="AF166:AF167"/>
    <mergeCell ref="AF168:AF169"/>
    <mergeCell ref="AF150:AF151"/>
    <mergeCell ref="AF152:AF153"/>
    <mergeCell ref="AF154:AF155"/>
    <mergeCell ref="AF156:AF157"/>
    <mergeCell ref="AF158:AF159"/>
    <mergeCell ref="AF140:AF141"/>
    <mergeCell ref="AF142:AF143"/>
    <mergeCell ref="AF144:AF145"/>
    <mergeCell ref="AF146:AF147"/>
    <mergeCell ref="AF148:AF149"/>
    <mergeCell ref="AF130:AF131"/>
    <mergeCell ref="AF132:AF133"/>
    <mergeCell ref="AF134:AF135"/>
    <mergeCell ref="AF136:AF137"/>
    <mergeCell ref="AF138:AF139"/>
    <mergeCell ref="AF120:AF121"/>
    <mergeCell ref="AF122:AF123"/>
    <mergeCell ref="AF124:AF125"/>
    <mergeCell ref="AF126:AF127"/>
    <mergeCell ref="AF128:AF129"/>
    <mergeCell ref="AF110:AF111"/>
    <mergeCell ref="AF112:AF113"/>
    <mergeCell ref="AF114:AF115"/>
    <mergeCell ref="AF116:AF117"/>
    <mergeCell ref="AF118:AF119"/>
    <mergeCell ref="AF100:AF101"/>
    <mergeCell ref="AF102:AF103"/>
    <mergeCell ref="AF104:AF105"/>
    <mergeCell ref="AF106:AF107"/>
    <mergeCell ref="AF108:AF109"/>
    <mergeCell ref="AF90:AF91"/>
    <mergeCell ref="AF92:AF93"/>
    <mergeCell ref="AF94:AF95"/>
    <mergeCell ref="AF96:AF97"/>
    <mergeCell ref="AF98:AF99"/>
    <mergeCell ref="AF80:AF81"/>
    <mergeCell ref="AF82:AF83"/>
    <mergeCell ref="AF84:AF85"/>
    <mergeCell ref="AF86:AF87"/>
    <mergeCell ref="AF88:AF89"/>
    <mergeCell ref="AF70:AF71"/>
    <mergeCell ref="AF72:AF73"/>
    <mergeCell ref="AF74:AF75"/>
    <mergeCell ref="AF76:AF77"/>
    <mergeCell ref="AF78:AF79"/>
    <mergeCell ref="AF60:AF61"/>
    <mergeCell ref="AF62:AF63"/>
    <mergeCell ref="AF64:AF65"/>
    <mergeCell ref="AF66:AF67"/>
    <mergeCell ref="AF68:AF69"/>
    <mergeCell ref="AF50:AF51"/>
    <mergeCell ref="AF52:AF53"/>
    <mergeCell ref="AF54:AF55"/>
    <mergeCell ref="AF56:AF57"/>
    <mergeCell ref="AF58:AF59"/>
    <mergeCell ref="AF40:AF41"/>
    <mergeCell ref="AF42:AF43"/>
    <mergeCell ref="AF44:AF45"/>
    <mergeCell ref="AF46:AF47"/>
    <mergeCell ref="AF48:AF49"/>
    <mergeCell ref="AF30:AF31"/>
    <mergeCell ref="AF32:AF33"/>
    <mergeCell ref="AF34:AF35"/>
    <mergeCell ref="AF36:AF37"/>
    <mergeCell ref="AF38:AF39"/>
    <mergeCell ref="AL475:AL480"/>
    <mergeCell ref="AN475:AN480"/>
    <mergeCell ref="AP475:AP480"/>
    <mergeCell ref="AF4:AF5"/>
    <mergeCell ref="AF6:AF7"/>
    <mergeCell ref="AF8:AF9"/>
    <mergeCell ref="AF10:AF11"/>
    <mergeCell ref="AF12:AF13"/>
    <mergeCell ref="AF14:AF15"/>
    <mergeCell ref="AF16:AF17"/>
    <mergeCell ref="AF18:AF19"/>
    <mergeCell ref="AF20:AF21"/>
    <mergeCell ref="AF22:AF23"/>
    <mergeCell ref="AF24:AF25"/>
    <mergeCell ref="AF26:AF27"/>
    <mergeCell ref="AF28:AF29"/>
    <mergeCell ref="AL457:AL462"/>
    <mergeCell ref="AN457:AN462"/>
    <mergeCell ref="AP457:AP462"/>
    <mergeCell ref="AL466:AL471"/>
    <mergeCell ref="AN466:AN471"/>
    <mergeCell ref="AP466:AP471"/>
    <mergeCell ref="AL439:AL444"/>
    <mergeCell ref="AN439:AN444"/>
    <mergeCell ref="AP439:AP444"/>
    <mergeCell ref="AL448:AL453"/>
    <mergeCell ref="AN448:AN453"/>
    <mergeCell ref="AP448:AP453"/>
    <mergeCell ref="AL412:AL417"/>
    <mergeCell ref="AN412:AN417"/>
    <mergeCell ref="AP412:AP417"/>
    <mergeCell ref="AH421:AJ426"/>
    <mergeCell ref="AH430:AJ435"/>
    <mergeCell ref="AL421:AL426"/>
    <mergeCell ref="AN421:AN426"/>
    <mergeCell ref="AP421:AP426"/>
    <mergeCell ref="AL430:AL435"/>
    <mergeCell ref="AN430:AN435"/>
    <mergeCell ref="AP430:AP435"/>
    <mergeCell ref="AD472:AD480"/>
    <mergeCell ref="AF472:AF474"/>
    <mergeCell ref="AF475:AF477"/>
    <mergeCell ref="AF478:AF480"/>
    <mergeCell ref="AH412:AJ417"/>
    <mergeCell ref="AH439:AJ444"/>
    <mergeCell ref="AH448:AJ453"/>
    <mergeCell ref="AH457:AJ462"/>
    <mergeCell ref="AH466:AJ471"/>
    <mergeCell ref="AH475:AJ480"/>
    <mergeCell ref="AD454:AD462"/>
    <mergeCell ref="AF454:AF456"/>
    <mergeCell ref="AF457:AF459"/>
    <mergeCell ref="AF460:AF462"/>
    <mergeCell ref="AD463:AD471"/>
    <mergeCell ref="AF463:AF465"/>
    <mergeCell ref="AF466:AF468"/>
    <mergeCell ref="AF469:AF471"/>
    <mergeCell ref="AD436:AD444"/>
    <mergeCell ref="AF436:AF438"/>
    <mergeCell ref="AF439:AF441"/>
    <mergeCell ref="AF442:AF444"/>
    <mergeCell ref="AD445:AD453"/>
    <mergeCell ref="AF445:AF447"/>
    <mergeCell ref="AF448:AF450"/>
    <mergeCell ref="AF451:AF453"/>
    <mergeCell ref="AD427:AD435"/>
    <mergeCell ref="AF427:AF429"/>
    <mergeCell ref="AF430:AF432"/>
    <mergeCell ref="AF433:AF435"/>
    <mergeCell ref="AF421:AF423"/>
    <mergeCell ref="AF424:AF426"/>
    <mergeCell ref="AD409:AD417"/>
    <mergeCell ref="AD418:AD426"/>
    <mergeCell ref="AF418:AF420"/>
    <mergeCell ref="AG407:AJ407"/>
    <mergeCell ref="AK407:AL407"/>
    <mergeCell ref="AM407:AN407"/>
    <mergeCell ref="AO407:AP407"/>
    <mergeCell ref="O407:P407"/>
    <mergeCell ref="Z407:AA407"/>
    <mergeCell ref="AF409:AF411"/>
    <mergeCell ref="AF412:AF414"/>
    <mergeCell ref="AF415:AF417"/>
    <mergeCell ref="AF408:AG408"/>
    <mergeCell ref="AN394:AN399"/>
    <mergeCell ref="AN400:AN405"/>
    <mergeCell ref="AM2:AN2"/>
    <mergeCell ref="AO2:AP2"/>
    <mergeCell ref="AN364:AN369"/>
    <mergeCell ref="AN370:AN375"/>
    <mergeCell ref="AN376:AN381"/>
    <mergeCell ref="AN382:AN387"/>
    <mergeCell ref="AN388:AN393"/>
    <mergeCell ref="AN334:AN339"/>
    <mergeCell ref="AN340:AN345"/>
    <mergeCell ref="AN346:AN351"/>
    <mergeCell ref="AN352:AN357"/>
    <mergeCell ref="AN358:AN363"/>
    <mergeCell ref="AN304:AN309"/>
    <mergeCell ref="AN310:AN315"/>
    <mergeCell ref="AN316:AN321"/>
    <mergeCell ref="AN322:AN327"/>
    <mergeCell ref="AN328:AN333"/>
    <mergeCell ref="AN274:AN279"/>
    <mergeCell ref="AN280:AN285"/>
    <mergeCell ref="AN286:AN291"/>
    <mergeCell ref="AN292:AN297"/>
    <mergeCell ref="AN298:AN303"/>
    <mergeCell ref="AN244:AN249"/>
    <mergeCell ref="AN250:AN255"/>
    <mergeCell ref="AN256:AN261"/>
    <mergeCell ref="AN262:AN267"/>
    <mergeCell ref="AN268:AN273"/>
    <mergeCell ref="AN214:AN219"/>
    <mergeCell ref="AN220:AN225"/>
    <mergeCell ref="AN226:AN231"/>
    <mergeCell ref="AN232:AN237"/>
    <mergeCell ref="AN238:AN243"/>
    <mergeCell ref="AN184:AN189"/>
    <mergeCell ref="AN190:AN195"/>
    <mergeCell ref="AN196:AN201"/>
    <mergeCell ref="AN202:AN207"/>
    <mergeCell ref="AN208:AN213"/>
    <mergeCell ref="AN154:AN159"/>
    <mergeCell ref="AN160:AN165"/>
    <mergeCell ref="AN166:AN171"/>
    <mergeCell ref="AN172:AN177"/>
    <mergeCell ref="AN178:AN183"/>
    <mergeCell ref="AN124:AN129"/>
    <mergeCell ref="AN130:AN135"/>
    <mergeCell ref="AN136:AN141"/>
    <mergeCell ref="AN142:AN147"/>
    <mergeCell ref="AN148:AN153"/>
    <mergeCell ref="AN94:AN99"/>
    <mergeCell ref="AN100:AN105"/>
    <mergeCell ref="AN106:AN111"/>
    <mergeCell ref="AN112:AN117"/>
    <mergeCell ref="AN118:AN123"/>
    <mergeCell ref="AM404:AM405"/>
    <mergeCell ref="AN4:AN9"/>
    <mergeCell ref="AN10:AN15"/>
    <mergeCell ref="AN16:AN21"/>
    <mergeCell ref="AN22:AN27"/>
    <mergeCell ref="AN28:AN33"/>
    <mergeCell ref="AN34:AN39"/>
    <mergeCell ref="AN40:AN45"/>
    <mergeCell ref="AN46:AN51"/>
    <mergeCell ref="AN52:AN57"/>
    <mergeCell ref="AN58:AN63"/>
    <mergeCell ref="AN64:AN69"/>
    <mergeCell ref="AN70:AN75"/>
    <mergeCell ref="AN76:AN81"/>
    <mergeCell ref="AN82:AN87"/>
    <mergeCell ref="AN88:AN93"/>
    <mergeCell ref="AM394:AM395"/>
    <mergeCell ref="AM396:AM397"/>
    <mergeCell ref="AM398:AM399"/>
    <mergeCell ref="AM400:AM401"/>
    <mergeCell ref="AM402:AM403"/>
    <mergeCell ref="AM384:AM385"/>
    <mergeCell ref="AM386:AM387"/>
    <mergeCell ref="AM388:AM389"/>
    <mergeCell ref="AM390:AM391"/>
    <mergeCell ref="AM392:AM393"/>
    <mergeCell ref="AM374:AM375"/>
    <mergeCell ref="AM376:AM377"/>
    <mergeCell ref="AM378:AM379"/>
    <mergeCell ref="AM380:AM381"/>
    <mergeCell ref="AM382:AM383"/>
    <mergeCell ref="AM364:AM365"/>
    <mergeCell ref="AM366:AM367"/>
    <mergeCell ref="AM368:AM369"/>
    <mergeCell ref="AM370:AM371"/>
    <mergeCell ref="AM372:AM373"/>
    <mergeCell ref="AM354:AM355"/>
    <mergeCell ref="AM356:AM357"/>
    <mergeCell ref="AM358:AM359"/>
    <mergeCell ref="AM360:AM361"/>
    <mergeCell ref="AM362:AM363"/>
    <mergeCell ref="AM344:AM345"/>
    <mergeCell ref="AM346:AM347"/>
    <mergeCell ref="AM348:AM349"/>
    <mergeCell ref="AM350:AM351"/>
    <mergeCell ref="AM352:AM353"/>
    <mergeCell ref="AM334:AM335"/>
    <mergeCell ref="AM336:AM337"/>
    <mergeCell ref="AM338:AM339"/>
    <mergeCell ref="AM340:AM341"/>
    <mergeCell ref="AM342:AM343"/>
    <mergeCell ref="AM324:AM325"/>
    <mergeCell ref="AM326:AM327"/>
    <mergeCell ref="AM328:AM329"/>
    <mergeCell ref="AM330:AM331"/>
    <mergeCell ref="AM332:AM333"/>
    <mergeCell ref="AM314:AM315"/>
    <mergeCell ref="AM316:AM317"/>
    <mergeCell ref="AM318:AM319"/>
    <mergeCell ref="AM320:AM321"/>
    <mergeCell ref="AM322:AM323"/>
    <mergeCell ref="AM304:AM305"/>
    <mergeCell ref="AM306:AM307"/>
    <mergeCell ref="AM308:AM309"/>
    <mergeCell ref="AM310:AM311"/>
    <mergeCell ref="AM312:AM313"/>
    <mergeCell ref="AM294:AM295"/>
    <mergeCell ref="AM296:AM297"/>
    <mergeCell ref="AM298:AM299"/>
    <mergeCell ref="AM300:AM301"/>
    <mergeCell ref="AM302:AM303"/>
    <mergeCell ref="AM284:AM285"/>
    <mergeCell ref="AM286:AM287"/>
    <mergeCell ref="AM288:AM289"/>
    <mergeCell ref="AM290:AM291"/>
    <mergeCell ref="AM292:AM293"/>
    <mergeCell ref="AM274:AM275"/>
    <mergeCell ref="AM276:AM277"/>
    <mergeCell ref="AM278:AM279"/>
    <mergeCell ref="AM280:AM281"/>
    <mergeCell ref="AM282:AM283"/>
    <mergeCell ref="AM264:AM265"/>
    <mergeCell ref="AM266:AM267"/>
    <mergeCell ref="AM268:AM269"/>
    <mergeCell ref="AM270:AM271"/>
    <mergeCell ref="AM272:AM273"/>
    <mergeCell ref="AM254:AM255"/>
    <mergeCell ref="AM256:AM257"/>
    <mergeCell ref="AM258:AM259"/>
    <mergeCell ref="AM260:AM261"/>
    <mergeCell ref="AM262:AM263"/>
    <mergeCell ref="AM244:AM245"/>
    <mergeCell ref="AM246:AM247"/>
    <mergeCell ref="AM248:AM249"/>
    <mergeCell ref="AM250:AM251"/>
    <mergeCell ref="AM252:AM253"/>
    <mergeCell ref="AM234:AM235"/>
    <mergeCell ref="AM236:AM237"/>
    <mergeCell ref="AM238:AM239"/>
    <mergeCell ref="AM240:AM241"/>
    <mergeCell ref="AM242:AM243"/>
    <mergeCell ref="AM224:AM225"/>
    <mergeCell ref="AM226:AM227"/>
    <mergeCell ref="AM228:AM229"/>
    <mergeCell ref="AM230:AM231"/>
    <mergeCell ref="AM232:AM233"/>
    <mergeCell ref="AM214:AM215"/>
    <mergeCell ref="AM216:AM217"/>
    <mergeCell ref="AM218:AM219"/>
    <mergeCell ref="AM220:AM221"/>
    <mergeCell ref="AM222:AM223"/>
    <mergeCell ref="AM204:AM205"/>
    <mergeCell ref="AM206:AM207"/>
    <mergeCell ref="AM208:AM209"/>
    <mergeCell ref="AM210:AM211"/>
    <mergeCell ref="AM212:AM213"/>
    <mergeCell ref="AM194:AM195"/>
    <mergeCell ref="AM196:AM197"/>
    <mergeCell ref="AM198:AM199"/>
    <mergeCell ref="AM200:AM201"/>
    <mergeCell ref="AM202:AM203"/>
    <mergeCell ref="AM184:AM185"/>
    <mergeCell ref="AM186:AM187"/>
    <mergeCell ref="AM188:AM189"/>
    <mergeCell ref="AM190:AM191"/>
    <mergeCell ref="AM192:AM193"/>
    <mergeCell ref="AM174:AM175"/>
    <mergeCell ref="AM176:AM177"/>
    <mergeCell ref="AM178:AM179"/>
    <mergeCell ref="AM180:AM181"/>
    <mergeCell ref="AM182:AM183"/>
    <mergeCell ref="AM164:AM165"/>
    <mergeCell ref="AM166:AM167"/>
    <mergeCell ref="AM168:AM169"/>
    <mergeCell ref="AM170:AM171"/>
    <mergeCell ref="AM172:AM173"/>
    <mergeCell ref="AM154:AM155"/>
    <mergeCell ref="AM156:AM157"/>
    <mergeCell ref="AM158:AM159"/>
    <mergeCell ref="AM160:AM161"/>
    <mergeCell ref="AM162:AM163"/>
    <mergeCell ref="AM144:AM145"/>
    <mergeCell ref="AM146:AM147"/>
    <mergeCell ref="AM148:AM149"/>
    <mergeCell ref="AM150:AM151"/>
    <mergeCell ref="AM152:AM153"/>
    <mergeCell ref="AM134:AM135"/>
    <mergeCell ref="AM136:AM137"/>
    <mergeCell ref="AM138:AM139"/>
    <mergeCell ref="AM140:AM141"/>
    <mergeCell ref="AM142:AM143"/>
    <mergeCell ref="AM124:AM125"/>
    <mergeCell ref="AM126:AM127"/>
    <mergeCell ref="AM128:AM129"/>
    <mergeCell ref="AM130:AM131"/>
    <mergeCell ref="AM132:AM133"/>
    <mergeCell ref="AM114:AM115"/>
    <mergeCell ref="AM116:AM117"/>
    <mergeCell ref="AM118:AM119"/>
    <mergeCell ref="AM120:AM121"/>
    <mergeCell ref="AM122:AM123"/>
    <mergeCell ref="AM104:AM105"/>
    <mergeCell ref="AM106:AM107"/>
    <mergeCell ref="AM108:AM109"/>
    <mergeCell ref="AM110:AM111"/>
    <mergeCell ref="AM112:AM113"/>
    <mergeCell ref="AM94:AM95"/>
    <mergeCell ref="AM96:AM97"/>
    <mergeCell ref="AM98:AM99"/>
    <mergeCell ref="AM100:AM101"/>
    <mergeCell ref="AM102:AM103"/>
    <mergeCell ref="AM84:AM85"/>
    <mergeCell ref="AM86:AM87"/>
    <mergeCell ref="AM88:AM89"/>
    <mergeCell ref="AM90:AM91"/>
    <mergeCell ref="AM92:AM93"/>
    <mergeCell ref="AM74:AM75"/>
    <mergeCell ref="AM76:AM77"/>
    <mergeCell ref="AM78:AM79"/>
    <mergeCell ref="AM80:AM81"/>
    <mergeCell ref="AM82:AM83"/>
    <mergeCell ref="AM64:AM65"/>
    <mergeCell ref="AM66:AM67"/>
    <mergeCell ref="AM68:AM69"/>
    <mergeCell ref="AM70:AM71"/>
    <mergeCell ref="AM72:AM73"/>
    <mergeCell ref="AM54:AM55"/>
    <mergeCell ref="AM56:AM57"/>
    <mergeCell ref="AM58:AM59"/>
    <mergeCell ref="AM60:AM61"/>
    <mergeCell ref="AM62:AM63"/>
    <mergeCell ref="AM44:AM45"/>
    <mergeCell ref="AM46:AM47"/>
    <mergeCell ref="AM48:AM49"/>
    <mergeCell ref="AM50:AM51"/>
    <mergeCell ref="AM52:AM53"/>
    <mergeCell ref="AM34:AM35"/>
    <mergeCell ref="AM36:AM37"/>
    <mergeCell ref="AM38:AM39"/>
    <mergeCell ref="AM40:AM41"/>
    <mergeCell ref="AM42:AM43"/>
    <mergeCell ref="AO404:AO405"/>
    <mergeCell ref="AM4:AM5"/>
    <mergeCell ref="AM6:AM7"/>
    <mergeCell ref="AM8:AM9"/>
    <mergeCell ref="AM10:AM11"/>
    <mergeCell ref="AM12:AM13"/>
    <mergeCell ref="AM14:AM15"/>
    <mergeCell ref="AM16:AM17"/>
    <mergeCell ref="AM18:AM19"/>
    <mergeCell ref="AM20:AM21"/>
    <mergeCell ref="AM22:AM23"/>
    <mergeCell ref="AM24:AM25"/>
    <mergeCell ref="AM26:AM27"/>
    <mergeCell ref="AM28:AM29"/>
    <mergeCell ref="AM30:AM31"/>
    <mergeCell ref="AM32:AM33"/>
    <mergeCell ref="AO394:AO395"/>
    <mergeCell ref="AO396:AO397"/>
    <mergeCell ref="AO398:AO399"/>
    <mergeCell ref="AO400:AO401"/>
    <mergeCell ref="AO402:AO403"/>
    <mergeCell ref="AO384:AO385"/>
    <mergeCell ref="AO386:AO387"/>
    <mergeCell ref="AO388:AO389"/>
    <mergeCell ref="AO390:AO391"/>
    <mergeCell ref="AO392:AO393"/>
    <mergeCell ref="AO374:AO375"/>
    <mergeCell ref="AO376:AO377"/>
    <mergeCell ref="AO378:AO379"/>
    <mergeCell ref="AO380:AO381"/>
    <mergeCell ref="AO382:AO383"/>
    <mergeCell ref="AO364:AO365"/>
    <mergeCell ref="AO366:AO367"/>
    <mergeCell ref="AO368:AO369"/>
    <mergeCell ref="AO370:AO371"/>
    <mergeCell ref="AO372:AO373"/>
    <mergeCell ref="AO354:AO355"/>
    <mergeCell ref="AO356:AO357"/>
    <mergeCell ref="AO358:AO359"/>
    <mergeCell ref="AO360:AO361"/>
    <mergeCell ref="AO362:AO363"/>
    <mergeCell ref="AO344:AO345"/>
    <mergeCell ref="AO346:AO347"/>
    <mergeCell ref="AO348:AO349"/>
    <mergeCell ref="AO350:AO351"/>
    <mergeCell ref="AO352:AO353"/>
    <mergeCell ref="AO334:AO335"/>
    <mergeCell ref="AO336:AO337"/>
    <mergeCell ref="AO338:AO339"/>
    <mergeCell ref="AO340:AO341"/>
    <mergeCell ref="AO342:AO343"/>
    <mergeCell ref="AO324:AO325"/>
    <mergeCell ref="AO326:AO327"/>
    <mergeCell ref="AO328:AO329"/>
    <mergeCell ref="AO330:AO331"/>
    <mergeCell ref="AO332:AO333"/>
    <mergeCell ref="AO314:AO315"/>
    <mergeCell ref="AO316:AO317"/>
    <mergeCell ref="AO318:AO319"/>
    <mergeCell ref="AO320:AO321"/>
    <mergeCell ref="AO322:AO323"/>
    <mergeCell ref="AO304:AO305"/>
    <mergeCell ref="AO306:AO307"/>
    <mergeCell ref="AO308:AO309"/>
    <mergeCell ref="AO310:AO311"/>
    <mergeCell ref="AO312:AO313"/>
    <mergeCell ref="AO294:AO295"/>
    <mergeCell ref="AO296:AO297"/>
    <mergeCell ref="AO298:AO299"/>
    <mergeCell ref="AO300:AO301"/>
    <mergeCell ref="AO302:AO303"/>
    <mergeCell ref="AO284:AO285"/>
    <mergeCell ref="AO286:AO287"/>
    <mergeCell ref="AO288:AO289"/>
    <mergeCell ref="AO290:AO291"/>
    <mergeCell ref="AO292:AO293"/>
    <mergeCell ref="AO274:AO275"/>
    <mergeCell ref="AO276:AO277"/>
    <mergeCell ref="AO278:AO279"/>
    <mergeCell ref="AO280:AO281"/>
    <mergeCell ref="AO282:AO283"/>
    <mergeCell ref="AO264:AO265"/>
    <mergeCell ref="AO266:AO267"/>
    <mergeCell ref="AO268:AO269"/>
    <mergeCell ref="AO270:AO271"/>
    <mergeCell ref="AO272:AO273"/>
    <mergeCell ref="AO254:AO255"/>
    <mergeCell ref="AO256:AO257"/>
    <mergeCell ref="AO258:AO259"/>
    <mergeCell ref="AO260:AO261"/>
    <mergeCell ref="AO262:AO263"/>
    <mergeCell ref="AO244:AO245"/>
    <mergeCell ref="AO246:AO247"/>
    <mergeCell ref="AO248:AO249"/>
    <mergeCell ref="AO250:AO251"/>
    <mergeCell ref="AO252:AO253"/>
    <mergeCell ref="AO234:AO235"/>
    <mergeCell ref="AO236:AO237"/>
    <mergeCell ref="AO238:AO239"/>
    <mergeCell ref="AO240:AO241"/>
    <mergeCell ref="AO242:AO243"/>
    <mergeCell ref="AO224:AO225"/>
    <mergeCell ref="AO226:AO227"/>
    <mergeCell ref="AO228:AO229"/>
    <mergeCell ref="AO230:AO231"/>
    <mergeCell ref="AO232:AO233"/>
    <mergeCell ref="AO214:AO215"/>
    <mergeCell ref="AO216:AO217"/>
    <mergeCell ref="AO218:AO219"/>
    <mergeCell ref="AO220:AO221"/>
    <mergeCell ref="AO222:AO223"/>
    <mergeCell ref="AO204:AO205"/>
    <mergeCell ref="AO206:AO207"/>
    <mergeCell ref="AO208:AO209"/>
    <mergeCell ref="AO210:AO211"/>
    <mergeCell ref="AO212:AO213"/>
    <mergeCell ref="AO194:AO195"/>
    <mergeCell ref="AO196:AO197"/>
    <mergeCell ref="AO198:AO199"/>
    <mergeCell ref="AO200:AO201"/>
    <mergeCell ref="AO202:AO203"/>
    <mergeCell ref="AO184:AO185"/>
    <mergeCell ref="AO186:AO187"/>
    <mergeCell ref="AO188:AO189"/>
    <mergeCell ref="AO190:AO191"/>
    <mergeCell ref="AO192:AO193"/>
    <mergeCell ref="AO174:AO175"/>
    <mergeCell ref="AO176:AO177"/>
    <mergeCell ref="AO178:AO179"/>
    <mergeCell ref="AO180:AO181"/>
    <mergeCell ref="AO182:AO183"/>
    <mergeCell ref="AO164:AO165"/>
    <mergeCell ref="AO166:AO167"/>
    <mergeCell ref="AO168:AO169"/>
    <mergeCell ref="AO170:AO171"/>
    <mergeCell ref="AO172:AO173"/>
    <mergeCell ref="AO154:AO155"/>
    <mergeCell ref="AO156:AO157"/>
    <mergeCell ref="AO158:AO159"/>
    <mergeCell ref="AO160:AO161"/>
    <mergeCell ref="AO162:AO163"/>
    <mergeCell ref="AO144:AO145"/>
    <mergeCell ref="AO146:AO147"/>
    <mergeCell ref="AO148:AO149"/>
    <mergeCell ref="AO150:AO151"/>
    <mergeCell ref="AO152:AO153"/>
    <mergeCell ref="AO134:AO135"/>
    <mergeCell ref="AO136:AO137"/>
    <mergeCell ref="AO138:AO139"/>
    <mergeCell ref="AO140:AO141"/>
    <mergeCell ref="AO142:AO143"/>
    <mergeCell ref="AO124:AO125"/>
    <mergeCell ref="AO126:AO127"/>
    <mergeCell ref="AO128:AO129"/>
    <mergeCell ref="AO130:AO131"/>
    <mergeCell ref="AO132:AO133"/>
    <mergeCell ref="AO114:AO115"/>
    <mergeCell ref="AO116:AO117"/>
    <mergeCell ref="AO118:AO119"/>
    <mergeCell ref="AO120:AO121"/>
    <mergeCell ref="AO122:AO123"/>
    <mergeCell ref="AO104:AO105"/>
    <mergeCell ref="AO106:AO107"/>
    <mergeCell ref="AO108:AO109"/>
    <mergeCell ref="AO110:AO111"/>
    <mergeCell ref="AO112:AO113"/>
    <mergeCell ref="AO94:AO95"/>
    <mergeCell ref="AO96:AO97"/>
    <mergeCell ref="AO98:AO99"/>
    <mergeCell ref="AO100:AO101"/>
    <mergeCell ref="AO102:AO103"/>
    <mergeCell ref="AO84:AO85"/>
    <mergeCell ref="AO86:AO87"/>
    <mergeCell ref="AO88:AO89"/>
    <mergeCell ref="AO90:AO91"/>
    <mergeCell ref="AO92:AO93"/>
    <mergeCell ref="AO74:AO75"/>
    <mergeCell ref="AO76:AO77"/>
    <mergeCell ref="AO78:AO79"/>
    <mergeCell ref="AO80:AO81"/>
    <mergeCell ref="AO82:AO83"/>
    <mergeCell ref="AO64:AO65"/>
    <mergeCell ref="AO66:AO67"/>
    <mergeCell ref="AO68:AO69"/>
    <mergeCell ref="AO70:AO71"/>
    <mergeCell ref="AO72:AO73"/>
    <mergeCell ref="AO54:AO55"/>
    <mergeCell ref="AO56:AO57"/>
    <mergeCell ref="AO58:AO59"/>
    <mergeCell ref="AO60:AO61"/>
    <mergeCell ref="AO62:AO63"/>
    <mergeCell ref="AO44:AO45"/>
    <mergeCell ref="AO46:AO47"/>
    <mergeCell ref="AO48:AO49"/>
    <mergeCell ref="AO50:AO51"/>
    <mergeCell ref="AO52:AO53"/>
    <mergeCell ref="AO34:AO35"/>
    <mergeCell ref="AO36:AO37"/>
    <mergeCell ref="AO38:AO39"/>
    <mergeCell ref="AO40:AO41"/>
    <mergeCell ref="AO42:AO43"/>
    <mergeCell ref="AO24:AO25"/>
    <mergeCell ref="AO26:AO27"/>
    <mergeCell ref="AO28:AO29"/>
    <mergeCell ref="AO30:AO31"/>
    <mergeCell ref="AO32:AO33"/>
    <mergeCell ref="AO14:AO15"/>
    <mergeCell ref="AO16:AO17"/>
    <mergeCell ref="AO18:AO19"/>
    <mergeCell ref="AO20:AO21"/>
    <mergeCell ref="AO22:AO23"/>
    <mergeCell ref="AO4:AO5"/>
    <mergeCell ref="AO6:AO7"/>
    <mergeCell ref="AO8:AO9"/>
    <mergeCell ref="AO10:AO11"/>
    <mergeCell ref="AO12:AO13"/>
    <mergeCell ref="AK400:AK401"/>
    <mergeCell ref="AL400:AL405"/>
    <mergeCell ref="AK402:AK403"/>
    <mergeCell ref="AK404:AK405"/>
    <mergeCell ref="AK2:AL2"/>
    <mergeCell ref="AK388:AK389"/>
    <mergeCell ref="AL388:AL393"/>
    <mergeCell ref="AK390:AK391"/>
    <mergeCell ref="AK392:AK393"/>
    <mergeCell ref="AK394:AK395"/>
    <mergeCell ref="AL394:AL399"/>
    <mergeCell ref="AK396:AK397"/>
    <mergeCell ref="AK398:AK399"/>
    <mergeCell ref="AK376:AK377"/>
    <mergeCell ref="AL376:AL381"/>
    <mergeCell ref="AK378:AK379"/>
    <mergeCell ref="AK380:AK381"/>
    <mergeCell ref="AK382:AK383"/>
    <mergeCell ref="AL382:AL387"/>
    <mergeCell ref="AK384:AK385"/>
    <mergeCell ref="AK386:AK387"/>
    <mergeCell ref="AK364:AK365"/>
    <mergeCell ref="AL364:AL369"/>
    <mergeCell ref="AK366:AK367"/>
    <mergeCell ref="AK368:AK369"/>
    <mergeCell ref="AK370:AK371"/>
    <mergeCell ref="AL370:AL375"/>
    <mergeCell ref="AK372:AK373"/>
    <mergeCell ref="AK374:AK375"/>
    <mergeCell ref="AK352:AK353"/>
    <mergeCell ref="AL352:AL357"/>
    <mergeCell ref="AK354:AK355"/>
    <mergeCell ref="AK356:AK357"/>
    <mergeCell ref="AK358:AK359"/>
    <mergeCell ref="AL358:AL363"/>
    <mergeCell ref="AK360:AK361"/>
    <mergeCell ref="AK362:AK363"/>
    <mergeCell ref="AK340:AK341"/>
    <mergeCell ref="AL340:AL345"/>
    <mergeCell ref="AK342:AK343"/>
    <mergeCell ref="AK344:AK345"/>
    <mergeCell ref="AK346:AK347"/>
    <mergeCell ref="AL346:AL351"/>
    <mergeCell ref="AK348:AK349"/>
    <mergeCell ref="AK350:AK351"/>
    <mergeCell ref="AK328:AK329"/>
    <mergeCell ref="AL328:AL333"/>
    <mergeCell ref="AK330:AK331"/>
    <mergeCell ref="AK332:AK333"/>
    <mergeCell ref="AK334:AK335"/>
    <mergeCell ref="AL334:AL339"/>
    <mergeCell ref="AK336:AK337"/>
    <mergeCell ref="AK338:AK339"/>
    <mergeCell ref="AK316:AK317"/>
    <mergeCell ref="AL316:AL321"/>
    <mergeCell ref="AK318:AK319"/>
    <mergeCell ref="AK320:AK321"/>
    <mergeCell ref="AK322:AK323"/>
    <mergeCell ref="AL322:AL327"/>
    <mergeCell ref="AK324:AK325"/>
    <mergeCell ref="AK326:AK327"/>
    <mergeCell ref="AK304:AK305"/>
    <mergeCell ref="AL304:AL309"/>
    <mergeCell ref="AK306:AK307"/>
    <mergeCell ref="AK308:AK309"/>
    <mergeCell ref="AK310:AK311"/>
    <mergeCell ref="AL310:AL315"/>
    <mergeCell ref="AK312:AK313"/>
    <mergeCell ref="AK314:AK315"/>
    <mergeCell ref="AK292:AK293"/>
    <mergeCell ref="AL292:AL297"/>
    <mergeCell ref="AK294:AK295"/>
    <mergeCell ref="AK296:AK297"/>
    <mergeCell ref="AK298:AK299"/>
    <mergeCell ref="AL298:AL303"/>
    <mergeCell ref="AK300:AK301"/>
    <mergeCell ref="AK302:AK303"/>
    <mergeCell ref="AK280:AK281"/>
    <mergeCell ref="AL280:AL285"/>
    <mergeCell ref="AK282:AK283"/>
    <mergeCell ref="AK284:AK285"/>
    <mergeCell ref="AK286:AK287"/>
    <mergeCell ref="AL286:AL291"/>
    <mergeCell ref="AK288:AK289"/>
    <mergeCell ref="AK290:AK291"/>
    <mergeCell ref="AK268:AK269"/>
    <mergeCell ref="AL268:AL273"/>
    <mergeCell ref="AK270:AK271"/>
    <mergeCell ref="AK272:AK273"/>
    <mergeCell ref="AK274:AK275"/>
    <mergeCell ref="AL274:AL279"/>
    <mergeCell ref="AK276:AK277"/>
    <mergeCell ref="AK278:AK279"/>
    <mergeCell ref="AK256:AK257"/>
    <mergeCell ref="AL256:AL261"/>
    <mergeCell ref="AK258:AK259"/>
    <mergeCell ref="AK260:AK261"/>
    <mergeCell ref="AK262:AK263"/>
    <mergeCell ref="AL262:AL267"/>
    <mergeCell ref="AK264:AK265"/>
    <mergeCell ref="AK266:AK267"/>
    <mergeCell ref="AK244:AK245"/>
    <mergeCell ref="AL244:AL249"/>
    <mergeCell ref="AK246:AK247"/>
    <mergeCell ref="AK248:AK249"/>
    <mergeCell ref="AK250:AK251"/>
    <mergeCell ref="AL250:AL255"/>
    <mergeCell ref="AK252:AK253"/>
    <mergeCell ref="AK254:AK255"/>
    <mergeCell ref="AK232:AK233"/>
    <mergeCell ref="AL232:AL237"/>
    <mergeCell ref="AK234:AK235"/>
    <mergeCell ref="AK236:AK237"/>
    <mergeCell ref="AK238:AK239"/>
    <mergeCell ref="AL238:AL243"/>
    <mergeCell ref="AK240:AK241"/>
    <mergeCell ref="AK242:AK243"/>
    <mergeCell ref="AK220:AK221"/>
    <mergeCell ref="AL220:AL225"/>
    <mergeCell ref="AK222:AK223"/>
    <mergeCell ref="AK224:AK225"/>
    <mergeCell ref="AK226:AK227"/>
    <mergeCell ref="AL226:AL231"/>
    <mergeCell ref="AK228:AK229"/>
    <mergeCell ref="AK230:AK231"/>
    <mergeCell ref="AK208:AK209"/>
    <mergeCell ref="AL208:AL213"/>
    <mergeCell ref="AK210:AK211"/>
    <mergeCell ref="AK212:AK213"/>
    <mergeCell ref="AK214:AK215"/>
    <mergeCell ref="AL214:AL219"/>
    <mergeCell ref="AK216:AK217"/>
    <mergeCell ref="AK218:AK219"/>
    <mergeCell ref="AK196:AK197"/>
    <mergeCell ref="AL196:AL201"/>
    <mergeCell ref="AK198:AK199"/>
    <mergeCell ref="AK200:AK201"/>
    <mergeCell ref="AK202:AK203"/>
    <mergeCell ref="AL202:AL207"/>
    <mergeCell ref="AK204:AK205"/>
    <mergeCell ref="AK206:AK207"/>
    <mergeCell ref="AK184:AK185"/>
    <mergeCell ref="AL184:AL189"/>
    <mergeCell ref="AK186:AK187"/>
    <mergeCell ref="AK188:AK189"/>
    <mergeCell ref="AK190:AK191"/>
    <mergeCell ref="AL190:AL195"/>
    <mergeCell ref="AK192:AK193"/>
    <mergeCell ref="AK194:AK195"/>
    <mergeCell ref="AK172:AK173"/>
    <mergeCell ref="AL172:AL177"/>
    <mergeCell ref="AK174:AK175"/>
    <mergeCell ref="AK176:AK177"/>
    <mergeCell ref="AK178:AK179"/>
    <mergeCell ref="AL178:AL183"/>
    <mergeCell ref="AK180:AK181"/>
    <mergeCell ref="AK182:AK183"/>
    <mergeCell ref="AK160:AK161"/>
    <mergeCell ref="AL160:AL165"/>
    <mergeCell ref="AK162:AK163"/>
    <mergeCell ref="AK164:AK165"/>
    <mergeCell ref="AK166:AK167"/>
    <mergeCell ref="AL166:AL171"/>
    <mergeCell ref="AK168:AK169"/>
    <mergeCell ref="AK170:AK171"/>
    <mergeCell ref="AK148:AK149"/>
    <mergeCell ref="AL148:AL153"/>
    <mergeCell ref="AK150:AK151"/>
    <mergeCell ref="AK152:AK153"/>
    <mergeCell ref="AK154:AK155"/>
    <mergeCell ref="AL154:AL159"/>
    <mergeCell ref="AK156:AK157"/>
    <mergeCell ref="AK158:AK159"/>
    <mergeCell ref="AK136:AK137"/>
    <mergeCell ref="AL136:AL141"/>
    <mergeCell ref="AK138:AK139"/>
    <mergeCell ref="AK140:AK141"/>
    <mergeCell ref="AK142:AK143"/>
    <mergeCell ref="AL142:AL147"/>
    <mergeCell ref="AK144:AK145"/>
    <mergeCell ref="AK146:AK147"/>
    <mergeCell ref="AK124:AK125"/>
    <mergeCell ref="AL124:AL129"/>
    <mergeCell ref="AK126:AK127"/>
    <mergeCell ref="AK128:AK129"/>
    <mergeCell ref="AK130:AK131"/>
    <mergeCell ref="AL130:AL135"/>
    <mergeCell ref="AK132:AK133"/>
    <mergeCell ref="AK134:AK135"/>
    <mergeCell ref="AK112:AK113"/>
    <mergeCell ref="AL112:AL117"/>
    <mergeCell ref="AK114:AK115"/>
    <mergeCell ref="AK116:AK117"/>
    <mergeCell ref="AK118:AK119"/>
    <mergeCell ref="AL118:AL123"/>
    <mergeCell ref="AK120:AK121"/>
    <mergeCell ref="AK122:AK123"/>
    <mergeCell ref="AK100:AK101"/>
    <mergeCell ref="AL100:AL105"/>
    <mergeCell ref="AK102:AK103"/>
    <mergeCell ref="AK104:AK105"/>
    <mergeCell ref="AK106:AK107"/>
    <mergeCell ref="AL106:AL111"/>
    <mergeCell ref="AK108:AK109"/>
    <mergeCell ref="AK110:AK111"/>
    <mergeCell ref="AK88:AK89"/>
    <mergeCell ref="AL88:AL93"/>
    <mergeCell ref="AK90:AK91"/>
    <mergeCell ref="AK92:AK93"/>
    <mergeCell ref="AK94:AK95"/>
    <mergeCell ref="AL94:AL99"/>
    <mergeCell ref="AK96:AK97"/>
    <mergeCell ref="AK98:AK99"/>
    <mergeCell ref="AK76:AK77"/>
    <mergeCell ref="AL76:AL81"/>
    <mergeCell ref="AK78:AK79"/>
    <mergeCell ref="AK80:AK81"/>
    <mergeCell ref="AK82:AK83"/>
    <mergeCell ref="AL82:AL87"/>
    <mergeCell ref="AK84:AK85"/>
    <mergeCell ref="AK86:AK87"/>
    <mergeCell ref="AK64:AK65"/>
    <mergeCell ref="AL64:AL69"/>
    <mergeCell ref="AK66:AK67"/>
    <mergeCell ref="AK68:AK69"/>
    <mergeCell ref="AK70:AK71"/>
    <mergeCell ref="AL70:AL75"/>
    <mergeCell ref="AK72:AK73"/>
    <mergeCell ref="AK74:AK75"/>
    <mergeCell ref="AK52:AK53"/>
    <mergeCell ref="AL52:AL57"/>
    <mergeCell ref="AK54:AK55"/>
    <mergeCell ref="AK56:AK57"/>
    <mergeCell ref="AK58:AK59"/>
    <mergeCell ref="AL58:AL63"/>
    <mergeCell ref="AK60:AK61"/>
    <mergeCell ref="AK62:AK63"/>
    <mergeCell ref="AK40:AK41"/>
    <mergeCell ref="AL40:AL45"/>
    <mergeCell ref="AK42:AK43"/>
    <mergeCell ref="AK44:AK45"/>
    <mergeCell ref="AK46:AK47"/>
    <mergeCell ref="AL46:AL51"/>
    <mergeCell ref="AK48:AK49"/>
    <mergeCell ref="AK50:AK51"/>
    <mergeCell ref="AK28:AK29"/>
    <mergeCell ref="AL28:AL33"/>
    <mergeCell ref="AK30:AK31"/>
    <mergeCell ref="AK32:AK33"/>
    <mergeCell ref="AK34:AK35"/>
    <mergeCell ref="AL34:AL39"/>
    <mergeCell ref="AK36:AK37"/>
    <mergeCell ref="AK38:AK39"/>
    <mergeCell ref="AK20:AK21"/>
    <mergeCell ref="AK22:AK23"/>
    <mergeCell ref="AL22:AL27"/>
    <mergeCell ref="AK24:AK25"/>
    <mergeCell ref="AK26:AK27"/>
    <mergeCell ref="AP400:AP405"/>
    <mergeCell ref="AK4:AK5"/>
    <mergeCell ref="AL4:AL9"/>
    <mergeCell ref="AK6:AK7"/>
    <mergeCell ref="AK8:AK9"/>
    <mergeCell ref="AK10:AK11"/>
    <mergeCell ref="AL10:AL15"/>
    <mergeCell ref="AK12:AK13"/>
    <mergeCell ref="AK14:AK15"/>
    <mergeCell ref="AK16:AK17"/>
    <mergeCell ref="AL16:AL21"/>
    <mergeCell ref="AK18:AK19"/>
    <mergeCell ref="AP388:AP393"/>
    <mergeCell ref="AP394:AP399"/>
    <mergeCell ref="AP376:AP381"/>
    <mergeCell ref="AP382:AP387"/>
    <mergeCell ref="AP364:AP369"/>
    <mergeCell ref="AP370:AP375"/>
    <mergeCell ref="AP352:AP357"/>
    <mergeCell ref="AP358:AP363"/>
    <mergeCell ref="AP340:AP345"/>
    <mergeCell ref="AP346:AP351"/>
    <mergeCell ref="AP328:AP333"/>
    <mergeCell ref="AP334:AP339"/>
    <mergeCell ref="AP316:AP321"/>
    <mergeCell ref="AP322:AP327"/>
    <mergeCell ref="AP304:AP309"/>
    <mergeCell ref="AP310:AP315"/>
    <mergeCell ref="AP292:AP297"/>
    <mergeCell ref="AP298:AP303"/>
    <mergeCell ref="AP280:AP285"/>
    <mergeCell ref="AP286:AP291"/>
    <mergeCell ref="AP268:AP273"/>
    <mergeCell ref="AP274:AP279"/>
    <mergeCell ref="AP256:AP261"/>
    <mergeCell ref="AP262:AP267"/>
    <mergeCell ref="AP244:AP249"/>
    <mergeCell ref="AP250:AP255"/>
    <mergeCell ref="AP232:AP237"/>
    <mergeCell ref="AP238:AP243"/>
    <mergeCell ref="AP220:AP225"/>
    <mergeCell ref="AP226:AP231"/>
    <mergeCell ref="AP208:AP213"/>
    <mergeCell ref="AP214:AP219"/>
    <mergeCell ref="AP196:AP201"/>
    <mergeCell ref="AP202:AP207"/>
    <mergeCell ref="AP184:AP189"/>
    <mergeCell ref="AP190:AP195"/>
    <mergeCell ref="AP172:AP177"/>
    <mergeCell ref="AP178:AP183"/>
    <mergeCell ref="AP160:AP165"/>
    <mergeCell ref="AP166:AP171"/>
    <mergeCell ref="AP148:AP153"/>
    <mergeCell ref="AP154:AP159"/>
    <mergeCell ref="AP136:AP141"/>
    <mergeCell ref="AP142:AP147"/>
    <mergeCell ref="AP124:AP129"/>
    <mergeCell ref="AP130:AP135"/>
    <mergeCell ref="AP112:AP117"/>
    <mergeCell ref="AP118:AP123"/>
    <mergeCell ref="AP100:AP105"/>
    <mergeCell ref="AP106:AP111"/>
    <mergeCell ref="AP88:AP93"/>
    <mergeCell ref="AP94:AP99"/>
    <mergeCell ref="AP76:AP81"/>
    <mergeCell ref="AP82:AP87"/>
    <mergeCell ref="AP64:AP69"/>
    <mergeCell ref="AP70:AP75"/>
    <mergeCell ref="AP52:AP57"/>
    <mergeCell ref="AP58:AP63"/>
    <mergeCell ref="AP40:AP45"/>
    <mergeCell ref="AP46:AP51"/>
    <mergeCell ref="AP28:AP33"/>
    <mergeCell ref="AP34:AP39"/>
    <mergeCell ref="AP16:AP21"/>
    <mergeCell ref="AP22:AP27"/>
    <mergeCell ref="AP4:AP9"/>
    <mergeCell ref="AP10:AP15"/>
    <mergeCell ref="H2:J2"/>
    <mergeCell ref="S2:U2"/>
    <mergeCell ref="AG400:AG401"/>
    <mergeCell ref="AH400:AH405"/>
    <mergeCell ref="AI400:AI405"/>
    <mergeCell ref="AJ400:AJ405"/>
    <mergeCell ref="AG402:AG403"/>
    <mergeCell ref="AG404:AG405"/>
    <mergeCell ref="AG394:AG395"/>
    <mergeCell ref="AH394:AH399"/>
    <mergeCell ref="AI394:AI399"/>
    <mergeCell ref="AJ394:AJ399"/>
    <mergeCell ref="AG396:AG397"/>
    <mergeCell ref="AG398:AG399"/>
    <mergeCell ref="AG388:AG389"/>
    <mergeCell ref="AH388:AH393"/>
    <mergeCell ref="AI388:AI393"/>
    <mergeCell ref="AJ388:AJ393"/>
    <mergeCell ref="AG390:AG391"/>
    <mergeCell ref="AG392:AG393"/>
    <mergeCell ref="AG382:AG383"/>
    <mergeCell ref="AH382:AH387"/>
    <mergeCell ref="AI382:AI387"/>
    <mergeCell ref="AJ382:AJ387"/>
    <mergeCell ref="AG384:AG385"/>
    <mergeCell ref="AG386:AG387"/>
    <mergeCell ref="AG376:AG377"/>
    <mergeCell ref="AH376:AH381"/>
    <mergeCell ref="AI376:AI381"/>
    <mergeCell ref="AJ376:AJ381"/>
    <mergeCell ref="AG378:AG379"/>
    <mergeCell ref="AG380:AG381"/>
    <mergeCell ref="AG370:AG371"/>
    <mergeCell ref="AH370:AH375"/>
    <mergeCell ref="AI370:AI375"/>
    <mergeCell ref="AJ370:AJ375"/>
    <mergeCell ref="AG372:AG373"/>
    <mergeCell ref="AG374:AG375"/>
    <mergeCell ref="AG364:AG365"/>
    <mergeCell ref="AH364:AH369"/>
    <mergeCell ref="AI364:AI369"/>
    <mergeCell ref="AJ364:AJ369"/>
    <mergeCell ref="AG366:AG367"/>
    <mergeCell ref="AG368:AG369"/>
    <mergeCell ref="AG358:AG359"/>
    <mergeCell ref="AH358:AH363"/>
    <mergeCell ref="AI358:AI363"/>
    <mergeCell ref="AJ358:AJ363"/>
    <mergeCell ref="AG360:AG361"/>
    <mergeCell ref="AG362:AG363"/>
    <mergeCell ref="AG352:AG353"/>
    <mergeCell ref="AH352:AH357"/>
    <mergeCell ref="AI352:AI357"/>
    <mergeCell ref="AJ352:AJ357"/>
    <mergeCell ref="AG354:AG355"/>
    <mergeCell ref="AG356:AG357"/>
    <mergeCell ref="AG346:AG347"/>
    <mergeCell ref="AH346:AH351"/>
    <mergeCell ref="AI346:AI351"/>
    <mergeCell ref="AJ346:AJ351"/>
    <mergeCell ref="AG348:AG349"/>
    <mergeCell ref="AG350:AG351"/>
    <mergeCell ref="AG340:AG341"/>
    <mergeCell ref="AH340:AH345"/>
    <mergeCell ref="AI340:AI345"/>
    <mergeCell ref="AJ340:AJ345"/>
    <mergeCell ref="AG342:AG343"/>
    <mergeCell ref="AG344:AG345"/>
    <mergeCell ref="AG334:AG335"/>
    <mergeCell ref="AH334:AH339"/>
    <mergeCell ref="AI334:AI339"/>
    <mergeCell ref="AJ334:AJ339"/>
    <mergeCell ref="AG336:AG337"/>
    <mergeCell ref="AG338:AG339"/>
    <mergeCell ref="AG328:AG329"/>
    <mergeCell ref="AH328:AH333"/>
    <mergeCell ref="AI328:AI333"/>
    <mergeCell ref="AJ328:AJ333"/>
    <mergeCell ref="AG330:AG331"/>
    <mergeCell ref="AG332:AG333"/>
    <mergeCell ref="AG322:AG323"/>
    <mergeCell ref="AH322:AH327"/>
    <mergeCell ref="AI322:AI327"/>
    <mergeCell ref="AJ322:AJ327"/>
    <mergeCell ref="AG324:AG325"/>
    <mergeCell ref="AG326:AG327"/>
    <mergeCell ref="AG316:AG317"/>
    <mergeCell ref="AH316:AH321"/>
    <mergeCell ref="AI316:AI321"/>
    <mergeCell ref="AJ316:AJ321"/>
    <mergeCell ref="AG318:AG319"/>
    <mergeCell ref="AG320:AG321"/>
    <mergeCell ref="AG310:AG311"/>
    <mergeCell ref="AH310:AH315"/>
    <mergeCell ref="AI310:AI315"/>
    <mergeCell ref="AJ310:AJ315"/>
    <mergeCell ref="AG312:AG313"/>
    <mergeCell ref="AG314:AG315"/>
    <mergeCell ref="AG304:AG305"/>
    <mergeCell ref="AH304:AH309"/>
    <mergeCell ref="AI304:AI309"/>
    <mergeCell ref="AJ304:AJ309"/>
    <mergeCell ref="AG306:AG307"/>
    <mergeCell ref="AG308:AG309"/>
    <mergeCell ref="AG298:AG299"/>
    <mergeCell ref="AH298:AH303"/>
    <mergeCell ref="AI298:AI303"/>
    <mergeCell ref="AJ298:AJ303"/>
    <mergeCell ref="AG300:AG301"/>
    <mergeCell ref="AG302:AG303"/>
    <mergeCell ref="AG292:AG293"/>
    <mergeCell ref="AH292:AH297"/>
    <mergeCell ref="AI292:AI297"/>
    <mergeCell ref="AJ292:AJ297"/>
    <mergeCell ref="AG294:AG295"/>
    <mergeCell ref="AG296:AG297"/>
    <mergeCell ref="AG286:AG287"/>
    <mergeCell ref="AH286:AH291"/>
    <mergeCell ref="AI286:AI291"/>
    <mergeCell ref="AJ286:AJ291"/>
    <mergeCell ref="AG288:AG289"/>
    <mergeCell ref="AG290:AG291"/>
    <mergeCell ref="AG280:AG281"/>
    <mergeCell ref="AH280:AH285"/>
    <mergeCell ref="AI280:AI285"/>
    <mergeCell ref="AJ280:AJ285"/>
    <mergeCell ref="AG282:AG283"/>
    <mergeCell ref="AG284:AG285"/>
    <mergeCell ref="AG274:AG275"/>
    <mergeCell ref="AH274:AH279"/>
    <mergeCell ref="AI274:AI279"/>
    <mergeCell ref="AJ274:AJ279"/>
    <mergeCell ref="AG276:AG277"/>
    <mergeCell ref="AG278:AG279"/>
    <mergeCell ref="AG268:AG269"/>
    <mergeCell ref="AH268:AH273"/>
    <mergeCell ref="AI268:AI273"/>
    <mergeCell ref="AJ268:AJ273"/>
    <mergeCell ref="AG270:AG271"/>
    <mergeCell ref="AG272:AG273"/>
    <mergeCell ref="AG262:AG263"/>
    <mergeCell ref="AH262:AH267"/>
    <mergeCell ref="AI262:AI267"/>
    <mergeCell ref="AJ262:AJ267"/>
    <mergeCell ref="AG264:AG265"/>
    <mergeCell ref="AG266:AG267"/>
    <mergeCell ref="AG256:AG257"/>
    <mergeCell ref="AH256:AH261"/>
    <mergeCell ref="AI256:AI261"/>
    <mergeCell ref="AJ256:AJ261"/>
    <mergeCell ref="AG258:AG259"/>
    <mergeCell ref="AG260:AG261"/>
    <mergeCell ref="AG250:AG251"/>
    <mergeCell ref="AH250:AH255"/>
    <mergeCell ref="AI250:AI255"/>
    <mergeCell ref="AJ250:AJ255"/>
    <mergeCell ref="AG252:AG253"/>
    <mergeCell ref="AG254:AG255"/>
    <mergeCell ref="AG244:AG245"/>
    <mergeCell ref="AH244:AH249"/>
    <mergeCell ref="AI244:AI249"/>
    <mergeCell ref="AJ244:AJ249"/>
    <mergeCell ref="AG246:AG247"/>
    <mergeCell ref="AG248:AG249"/>
    <mergeCell ref="AG238:AG239"/>
    <mergeCell ref="AH238:AH243"/>
    <mergeCell ref="AI238:AI243"/>
    <mergeCell ref="AJ238:AJ243"/>
    <mergeCell ref="AG240:AG241"/>
    <mergeCell ref="AG242:AG243"/>
    <mergeCell ref="AG232:AG233"/>
    <mergeCell ref="AH232:AH237"/>
    <mergeCell ref="AI232:AI237"/>
    <mergeCell ref="AJ232:AJ237"/>
    <mergeCell ref="AG234:AG235"/>
    <mergeCell ref="AG236:AG237"/>
    <mergeCell ref="AG226:AG227"/>
    <mergeCell ref="AH226:AH231"/>
    <mergeCell ref="AI226:AI231"/>
    <mergeCell ref="AJ226:AJ231"/>
    <mergeCell ref="AG228:AG229"/>
    <mergeCell ref="AG230:AG231"/>
    <mergeCell ref="AG220:AG221"/>
    <mergeCell ref="AH220:AH225"/>
    <mergeCell ref="AI220:AI225"/>
    <mergeCell ref="AJ220:AJ225"/>
    <mergeCell ref="AG222:AG223"/>
    <mergeCell ref="AG224:AG225"/>
    <mergeCell ref="AG214:AG215"/>
    <mergeCell ref="AH214:AH219"/>
    <mergeCell ref="AI214:AI219"/>
    <mergeCell ref="AJ214:AJ219"/>
    <mergeCell ref="AG216:AG217"/>
    <mergeCell ref="AG218:AG219"/>
    <mergeCell ref="AG208:AG209"/>
    <mergeCell ref="AH208:AH213"/>
    <mergeCell ref="AI208:AI213"/>
    <mergeCell ref="AJ208:AJ213"/>
    <mergeCell ref="AG210:AG211"/>
    <mergeCell ref="AG212:AG213"/>
    <mergeCell ref="AG202:AG203"/>
    <mergeCell ref="AH202:AH207"/>
    <mergeCell ref="AI202:AI207"/>
    <mergeCell ref="AJ202:AJ207"/>
    <mergeCell ref="AG204:AG205"/>
    <mergeCell ref="AG206:AG207"/>
    <mergeCell ref="AG196:AG197"/>
    <mergeCell ref="AH196:AH201"/>
    <mergeCell ref="AI196:AI201"/>
    <mergeCell ref="AJ196:AJ201"/>
    <mergeCell ref="AG198:AG199"/>
    <mergeCell ref="AG200:AG201"/>
    <mergeCell ref="AG190:AG191"/>
    <mergeCell ref="AH190:AH195"/>
    <mergeCell ref="AI190:AI195"/>
    <mergeCell ref="AJ190:AJ195"/>
    <mergeCell ref="AG192:AG193"/>
    <mergeCell ref="AG194:AG195"/>
    <mergeCell ref="AG184:AG185"/>
    <mergeCell ref="AH184:AH189"/>
    <mergeCell ref="AI184:AI189"/>
    <mergeCell ref="AJ184:AJ189"/>
    <mergeCell ref="AG186:AG187"/>
    <mergeCell ref="AG188:AG189"/>
    <mergeCell ref="AG178:AG179"/>
    <mergeCell ref="AH178:AH183"/>
    <mergeCell ref="AI178:AI183"/>
    <mergeCell ref="AJ178:AJ183"/>
    <mergeCell ref="AG180:AG181"/>
    <mergeCell ref="AG182:AG183"/>
    <mergeCell ref="AG172:AG173"/>
    <mergeCell ref="AH172:AH177"/>
    <mergeCell ref="AI172:AI177"/>
    <mergeCell ref="AJ172:AJ177"/>
    <mergeCell ref="AG174:AG175"/>
    <mergeCell ref="AG176:AG177"/>
    <mergeCell ref="AG166:AG167"/>
    <mergeCell ref="AH166:AH171"/>
    <mergeCell ref="AI166:AI171"/>
    <mergeCell ref="AJ166:AJ171"/>
    <mergeCell ref="AG168:AG169"/>
    <mergeCell ref="AG170:AG171"/>
    <mergeCell ref="AG160:AG161"/>
    <mergeCell ref="AH160:AH165"/>
    <mergeCell ref="AI160:AI165"/>
    <mergeCell ref="AJ160:AJ165"/>
    <mergeCell ref="AG162:AG163"/>
    <mergeCell ref="AG164:AG165"/>
    <mergeCell ref="AG154:AG155"/>
    <mergeCell ref="AH154:AH159"/>
    <mergeCell ref="AI154:AI159"/>
    <mergeCell ref="AJ154:AJ159"/>
    <mergeCell ref="AG156:AG157"/>
    <mergeCell ref="AG158:AG159"/>
    <mergeCell ref="AG148:AG149"/>
    <mergeCell ref="AH148:AH153"/>
    <mergeCell ref="AI148:AI153"/>
    <mergeCell ref="AJ148:AJ153"/>
    <mergeCell ref="AG150:AG151"/>
    <mergeCell ref="AG152:AG153"/>
    <mergeCell ref="AG142:AG143"/>
    <mergeCell ref="AH142:AH147"/>
    <mergeCell ref="AI142:AI147"/>
    <mergeCell ref="AJ142:AJ147"/>
    <mergeCell ref="AG144:AG145"/>
    <mergeCell ref="AG146:AG147"/>
    <mergeCell ref="AG136:AG137"/>
    <mergeCell ref="AH136:AH141"/>
    <mergeCell ref="AI136:AI141"/>
    <mergeCell ref="AJ136:AJ141"/>
    <mergeCell ref="AG138:AG139"/>
    <mergeCell ref="AG140:AG141"/>
    <mergeCell ref="AG130:AG131"/>
    <mergeCell ref="AH130:AH135"/>
    <mergeCell ref="AI130:AI135"/>
    <mergeCell ref="AJ130:AJ135"/>
    <mergeCell ref="AG132:AG133"/>
    <mergeCell ref="AG134:AG135"/>
    <mergeCell ref="AG124:AG125"/>
    <mergeCell ref="AH124:AH129"/>
    <mergeCell ref="AI124:AI129"/>
    <mergeCell ref="AJ124:AJ129"/>
    <mergeCell ref="AG126:AG127"/>
    <mergeCell ref="AG128:AG129"/>
    <mergeCell ref="AG118:AG119"/>
    <mergeCell ref="AH118:AH123"/>
    <mergeCell ref="AI118:AI123"/>
    <mergeCell ref="AJ118:AJ123"/>
    <mergeCell ref="AG120:AG121"/>
    <mergeCell ref="AG122:AG123"/>
    <mergeCell ref="AG112:AG113"/>
    <mergeCell ref="AH112:AH117"/>
    <mergeCell ref="AI112:AI117"/>
    <mergeCell ref="AJ112:AJ117"/>
    <mergeCell ref="AG114:AG115"/>
    <mergeCell ref="AG116:AG117"/>
    <mergeCell ref="AG106:AG107"/>
    <mergeCell ref="AH106:AH111"/>
    <mergeCell ref="AI106:AI111"/>
    <mergeCell ref="AJ106:AJ111"/>
    <mergeCell ref="AG108:AG109"/>
    <mergeCell ref="AG110:AG111"/>
    <mergeCell ref="AG100:AG101"/>
    <mergeCell ref="AH100:AH105"/>
    <mergeCell ref="AI100:AI105"/>
    <mergeCell ref="AJ100:AJ105"/>
    <mergeCell ref="AG102:AG103"/>
    <mergeCell ref="AG104:AG105"/>
    <mergeCell ref="AG94:AG95"/>
    <mergeCell ref="AH94:AH99"/>
    <mergeCell ref="AI94:AI99"/>
    <mergeCell ref="AJ94:AJ99"/>
    <mergeCell ref="AG96:AG97"/>
    <mergeCell ref="AG98:AG99"/>
    <mergeCell ref="AG88:AG89"/>
    <mergeCell ref="AH88:AH93"/>
    <mergeCell ref="AI88:AI93"/>
    <mergeCell ref="AJ88:AJ93"/>
    <mergeCell ref="AG90:AG91"/>
    <mergeCell ref="AG92:AG93"/>
    <mergeCell ref="AG82:AG83"/>
    <mergeCell ref="AH82:AH87"/>
    <mergeCell ref="AI82:AI87"/>
    <mergeCell ref="AJ82:AJ87"/>
    <mergeCell ref="AG84:AG85"/>
    <mergeCell ref="AG86:AG87"/>
    <mergeCell ref="AG76:AG77"/>
    <mergeCell ref="AH76:AH81"/>
    <mergeCell ref="AI76:AI81"/>
    <mergeCell ref="AJ76:AJ81"/>
    <mergeCell ref="AG78:AG79"/>
    <mergeCell ref="AG80:AG81"/>
    <mergeCell ref="AG70:AG71"/>
    <mergeCell ref="AH70:AH75"/>
    <mergeCell ref="AI70:AI75"/>
    <mergeCell ref="AJ70:AJ75"/>
    <mergeCell ref="AG72:AG73"/>
    <mergeCell ref="AG74:AG75"/>
    <mergeCell ref="AG64:AG65"/>
    <mergeCell ref="AH64:AH69"/>
    <mergeCell ref="AI64:AI69"/>
    <mergeCell ref="AJ64:AJ69"/>
    <mergeCell ref="AG66:AG67"/>
    <mergeCell ref="AG68:AG69"/>
    <mergeCell ref="AG58:AG59"/>
    <mergeCell ref="AH58:AH63"/>
    <mergeCell ref="AI58:AI63"/>
    <mergeCell ref="AJ58:AJ63"/>
    <mergeCell ref="AG60:AG61"/>
    <mergeCell ref="AG62:AG63"/>
    <mergeCell ref="AG52:AG53"/>
    <mergeCell ref="AH52:AH57"/>
    <mergeCell ref="AI52:AI57"/>
    <mergeCell ref="AJ52:AJ57"/>
    <mergeCell ref="AG54:AG55"/>
    <mergeCell ref="AG56:AG57"/>
    <mergeCell ref="AG46:AG47"/>
    <mergeCell ref="AH46:AH51"/>
    <mergeCell ref="AI46:AI51"/>
    <mergeCell ref="AJ46:AJ51"/>
    <mergeCell ref="AG48:AG49"/>
    <mergeCell ref="AG50:AG51"/>
    <mergeCell ref="AG40:AG41"/>
    <mergeCell ref="AH40:AH45"/>
    <mergeCell ref="AI40:AI45"/>
    <mergeCell ref="AJ40:AJ45"/>
    <mergeCell ref="AG42:AG43"/>
    <mergeCell ref="AG44:AG45"/>
    <mergeCell ref="AG34:AG35"/>
    <mergeCell ref="AH34:AH39"/>
    <mergeCell ref="AI34:AI39"/>
    <mergeCell ref="AJ34:AJ39"/>
    <mergeCell ref="AG36:AG37"/>
    <mergeCell ref="AG38:AG39"/>
    <mergeCell ref="AG28:AG29"/>
    <mergeCell ref="AH28:AH33"/>
    <mergeCell ref="AI28:AI33"/>
    <mergeCell ref="AJ28:AJ33"/>
    <mergeCell ref="AG30:AG31"/>
    <mergeCell ref="AG32:AG33"/>
    <mergeCell ref="AG22:AG23"/>
    <mergeCell ref="AH22:AH27"/>
    <mergeCell ref="AI22:AI27"/>
    <mergeCell ref="AJ22:AJ27"/>
    <mergeCell ref="AG24:AG25"/>
    <mergeCell ref="AG26:AG27"/>
    <mergeCell ref="AG16:AG17"/>
    <mergeCell ref="AH16:AH21"/>
    <mergeCell ref="AI16:AI21"/>
    <mergeCell ref="AJ16:AJ21"/>
    <mergeCell ref="AG18:AG19"/>
    <mergeCell ref="AG20:AG21"/>
    <mergeCell ref="AJ4:AJ9"/>
    <mergeCell ref="AG10:AG11"/>
    <mergeCell ref="AH10:AH15"/>
    <mergeCell ref="AI10:AI15"/>
    <mergeCell ref="AJ10:AJ15"/>
    <mergeCell ref="AG12:AG13"/>
    <mergeCell ref="AG14:AG15"/>
    <mergeCell ref="AG4:AG5"/>
    <mergeCell ref="AG6:AG7"/>
    <mergeCell ref="AG8:AG9"/>
    <mergeCell ref="AH4:AH9"/>
    <mergeCell ref="AI4:AI9"/>
    <mergeCell ref="C394:C399"/>
    <mergeCell ref="D394:D399"/>
    <mergeCell ref="E394:E399"/>
    <mergeCell ref="C400:C405"/>
    <mergeCell ref="D400:D405"/>
    <mergeCell ref="E400:E405"/>
    <mergeCell ref="C382:C387"/>
    <mergeCell ref="D382:D387"/>
    <mergeCell ref="E382:E387"/>
    <mergeCell ref="C388:C393"/>
    <mergeCell ref="D388:D393"/>
    <mergeCell ref="E388:E393"/>
    <mergeCell ref="C370:C375"/>
    <mergeCell ref="D370:D375"/>
    <mergeCell ref="E370:E375"/>
    <mergeCell ref="C376:C381"/>
    <mergeCell ref="D376:D381"/>
    <mergeCell ref="E376:E381"/>
    <mergeCell ref="C358:C363"/>
    <mergeCell ref="D358:D363"/>
    <mergeCell ref="E358:E363"/>
    <mergeCell ref="C364:C369"/>
    <mergeCell ref="D364:D369"/>
    <mergeCell ref="E364:E369"/>
    <mergeCell ref="C346:C351"/>
    <mergeCell ref="D346:D351"/>
    <mergeCell ref="E346:E351"/>
    <mergeCell ref="C352:C357"/>
    <mergeCell ref="D352:D357"/>
    <mergeCell ref="E352:E357"/>
    <mergeCell ref="C334:C339"/>
    <mergeCell ref="D334:D339"/>
    <mergeCell ref="E334:E339"/>
    <mergeCell ref="C340:C345"/>
    <mergeCell ref="D340:D345"/>
    <mergeCell ref="E340:E345"/>
    <mergeCell ref="C322:C327"/>
    <mergeCell ref="D322:D327"/>
    <mergeCell ref="E322:E327"/>
    <mergeCell ref="C328:C333"/>
    <mergeCell ref="D328:D333"/>
    <mergeCell ref="E328:E333"/>
    <mergeCell ref="C310:C315"/>
    <mergeCell ref="D310:D315"/>
    <mergeCell ref="E310:E315"/>
    <mergeCell ref="C316:C321"/>
    <mergeCell ref="D316:D321"/>
    <mergeCell ref="E316:E321"/>
    <mergeCell ref="C298:C303"/>
    <mergeCell ref="D298:D303"/>
    <mergeCell ref="E298:E303"/>
    <mergeCell ref="C304:C309"/>
    <mergeCell ref="D304:D309"/>
    <mergeCell ref="E304:E309"/>
    <mergeCell ref="C286:C291"/>
    <mergeCell ref="D286:D291"/>
    <mergeCell ref="E286:E291"/>
    <mergeCell ref="C292:C297"/>
    <mergeCell ref="D292:D297"/>
    <mergeCell ref="E292:E297"/>
    <mergeCell ref="C274:C279"/>
    <mergeCell ref="D274:D279"/>
    <mergeCell ref="E274:E279"/>
    <mergeCell ref="C280:C285"/>
    <mergeCell ref="D280:D285"/>
    <mergeCell ref="E280:E285"/>
    <mergeCell ref="C262:C267"/>
    <mergeCell ref="D262:D267"/>
    <mergeCell ref="E262:E267"/>
    <mergeCell ref="C268:C273"/>
    <mergeCell ref="D268:D273"/>
    <mergeCell ref="E268:E273"/>
    <mergeCell ref="C250:C255"/>
    <mergeCell ref="D250:D255"/>
    <mergeCell ref="E250:E255"/>
    <mergeCell ref="C256:C261"/>
    <mergeCell ref="D256:D261"/>
    <mergeCell ref="E256:E261"/>
    <mergeCell ref="C238:C243"/>
    <mergeCell ref="D238:D243"/>
    <mergeCell ref="E238:E243"/>
    <mergeCell ref="C244:C249"/>
    <mergeCell ref="D244:D249"/>
    <mergeCell ref="E244:E249"/>
    <mergeCell ref="C226:C231"/>
    <mergeCell ref="D226:D231"/>
    <mergeCell ref="E226:E231"/>
    <mergeCell ref="C232:C237"/>
    <mergeCell ref="D232:D237"/>
    <mergeCell ref="E232:E237"/>
    <mergeCell ref="C214:C219"/>
    <mergeCell ref="D214:D219"/>
    <mergeCell ref="E214:E219"/>
    <mergeCell ref="C220:C225"/>
    <mergeCell ref="D220:D225"/>
    <mergeCell ref="E220:E225"/>
    <mergeCell ref="C202:C207"/>
    <mergeCell ref="D202:D207"/>
    <mergeCell ref="E202:E207"/>
    <mergeCell ref="C208:C213"/>
    <mergeCell ref="D208:D213"/>
    <mergeCell ref="E208:E213"/>
    <mergeCell ref="C190:C195"/>
    <mergeCell ref="D190:D195"/>
    <mergeCell ref="E190:E195"/>
    <mergeCell ref="C196:C201"/>
    <mergeCell ref="D196:D201"/>
    <mergeCell ref="E196:E201"/>
    <mergeCell ref="C178:C183"/>
    <mergeCell ref="D178:D183"/>
    <mergeCell ref="E178:E183"/>
    <mergeCell ref="C184:C189"/>
    <mergeCell ref="D184:D189"/>
    <mergeCell ref="E184:E189"/>
    <mergeCell ref="C166:C171"/>
    <mergeCell ref="D166:D171"/>
    <mergeCell ref="E166:E171"/>
    <mergeCell ref="C172:C177"/>
    <mergeCell ref="D172:D177"/>
    <mergeCell ref="E172:E177"/>
    <mergeCell ref="C154:C159"/>
    <mergeCell ref="D154:D159"/>
    <mergeCell ref="E154:E159"/>
    <mergeCell ref="C160:C165"/>
    <mergeCell ref="D160:D165"/>
    <mergeCell ref="E160:E165"/>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E16:E21"/>
    <mergeCell ref="B388:B393"/>
    <mergeCell ref="B394:B399"/>
    <mergeCell ref="B400:B405"/>
    <mergeCell ref="B364:B369"/>
    <mergeCell ref="A364:A405"/>
    <mergeCell ref="B358:B363"/>
    <mergeCell ref="B370:B375"/>
    <mergeCell ref="B376:B381"/>
    <mergeCell ref="B382:B387"/>
    <mergeCell ref="B136:B141"/>
    <mergeCell ref="B148:B153"/>
    <mergeCell ref="B142:B147"/>
    <mergeCell ref="B280:B285"/>
    <mergeCell ref="B286:B291"/>
    <mergeCell ref="G1:P1"/>
    <mergeCell ref="R1:AA1"/>
    <mergeCell ref="A4:A51"/>
    <mergeCell ref="B4:B9"/>
    <mergeCell ref="B10:B15"/>
    <mergeCell ref="B16:B21"/>
    <mergeCell ref="B22:B27"/>
    <mergeCell ref="B28:B33"/>
    <mergeCell ref="B34:B39"/>
    <mergeCell ref="B40:B45"/>
    <mergeCell ref="B46:B51"/>
    <mergeCell ref="C4:C9"/>
    <mergeCell ref="D4:D9"/>
    <mergeCell ref="E4:E9"/>
    <mergeCell ref="A52:A165"/>
    <mergeCell ref="B52:B57"/>
    <mergeCell ref="B58:B63"/>
    <mergeCell ref="C34:C39"/>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66:B171"/>
    <mergeCell ref="B172:B177"/>
    <mergeCell ref="B178:B183"/>
    <mergeCell ref="B274:B279"/>
    <mergeCell ref="B316:B321"/>
    <mergeCell ref="B322:B327"/>
    <mergeCell ref="B328:B333"/>
    <mergeCell ref="B334:B339"/>
    <mergeCell ref="B340:B345"/>
    <mergeCell ref="B346:B351"/>
    <mergeCell ref="B352:B357"/>
    <mergeCell ref="B292:B297"/>
    <mergeCell ref="B298:B303"/>
    <mergeCell ref="B304:B309"/>
    <mergeCell ref="B310:B315"/>
    <mergeCell ref="A274:A339"/>
    <mergeCell ref="A166:A213"/>
    <mergeCell ref="B220:B225"/>
    <mergeCell ref="B226:B231"/>
    <mergeCell ref="B232:B237"/>
    <mergeCell ref="B238:B243"/>
    <mergeCell ref="B184:B189"/>
    <mergeCell ref="B190:B195"/>
    <mergeCell ref="B196:B201"/>
    <mergeCell ref="B202:B207"/>
    <mergeCell ref="B208:B213"/>
    <mergeCell ref="B244:B249"/>
    <mergeCell ref="B214:B219"/>
    <mergeCell ref="A214:A249"/>
    <mergeCell ref="B250:B255"/>
    <mergeCell ref="B256:B261"/>
    <mergeCell ref="A250:A273"/>
    <mergeCell ref="B262:B267"/>
    <mergeCell ref="B268:B273"/>
    <mergeCell ref="A340:A363"/>
  </mergeCells>
  <conditionalFormatting sqref="AH4:AJ4">
    <cfRule type="cellIs" dxfId="269" priority="1023" stopIfTrue="1" operator="greaterThan">
      <formula>0.03</formula>
    </cfRule>
    <cfRule type="cellIs" dxfId="268" priority="1024" stopIfTrue="1" operator="lessThan">
      <formula>-0.03</formula>
    </cfRule>
  </conditionalFormatting>
  <conditionalFormatting sqref="AH494:AJ494">
    <cfRule type="cellIs" dxfId="267" priority="1053" stopIfTrue="1" operator="greaterThan">
      <formula>0.03</formula>
    </cfRule>
    <cfRule type="cellIs" dxfId="266" priority="1054" stopIfTrue="1" operator="lessThan">
      <formula>-0.03</formula>
    </cfRule>
  </conditionalFormatting>
  <conditionalFormatting sqref="AH409:AJ411 AH412">
    <cfRule type="cellIs" dxfId="265" priority="1055" stopIfTrue="1" operator="greaterThan">
      <formula>0.03</formula>
    </cfRule>
    <cfRule type="cellIs" dxfId="264" priority="1056" stopIfTrue="1" operator="lessThan">
      <formula>-0.03</formula>
    </cfRule>
  </conditionalFormatting>
  <conditionalFormatting sqref="AG409:AG417">
    <cfRule type="cellIs" dxfId="263" priority="633" stopIfTrue="1" operator="greaterThan">
      <formula>0.03</formula>
    </cfRule>
    <cfRule type="cellIs" dxfId="262" priority="634" stopIfTrue="1" operator="lessThan">
      <formula>-0.03</formula>
    </cfRule>
  </conditionalFormatting>
  <conditionalFormatting sqref="AK494">
    <cfRule type="cellIs" dxfId="261" priority="485" stopIfTrue="1" operator="greaterThan">
      <formula>0.03</formula>
    </cfRule>
    <cfRule type="cellIs" dxfId="260" priority="486" stopIfTrue="1" operator="lessThan">
      <formula>-0.03</formula>
    </cfRule>
  </conditionalFormatting>
  <conditionalFormatting sqref="AG494">
    <cfRule type="cellIs" dxfId="259" priority="631" stopIfTrue="1" operator="greaterThan">
      <formula>0.03</formula>
    </cfRule>
    <cfRule type="cellIs" dxfId="258" priority="632" stopIfTrue="1" operator="lessThan">
      <formula>-0.03</formula>
    </cfRule>
  </conditionalFormatting>
  <conditionalFormatting sqref="AN412">
    <cfRule type="cellIs" dxfId="257" priority="433" stopIfTrue="1" operator="greaterThan">
      <formula>0.03</formula>
    </cfRule>
    <cfRule type="cellIs" dxfId="256" priority="434" stopIfTrue="1" operator="lessThan">
      <formula>-0.03</formula>
    </cfRule>
  </conditionalFormatting>
  <conditionalFormatting sqref="AG4 AG6 AG8">
    <cfRule type="cellIs" dxfId="255" priority="625" stopIfTrue="1" operator="greaterThan">
      <formula>0.03</formula>
    </cfRule>
    <cfRule type="cellIs" dxfId="254" priority="626" stopIfTrue="1" operator="lessThan">
      <formula>-0.03</formula>
    </cfRule>
  </conditionalFormatting>
  <conditionalFormatting sqref="AK10 AK16 AK22 AK28 AK34 AK40 AK46 AK52 AK58 AK64 AK70 AK76 AK82 AK88 AK94 AK100 AK106 AK112 AK118 AK124 AK130 AK136 AK142 AK148 AK154 AK160 AK166 AK172 AK178 AK184 AK190 AK196 AK202 AK208 AK214 AK220 AK226 AK232 AK238 AK244 AK250 AK256 AK262 AK268 AK274 AK280 AK286 AK292 AK298 AK304 AK310 AK316 AK322 AK328 AK334 AK340 AK346 AK352 AK358 AK364 AK370 AK376 AK382 AK388 AK394 AK400 AK12 AK18 AK24 AK30 AK36 AK42 AK48 AK54 AK60 AK66 AK72 AK78 AK84 AK90 AK96 AK102 AK108 AK114 AK120 AK126 AK132 AK138 AK144 AK150 AK156 AK162 AK168 AK174 AK180 AK186 AK192 AK198 AK204 AK210 AK216 AK222 AK228 AK234 AK240 AK246 AK252 AK258 AK264 AK270 AK276 AK282 AK288 AK294 AK300 AK306 AK312 AK318 AK324 AK330 AK336 AK342 AK348 AK354 AK360 AK366 AK372 AK378 AK384 AK390 AK396 AK402 AK14 AK20 AK26 AK32 AK38 AK44 AK50 AK56 AK62 AK68 AK74 AK80 AK86 AK92 AK98 AK104 AK110 AK116 AK122 AK128 AK134 AK140 AK146 AK152 AK158 AK164 AK170 AK176 AK182 AK188 AK194 AK200 AK206 AK212 AK218 AK224 AK230 AK236 AK242 AK248 AK254 AK260 AK266 AK272 AK278 AK284 AK290 AK296 AK302 AK308 AK314 AK320 AK326 AK332 AK338 AK344 AK350 AK356 AK362 AK368 AK374 AK380 AK386 AK392 AK398 AK404">
    <cfRule type="cellIs" dxfId="253" priority="409" stopIfTrue="1" operator="greaterThan">
      <formula>0.03</formula>
    </cfRule>
    <cfRule type="cellIs" dxfId="252" priority="410" stopIfTrue="1" operator="lessThan">
      <formula>-0.03</formula>
    </cfRule>
  </conditionalFormatting>
  <conditionalFormatting sqref="AP494">
    <cfRule type="cellIs" dxfId="251" priority="539" stopIfTrue="1" operator="greaterThan">
      <formula>0.03</formula>
    </cfRule>
    <cfRule type="cellIs" dxfId="250" priority="540" stopIfTrue="1" operator="lessThan">
      <formula>-0.03</formula>
    </cfRule>
  </conditionalFormatting>
  <conditionalFormatting sqref="AP412">
    <cfRule type="cellIs" dxfId="249" priority="541" stopIfTrue="1" operator="greaterThan">
      <formula>0.03</formula>
    </cfRule>
    <cfRule type="cellIs" dxfId="248" priority="542" stopIfTrue="1" operator="lessThan">
      <formula>-0.03</formula>
    </cfRule>
  </conditionalFormatting>
  <conditionalFormatting sqref="AN409:AN411">
    <cfRule type="cellIs" dxfId="247" priority="393" stopIfTrue="1" operator="greaterThan">
      <formula>0.03</formula>
    </cfRule>
    <cfRule type="cellIs" dxfId="246" priority="394" stopIfTrue="1" operator="lessThan">
      <formula>-0.03</formula>
    </cfRule>
  </conditionalFormatting>
  <conditionalFormatting sqref="AP4">
    <cfRule type="cellIs" dxfId="245" priority="533" stopIfTrue="1" operator="greaterThan">
      <formula>0.03</formula>
    </cfRule>
    <cfRule type="cellIs" dxfId="244" priority="534" stopIfTrue="1" operator="lessThan">
      <formula>-0.03</formula>
    </cfRule>
  </conditionalFormatting>
  <conditionalFormatting sqref="AL4">
    <cfRule type="cellIs" dxfId="243" priority="515" stopIfTrue="1" operator="greaterThan">
      <formula>0.03</formula>
    </cfRule>
    <cfRule type="cellIs" dxfId="242" priority="516" stopIfTrue="1" operator="lessThan">
      <formula>-0.03</formula>
    </cfRule>
  </conditionalFormatting>
  <conditionalFormatting sqref="AG436:AG444">
    <cfRule type="cellIs" dxfId="241" priority="343" stopIfTrue="1" operator="greaterThan">
      <formula>0.03</formula>
    </cfRule>
    <cfRule type="cellIs" dxfId="240" priority="344" stopIfTrue="1" operator="lessThan">
      <formula>-0.03</formula>
    </cfRule>
  </conditionalFormatting>
  <conditionalFormatting sqref="AH445:AJ447">
    <cfRule type="cellIs" dxfId="239" priority="323" stopIfTrue="1" operator="greaterThan">
      <formula>0.03</formula>
    </cfRule>
    <cfRule type="cellIs" dxfId="238" priority="324" stopIfTrue="1" operator="lessThan">
      <formula>-0.03</formula>
    </cfRule>
  </conditionalFormatting>
  <conditionalFormatting sqref="AP409:AP411">
    <cfRule type="cellIs" dxfId="237" priority="391" stopIfTrue="1" operator="greaterThan">
      <formula>0.03</formula>
    </cfRule>
    <cfRule type="cellIs" dxfId="236" priority="392" stopIfTrue="1" operator="lessThan">
      <formula>-0.03</formula>
    </cfRule>
  </conditionalFormatting>
  <conditionalFormatting sqref="AL412">
    <cfRule type="cellIs" dxfId="235" priority="523" stopIfTrue="1" operator="greaterThan">
      <formula>0.03</formula>
    </cfRule>
    <cfRule type="cellIs" dxfId="234" priority="524" stopIfTrue="1" operator="lessThan">
      <formula>-0.03</formula>
    </cfRule>
  </conditionalFormatting>
  <conditionalFormatting sqref="AG418">
    <cfRule type="cellIs" dxfId="233" priority="235" stopIfTrue="1" operator="greaterThan">
      <formula>0.03</formula>
    </cfRule>
    <cfRule type="cellIs" dxfId="232" priority="236" stopIfTrue="1" operator="lessThan">
      <formula>-0.03</formula>
    </cfRule>
  </conditionalFormatting>
  <conditionalFormatting sqref="AL494">
    <cfRule type="cellIs" dxfId="231" priority="521" stopIfTrue="1" operator="greaterThan">
      <formula>0.03</formula>
    </cfRule>
    <cfRule type="cellIs" dxfId="230" priority="522" stopIfTrue="1" operator="lessThan">
      <formula>-0.03</formula>
    </cfRule>
  </conditionalFormatting>
  <conditionalFormatting sqref="AH454:AJ456">
    <cfRule type="cellIs" dxfId="229" priority="301" stopIfTrue="1" operator="greaterThan">
      <formula>0.03</formula>
    </cfRule>
    <cfRule type="cellIs" dxfId="228" priority="302" stopIfTrue="1" operator="lessThan">
      <formula>-0.03</formula>
    </cfRule>
  </conditionalFormatting>
  <conditionalFormatting sqref="AP430">
    <cfRule type="cellIs" dxfId="227" priority="201" stopIfTrue="1" operator="greaterThan">
      <formula>0.03</formula>
    </cfRule>
    <cfRule type="cellIs" dxfId="226" priority="202" stopIfTrue="1" operator="lessThan">
      <formula>-0.03</formula>
    </cfRule>
  </conditionalFormatting>
  <conditionalFormatting sqref="AK4 AK6 AK8">
    <cfRule type="cellIs" dxfId="225" priority="479" stopIfTrue="1" operator="greaterThan">
      <formula>0.03</formula>
    </cfRule>
    <cfRule type="cellIs" dxfId="224" priority="480" stopIfTrue="1" operator="lessThan">
      <formula>-0.03</formula>
    </cfRule>
  </conditionalFormatting>
  <conditionalFormatting sqref="AO4 AO6 AO8">
    <cfRule type="cellIs" dxfId="223" priority="461" stopIfTrue="1" operator="greaterThan">
      <formula>0.03</formula>
    </cfRule>
    <cfRule type="cellIs" dxfId="222" priority="462" stopIfTrue="1" operator="lessThan">
      <formula>-0.03</formula>
    </cfRule>
  </conditionalFormatting>
  <conditionalFormatting sqref="AL10 AL16 AL22 AL28 AL34 AL40 AL46 AL52 AL58 AL64 AL70 AL76 AL82 AL88 AL94 AL100 AL106 AL112 AL118 AL124 AL130 AL136 AL142 AL148 AL154 AL160 AL166 AL172 AL178 AL184 AL190 AL196 AL202 AL208 AL214 AL220 AL226 AL232 AL238 AL244 AL250 AL256 AL262 AL268 AL274 AL280 AL286 AL292 AL298 AL304 AL310 AL316 AL322 AL328 AL334 AL340 AL346 AL352 AL358 AL364 AL370 AL376 AL382 AL388 AL394 AL400">
    <cfRule type="cellIs" dxfId="221" priority="411" stopIfTrue="1" operator="greaterThan">
      <formula>0.03</formula>
    </cfRule>
    <cfRule type="cellIs" dxfId="220" priority="412" stopIfTrue="1" operator="lessThan">
      <formula>-0.03</formula>
    </cfRule>
  </conditionalFormatting>
  <conditionalFormatting sqref="AL430">
    <cfRule type="cellIs" dxfId="219" priority="205" stopIfTrue="1" operator="greaterThan">
      <formula>0.03</formula>
    </cfRule>
    <cfRule type="cellIs" dxfId="218" priority="206" stopIfTrue="1" operator="lessThan">
      <formula>-0.03</formula>
    </cfRule>
  </conditionalFormatting>
  <conditionalFormatting sqref="AO494">
    <cfRule type="cellIs" dxfId="217" priority="467" stopIfTrue="1" operator="greaterThan">
      <formula>0.03</formula>
    </cfRule>
    <cfRule type="cellIs" dxfId="216" priority="468" stopIfTrue="1" operator="lessThan">
      <formula>-0.03</formula>
    </cfRule>
  </conditionalFormatting>
  <conditionalFormatting sqref="AG445:AG453">
    <cfRule type="cellIs" dxfId="215" priority="321" stopIfTrue="1" operator="greaterThan">
      <formula>0.03</formula>
    </cfRule>
    <cfRule type="cellIs" dxfId="214" priority="322" stopIfTrue="1" operator="lessThan">
      <formula>-0.03</formula>
    </cfRule>
  </conditionalFormatting>
  <conditionalFormatting sqref="AM4 AM6 AM8">
    <cfRule type="cellIs" dxfId="213" priority="443" stopIfTrue="1" operator="greaterThan">
      <formula>0.03</formula>
    </cfRule>
    <cfRule type="cellIs" dxfId="212" priority="444" stopIfTrue="1" operator="lessThan">
      <formula>-0.03</formula>
    </cfRule>
  </conditionalFormatting>
  <conditionalFormatting sqref="AL439">
    <cfRule type="cellIs" dxfId="211" priority="191" stopIfTrue="1" operator="greaterThan">
      <formula>0.03</formula>
    </cfRule>
    <cfRule type="cellIs" dxfId="210" priority="192" stopIfTrue="1" operator="lessThan">
      <formula>-0.03</formula>
    </cfRule>
  </conditionalFormatting>
  <conditionalFormatting sqref="AM494">
    <cfRule type="cellIs" dxfId="209" priority="449" stopIfTrue="1" operator="greaterThan">
      <formula>0.03</formula>
    </cfRule>
    <cfRule type="cellIs" dxfId="208" priority="450" stopIfTrue="1" operator="lessThan">
      <formula>-0.03</formula>
    </cfRule>
  </conditionalFormatting>
  <conditionalFormatting sqref="AL421">
    <cfRule type="cellIs" dxfId="207" priority="219" stopIfTrue="1" operator="greaterThan">
      <formula>0.03</formula>
    </cfRule>
    <cfRule type="cellIs" dxfId="206" priority="220" stopIfTrue="1" operator="lessThan">
      <formula>-0.03</formula>
    </cfRule>
  </conditionalFormatting>
  <conditionalFormatting sqref="AH10:AJ10 AH16:AJ16 AH22:AJ22 AH28:AJ28 AH34:AJ34 AH40:AJ40 AH46:AJ46 AH52:AJ52 AH58:AJ58 AH64:AJ64 AH70:AJ70 AH76:AJ76 AH82:AJ82 AH88:AJ88 AH94:AJ94 AH100:AJ100 AH106:AJ106 AH112:AJ112 AH118:AJ118 AH124:AJ124 AH130:AJ130 AH136:AJ136 AH142:AJ142 AH148:AJ148 AH154:AJ154 AH160:AJ160 AH166:AJ166 AH172:AJ172 AH178:AJ178 AH184:AJ184 AH190:AJ190 AH196:AJ196 AH202:AJ202 AH208:AJ208 AH214:AJ214 AH220:AJ220 AH226:AJ226 AH232:AJ232 AH238:AJ238 AH244:AJ244 AH250:AJ250 AH256:AJ256 AH262:AJ262 AH268:AJ268 AH274:AJ274 AH280:AJ280 AH286:AJ286 AH292:AJ292 AH298:AJ298 AH304:AJ304 AH310:AJ310 AH316:AJ316 AH322:AJ322 AH328:AJ328 AH334:AJ334 AH340:AJ340 AH346:AJ346 AH352:AJ352 AH358:AJ358 AH364:AJ364 AH370:AJ370 AH376:AJ376 AH382:AJ382 AH388:AJ388 AH394:AJ394 AH400:AJ400">
    <cfRule type="cellIs" dxfId="205" priority="417" stopIfTrue="1" operator="greaterThan">
      <formula>0.03</formula>
    </cfRule>
    <cfRule type="cellIs" dxfId="204" priority="418" stopIfTrue="1" operator="lessThan">
      <formula>-0.03</formula>
    </cfRule>
  </conditionalFormatting>
  <conditionalFormatting sqref="AN4">
    <cfRule type="cellIs" dxfId="203" priority="425" stopIfTrue="1" operator="greaterThan">
      <formula>0.03</formula>
    </cfRule>
    <cfRule type="cellIs" dxfId="202" priority="426" stopIfTrue="1" operator="lessThan">
      <formula>-0.03</formula>
    </cfRule>
  </conditionalFormatting>
  <conditionalFormatting sqref="AN494">
    <cfRule type="cellIs" dxfId="201" priority="431" stopIfTrue="1" operator="greaterThan">
      <formula>0.03</formula>
    </cfRule>
    <cfRule type="cellIs" dxfId="200" priority="432" stopIfTrue="1" operator="lessThan">
      <formula>-0.03</formula>
    </cfRule>
  </conditionalFormatting>
  <conditionalFormatting sqref="AK409:AK417">
    <cfRule type="cellIs" dxfId="199" priority="401" stopIfTrue="1" operator="greaterThan">
      <formula>0.03</formula>
    </cfRule>
    <cfRule type="cellIs" dxfId="198" priority="402" stopIfTrue="1" operator="lessThan">
      <formula>-0.03</formula>
    </cfRule>
  </conditionalFormatting>
  <conditionalFormatting sqref="AH421">
    <cfRule type="cellIs" dxfId="197" priority="233" stopIfTrue="1" operator="greaterThan">
      <formula>0.03</formula>
    </cfRule>
    <cfRule type="cellIs" dxfId="196" priority="234" stopIfTrue="1" operator="lessThan">
      <formula>-0.03</formula>
    </cfRule>
  </conditionalFormatting>
  <conditionalFormatting sqref="AG10 AG16 AG22 AG28 AG34 AG40 AG46 AG52 AG58 AG64 AG70 AG76 AG82 AG88 AG94 AG100 AG106 AG112 AG118 AG124 AG130 AG136 AG142 AG148 AG154 AG160 AG166 AG172 AG178 AG184 AG190 AG196 AG202 AG208 AG214 AG220 AG226 AG232 AG238 AG244 AG250 AG256 AG262 AG268 AG274 AG280 AG286 AG292 AG298 AG304 AG310 AG316 AG322 AG328 AG334 AG340 AG346 AG352 AG358 AG364 AG370 AG376 AG382 AG388 AG394 AG400 AG12 AG18 AG24 AG30 AG36 AG42 AG48 AG54 AG60 AG66 AG72 AG78 AG84 AG90 AG96 AG102 AG108 AG114 AG120 AG126 AG132 AG138 AG144 AG150 AG156 AG162 AG168 AG174 AG180 AG186 AG192 AG198 AG204 AG210 AG216 AG222 AG228 AG234 AG240 AG246 AG252 AG258 AG264 AG270 AG276 AG282 AG288 AG294 AG300 AG306 AG312 AG318 AG324 AG330 AG336 AG342 AG348 AG354 AG360 AG366 AG372 AG378 AG384 AG390 AG396 AG402 AG14 AG20 AG26 AG32 AG38 AG44 AG50 AG56 AG62 AG68 AG74 AG80 AG86 AG92 AG98 AG104 AG110 AG116 AG122 AG128 AG134 AG140 AG146 AG152 AG158 AG164 AG170 AG176 AG182 AG188 AG194 AG200 AG206 AG212 AG218 AG224 AG230 AG236 AG242 AG248 AG254 AG260 AG266 AG272 AG278 AG284 AG290 AG296 AG302 AG308 AG314 AG320 AG326 AG332 AG338 AG344 AG350 AG356 AG362 AG368 AG374 AG380 AG386 AG392 AG398 AG404">
    <cfRule type="cellIs" dxfId="195" priority="415" stopIfTrue="1" operator="greaterThan">
      <formula>0.03</formula>
    </cfRule>
    <cfRule type="cellIs" dxfId="194" priority="416" stopIfTrue="1" operator="lessThan">
      <formula>-0.03</formula>
    </cfRule>
  </conditionalFormatting>
  <conditionalFormatting sqref="AO419:AO426">
    <cfRule type="cellIs" dxfId="193" priority="115" stopIfTrue="1" operator="greaterThan">
      <formula>0.03</formula>
    </cfRule>
    <cfRule type="cellIs" dxfId="192" priority="116" stopIfTrue="1" operator="lessThan">
      <formula>-0.03</formula>
    </cfRule>
  </conditionalFormatting>
  <conditionalFormatting sqref="AP10 AP16 AP22 AP28 AP34 AP40 AP46 AP52 AP58 AP64 AP70 AP76 AP82 AP88 AP94 AP100 AP106 AP112 AP118 AP124 AP130 AP136 AP142 AP148 AP154 AP160 AP166 AP172 AP178 AP184 AP190 AP196 AP202 AP208 AP214 AP220 AP226 AP232 AP238 AP244 AP250 AP256 AP262 AP268 AP274 AP280 AP286 AP292 AP298 AP304 AP310 AP316 AP322 AP328 AP334 AP340 AP346 AP352 AP358 AP364 AP370 AP376 AP382 AP388 AP394 AP400">
    <cfRule type="cellIs" dxfId="191" priority="413" stopIfTrue="1" operator="greaterThan">
      <formula>0.03</formula>
    </cfRule>
    <cfRule type="cellIs" dxfId="190" priority="414" stopIfTrue="1" operator="lessThan">
      <formula>-0.03</formula>
    </cfRule>
  </conditionalFormatting>
  <conditionalFormatting sqref="AN10 AN16 AN22 AN28 AN34 AN40 AN46 AN52 AN58 AN64 AN70 AN76 AN82 AN88 AN94 AN100 AN106 AN112 AN118 AN124 AN130 AN136 AN142 AN148 AN154 AN160 AN166 AN172 AN178 AN184 AN190 AN196 AN202 AN208 AN214 AN220 AN226 AN232 AN238 AN244 AN250 AN256 AN262 AN268 AN274 AN280 AN286 AN292 AN298 AN304 AN310 AN316 AN322 AN328 AN334 AN340 AN346 AN352 AN358 AN364 AN370 AN376 AN382 AN388 AN394 AN400">
    <cfRule type="cellIs" dxfId="189" priority="403" stopIfTrue="1" operator="greaterThan">
      <formula>0.03</formula>
    </cfRule>
    <cfRule type="cellIs" dxfId="188" priority="404" stopIfTrue="1" operator="lessThan">
      <formula>-0.03</formula>
    </cfRule>
  </conditionalFormatting>
  <conditionalFormatting sqref="AO10 AO16 AO22 AO28 AO34 AO40 AO46 AO52 AO58 AO64 AO70 AO76 AO82 AO88 AO94 AO100 AO106 AO112 AO118 AO124 AO130 AO136 AO142 AO148 AO154 AO160 AO166 AO172 AO178 AO184 AO190 AO196 AO202 AO208 AO214 AO220 AO226 AO232 AO238 AO244 AO250 AO256 AO262 AO268 AO274 AO280 AO286 AO292 AO298 AO304 AO310 AO316 AO322 AO328 AO334 AO340 AO346 AO352 AO358 AO364 AO370 AO376 AO382 AO388 AO394 AO400 AO12 AO18 AO24 AO30 AO36 AO42 AO48 AO54 AO60 AO66 AO72 AO78 AO84 AO90 AO96 AO102 AO108 AO114 AO120 AO126 AO132 AO138 AO144 AO150 AO156 AO162 AO168 AO174 AO180 AO186 AO192 AO198 AO204 AO210 AO216 AO222 AO228 AO234 AO240 AO246 AO252 AO258 AO264 AO270 AO276 AO282 AO288 AO294 AO300 AO306 AO312 AO318 AO324 AO330 AO336 AO342 AO348 AO354 AO360 AO366 AO372 AO378 AO384 AO390 AO396 AO402 AO14 AO20 AO26 AO32 AO38 AO44 AO50 AO56 AO62 AO68 AO74 AO80 AO86 AO92 AO98 AO104 AO110 AO116 AO122 AO128 AO134 AO140 AO146 AO152 AO158 AO164 AO170 AO176 AO182 AO188 AO194 AO200 AO206 AO212 AO218 AO224 AO230 AO236 AO242 AO248 AO254 AO260 AO266 AO272 AO278 AO284 AO290 AO296 AO302 AO308 AO314 AO320 AO326 AO332 AO338 AO344 AO350 AO356 AO362 AO368 AO374 AO380 AO386 AO392 AO398 AO404">
    <cfRule type="cellIs" dxfId="187" priority="407" stopIfTrue="1" operator="greaterThan">
      <formula>0.03</formula>
    </cfRule>
    <cfRule type="cellIs" dxfId="186" priority="408" stopIfTrue="1" operator="lessThan">
      <formula>-0.03</formula>
    </cfRule>
  </conditionalFormatting>
  <conditionalFormatting sqref="AM10 AM16 AM22 AM28 AM34 AM40 AM46 AM52 AM58 AM64 AM70 AM76 AM82 AM88 AM94 AM100 AM106 AM112 AM118 AM124 AM130 AM136 AM142 AM148 AM154 AM160 AM166 AM172 AM178 AM184 AM190 AM196 AM202 AM208 AM214 AM220 AM226 AM232 AM238 AM244 AM250 AM256 AM262 AM268 AM274 AM280 AM286 AM292 AM298 AM304 AM310 AM316 AM322 AM328 AM334 AM340 AM346 AM352 AM358 AM364 AM370 AM376 AM382 AM388 AM394 AM400 AM12 AM18 AM24 AM30 AM36 AM42 AM48 AM54 AM60 AM66 AM72 AM78 AM84 AM90 AM96 AM102 AM108 AM114 AM120 AM126 AM132 AM138 AM144 AM150 AM156 AM162 AM168 AM174 AM180 AM186 AM192 AM198 AM204 AM210 AM216 AM222 AM228 AM234 AM240 AM246 AM252 AM258 AM264 AM270 AM276 AM282 AM288 AM294 AM300 AM306 AM312 AM318 AM324 AM330 AM336 AM342 AM348 AM354 AM360 AM366 AM372 AM378 AM384 AM390 AM396 AM402 AM14 AM20 AM26 AM32 AM38 AM44 AM50 AM56 AM62 AM68 AM74 AM80 AM86 AM92 AM98 AM104 AM110 AM116 AM122 AM128 AM134 AM140 AM146 AM152 AM158 AM164 AM170 AM176 AM182 AM188 AM194 AM200 AM206 AM212 AM218 AM224 AM230 AM236 AM242 AM248 AM254 AM260 AM266 AM272 AM278 AM284 AM290 AM296 AM302 AM308 AM314 AM320 AM326 AM332 AM338 AM344 AM350 AM356 AM362 AM368 AM374 AM380 AM386 AM392 AM398 AM404">
    <cfRule type="cellIs" dxfId="185" priority="405" stopIfTrue="1" operator="greaterThan">
      <formula>0.03</formula>
    </cfRule>
    <cfRule type="cellIs" dxfId="184" priority="406" stopIfTrue="1" operator="lessThan">
      <formula>-0.03</formula>
    </cfRule>
  </conditionalFormatting>
  <conditionalFormatting sqref="AM409:AM417">
    <cfRule type="cellIs" dxfId="183" priority="399" stopIfTrue="1" operator="greaterThan">
      <formula>0.03</formula>
    </cfRule>
    <cfRule type="cellIs" dxfId="182" priority="400" stopIfTrue="1" operator="lessThan">
      <formula>-0.03</formula>
    </cfRule>
  </conditionalFormatting>
  <conditionalFormatting sqref="AO409:AO417">
    <cfRule type="cellIs" dxfId="181" priority="397" stopIfTrue="1" operator="greaterThan">
      <formula>0.03</formula>
    </cfRule>
    <cfRule type="cellIs" dxfId="180" priority="398" stopIfTrue="1" operator="lessThan">
      <formula>-0.03</formula>
    </cfRule>
  </conditionalFormatting>
  <conditionalFormatting sqref="AL409:AL411">
    <cfRule type="cellIs" dxfId="179" priority="395" stopIfTrue="1" operator="greaterThan">
      <formula>0.03</formula>
    </cfRule>
    <cfRule type="cellIs" dxfId="178" priority="396" stopIfTrue="1" operator="lessThan">
      <formula>-0.03</formula>
    </cfRule>
  </conditionalFormatting>
  <conditionalFormatting sqref="AL448">
    <cfRule type="cellIs" dxfId="177" priority="177" stopIfTrue="1" operator="greaterThan">
      <formula>0.03</formula>
    </cfRule>
    <cfRule type="cellIs" dxfId="176" priority="178" stopIfTrue="1" operator="lessThan">
      <formula>-0.03</formula>
    </cfRule>
  </conditionalFormatting>
  <conditionalFormatting sqref="AP475">
    <cfRule type="cellIs" dxfId="175" priority="131" stopIfTrue="1" operator="greaterThan">
      <formula>0.03</formula>
    </cfRule>
    <cfRule type="cellIs" dxfId="174" priority="132" stopIfTrue="1" operator="lessThan">
      <formula>-0.03</formula>
    </cfRule>
  </conditionalFormatting>
  <conditionalFormatting sqref="AK427:AK435">
    <cfRule type="cellIs" dxfId="173" priority="99" stopIfTrue="1" operator="greaterThan">
      <formula>0.03</formula>
    </cfRule>
    <cfRule type="cellIs" dxfId="172" priority="100" stopIfTrue="1" operator="lessThan">
      <formula>-0.03</formula>
    </cfRule>
  </conditionalFormatting>
  <conditionalFormatting sqref="AH418:AJ420">
    <cfRule type="cellIs" dxfId="171" priority="389" stopIfTrue="1" operator="greaterThan">
      <formula>0.03</formula>
    </cfRule>
    <cfRule type="cellIs" dxfId="170" priority="390" stopIfTrue="1" operator="lessThan">
      <formula>-0.03</formula>
    </cfRule>
  </conditionalFormatting>
  <conditionalFormatting sqref="AG419:AG426">
    <cfRule type="cellIs" dxfId="169" priority="387" stopIfTrue="1" operator="greaterThan">
      <formula>0.03</formula>
    </cfRule>
    <cfRule type="cellIs" dxfId="168" priority="388" stopIfTrue="1" operator="lessThan">
      <formula>-0.03</formula>
    </cfRule>
  </conditionalFormatting>
  <conditionalFormatting sqref="AG454:AG462">
    <cfRule type="cellIs" dxfId="167" priority="299" stopIfTrue="1" operator="greaterThan">
      <formula>0.03</formula>
    </cfRule>
    <cfRule type="cellIs" dxfId="166" priority="300" stopIfTrue="1" operator="lessThan">
      <formula>-0.03</formula>
    </cfRule>
  </conditionalFormatting>
  <conditionalFormatting sqref="AP457">
    <cfRule type="cellIs" dxfId="165" priority="159" stopIfTrue="1" operator="greaterThan">
      <formula>0.03</formula>
    </cfRule>
    <cfRule type="cellIs" dxfId="164" priority="160" stopIfTrue="1" operator="lessThan">
      <formula>-0.03</formula>
    </cfRule>
  </conditionalFormatting>
  <conditionalFormatting sqref="AH436:AJ438">
    <cfRule type="cellIs" dxfId="163" priority="345" stopIfTrue="1" operator="greaterThan">
      <formula>0.03</formula>
    </cfRule>
    <cfRule type="cellIs" dxfId="162" priority="346" stopIfTrue="1" operator="lessThan">
      <formula>-0.03</formula>
    </cfRule>
  </conditionalFormatting>
  <conditionalFormatting sqref="AH427:AJ429">
    <cfRule type="cellIs" dxfId="161" priority="367" stopIfTrue="1" operator="greaterThan">
      <formula>0.03</formula>
    </cfRule>
    <cfRule type="cellIs" dxfId="160" priority="368" stopIfTrue="1" operator="lessThan">
      <formula>-0.03</formula>
    </cfRule>
  </conditionalFormatting>
  <conditionalFormatting sqref="AG427:AG435">
    <cfRule type="cellIs" dxfId="159" priority="365" stopIfTrue="1" operator="greaterThan">
      <formula>0.03</formula>
    </cfRule>
    <cfRule type="cellIs" dxfId="158" priority="366" stopIfTrue="1" operator="lessThan">
      <formula>-0.03</formula>
    </cfRule>
  </conditionalFormatting>
  <conditionalFormatting sqref="AH463:AJ465">
    <cfRule type="cellIs" dxfId="157" priority="279" stopIfTrue="1" operator="greaterThan">
      <formula>0.03</formula>
    </cfRule>
    <cfRule type="cellIs" dxfId="156" priority="280" stopIfTrue="1" operator="lessThan">
      <formula>-0.03</formula>
    </cfRule>
  </conditionalFormatting>
  <conditionalFormatting sqref="AG463:AG471">
    <cfRule type="cellIs" dxfId="155" priority="277" stopIfTrue="1" operator="greaterThan">
      <formula>0.03</formula>
    </cfRule>
    <cfRule type="cellIs" dxfId="154" priority="278" stopIfTrue="1" operator="lessThan">
      <formula>-0.03</formula>
    </cfRule>
  </conditionalFormatting>
  <conditionalFormatting sqref="AN421">
    <cfRule type="cellIs" dxfId="153" priority="217" stopIfTrue="1" operator="greaterThan">
      <formula>0.03</formula>
    </cfRule>
    <cfRule type="cellIs" dxfId="152" priority="218" stopIfTrue="1" operator="lessThan">
      <formula>-0.03</formula>
    </cfRule>
  </conditionalFormatting>
  <conditionalFormatting sqref="AG472:AG482 AG492:AG493">
    <cfRule type="cellIs" dxfId="151" priority="255" stopIfTrue="1" operator="greaterThan">
      <formula>0.03</formula>
    </cfRule>
    <cfRule type="cellIs" dxfId="150" priority="256" stopIfTrue="1" operator="lessThan">
      <formula>-0.03</formula>
    </cfRule>
  </conditionalFormatting>
  <conditionalFormatting sqref="AH472:AJ474">
    <cfRule type="cellIs" dxfId="149" priority="257" stopIfTrue="1" operator="greaterThan">
      <formula>0.03</formula>
    </cfRule>
    <cfRule type="cellIs" dxfId="148" priority="258" stopIfTrue="1" operator="lessThan">
      <formula>-0.03</formula>
    </cfRule>
  </conditionalFormatting>
  <conditionalFormatting sqref="AN430">
    <cfRule type="cellIs" dxfId="147" priority="203" stopIfTrue="1" operator="greaterThan">
      <formula>0.03</formula>
    </cfRule>
    <cfRule type="cellIs" dxfId="146" priority="204" stopIfTrue="1" operator="lessThan">
      <formula>-0.03</formula>
    </cfRule>
  </conditionalFormatting>
  <conditionalFormatting sqref="AH430">
    <cfRule type="cellIs" dxfId="145" priority="207" stopIfTrue="1" operator="greaterThan">
      <formula>0.03</formula>
    </cfRule>
    <cfRule type="cellIs" dxfId="144" priority="208" stopIfTrue="1" operator="lessThan">
      <formula>-0.03</formula>
    </cfRule>
  </conditionalFormatting>
  <conditionalFormatting sqref="AN466">
    <cfRule type="cellIs" dxfId="143" priority="147" stopIfTrue="1" operator="greaterThan">
      <formula>0.03</formula>
    </cfRule>
    <cfRule type="cellIs" dxfId="142" priority="148" stopIfTrue="1" operator="lessThan">
      <formula>-0.03</formula>
    </cfRule>
  </conditionalFormatting>
  <conditionalFormatting sqref="AK418">
    <cfRule type="cellIs" dxfId="141" priority="127" stopIfTrue="1" operator="greaterThan">
      <formula>0.03</formula>
    </cfRule>
    <cfRule type="cellIs" dxfId="140" priority="128" stopIfTrue="1" operator="lessThan">
      <formula>-0.03</formula>
    </cfRule>
  </conditionalFormatting>
  <conditionalFormatting sqref="AP421">
    <cfRule type="cellIs" dxfId="139" priority="117" stopIfTrue="1" operator="greaterThan">
      <formula>0.03</formula>
    </cfRule>
    <cfRule type="cellIs" dxfId="138" priority="118" stopIfTrue="1" operator="lessThan">
      <formula>-0.03</formula>
    </cfRule>
  </conditionalFormatting>
  <conditionalFormatting sqref="AH475">
    <cfRule type="cellIs" dxfId="137" priority="137" stopIfTrue="1" operator="greaterThan">
      <formula>0.03</formula>
    </cfRule>
    <cfRule type="cellIs" dxfId="136" priority="138" stopIfTrue="1" operator="lessThan">
      <formula>-0.03</formula>
    </cfRule>
  </conditionalFormatting>
  <conditionalFormatting sqref="AL457">
    <cfRule type="cellIs" dxfId="135" priority="163" stopIfTrue="1" operator="greaterThan">
      <formula>0.03</formula>
    </cfRule>
    <cfRule type="cellIs" dxfId="134" priority="164" stopIfTrue="1" operator="lessThan">
      <formula>-0.03</formula>
    </cfRule>
  </conditionalFormatting>
  <conditionalFormatting sqref="AP427:AP429">
    <cfRule type="cellIs" dxfId="133" priority="101" stopIfTrue="1" operator="greaterThan">
      <formula>0.03</formula>
    </cfRule>
    <cfRule type="cellIs" dxfId="132" priority="102" stopIfTrue="1" operator="lessThan">
      <formula>-0.03</formula>
    </cfRule>
  </conditionalFormatting>
  <conditionalFormatting sqref="AO418">
    <cfRule type="cellIs" dxfId="131" priority="113" stopIfTrue="1" operator="greaterThan">
      <formula>0.03</formula>
    </cfRule>
    <cfRule type="cellIs" dxfId="130" priority="114" stopIfTrue="1" operator="lessThan">
      <formula>-0.03</formula>
    </cfRule>
  </conditionalFormatting>
  <conditionalFormatting sqref="AN448">
    <cfRule type="cellIs" dxfId="129" priority="175" stopIfTrue="1" operator="greaterThan">
      <formula>0.03</formula>
    </cfRule>
    <cfRule type="cellIs" dxfId="128" priority="176" stopIfTrue="1" operator="lessThan">
      <formula>-0.03</formula>
    </cfRule>
  </conditionalFormatting>
  <conditionalFormatting sqref="AP448">
    <cfRule type="cellIs" dxfId="127" priority="173" stopIfTrue="1" operator="greaterThan">
      <formula>0.03</formula>
    </cfRule>
    <cfRule type="cellIs" dxfId="126" priority="174" stopIfTrue="1" operator="lessThan">
      <formula>-0.03</formula>
    </cfRule>
  </conditionalFormatting>
  <conditionalFormatting sqref="AH439">
    <cfRule type="cellIs" dxfId="125" priority="193" stopIfTrue="1" operator="greaterThan">
      <formula>0.03</formula>
    </cfRule>
    <cfRule type="cellIs" dxfId="124" priority="194" stopIfTrue="1" operator="lessThan">
      <formula>-0.03</formula>
    </cfRule>
  </conditionalFormatting>
  <conditionalFormatting sqref="AN439">
    <cfRule type="cellIs" dxfId="123" priority="189" stopIfTrue="1" operator="greaterThan">
      <formula>0.03</formula>
    </cfRule>
    <cfRule type="cellIs" dxfId="122" priority="190" stopIfTrue="1" operator="lessThan">
      <formula>-0.03</formula>
    </cfRule>
  </conditionalFormatting>
  <conditionalFormatting sqref="AP439">
    <cfRule type="cellIs" dxfId="121" priority="187" stopIfTrue="1" operator="greaterThan">
      <formula>0.03</formula>
    </cfRule>
    <cfRule type="cellIs" dxfId="120" priority="188" stopIfTrue="1" operator="lessThan">
      <formula>-0.03</formula>
    </cfRule>
  </conditionalFormatting>
  <conditionalFormatting sqref="AH466">
    <cfRule type="cellIs" dxfId="119" priority="151" stopIfTrue="1" operator="greaterThan">
      <formula>0.03</formula>
    </cfRule>
    <cfRule type="cellIs" dxfId="118" priority="152" stopIfTrue="1" operator="lessThan">
      <formula>-0.03</formula>
    </cfRule>
  </conditionalFormatting>
  <conditionalFormatting sqref="AH448">
    <cfRule type="cellIs" dxfId="117" priority="179" stopIfTrue="1" operator="greaterThan">
      <formula>0.03</formula>
    </cfRule>
    <cfRule type="cellIs" dxfId="116" priority="180" stopIfTrue="1" operator="lessThan">
      <formula>-0.03</formula>
    </cfRule>
  </conditionalFormatting>
  <conditionalFormatting sqref="AP466">
    <cfRule type="cellIs" dxfId="115" priority="145" stopIfTrue="1" operator="greaterThan">
      <formula>0.03</formula>
    </cfRule>
    <cfRule type="cellIs" dxfId="114" priority="146" stopIfTrue="1" operator="lessThan">
      <formula>-0.03</formula>
    </cfRule>
  </conditionalFormatting>
  <conditionalFormatting sqref="AN427:AN429">
    <cfRule type="cellIs" dxfId="113" priority="103" stopIfTrue="1" operator="greaterThan">
      <formula>0.03</formula>
    </cfRule>
    <cfRule type="cellIs" dxfId="112" priority="104" stopIfTrue="1" operator="lessThan">
      <formula>-0.03</formula>
    </cfRule>
  </conditionalFormatting>
  <conditionalFormatting sqref="AH457">
    <cfRule type="cellIs" dxfId="111" priority="165" stopIfTrue="1" operator="greaterThan">
      <formula>0.03</formula>
    </cfRule>
    <cfRule type="cellIs" dxfId="110" priority="166" stopIfTrue="1" operator="lessThan">
      <formula>-0.03</formula>
    </cfRule>
  </conditionalFormatting>
  <conditionalFormatting sqref="AN457">
    <cfRule type="cellIs" dxfId="109" priority="161" stopIfTrue="1" operator="greaterThan">
      <formula>0.03</formula>
    </cfRule>
    <cfRule type="cellIs" dxfId="108" priority="162" stopIfTrue="1" operator="lessThan">
      <formula>-0.03</formula>
    </cfRule>
  </conditionalFormatting>
  <conditionalFormatting sqref="AL466">
    <cfRule type="cellIs" dxfId="107" priority="149" stopIfTrue="1" operator="greaterThan">
      <formula>0.03</formula>
    </cfRule>
    <cfRule type="cellIs" dxfId="106" priority="150" stopIfTrue="1" operator="lessThan">
      <formula>-0.03</formula>
    </cfRule>
  </conditionalFormatting>
  <conditionalFormatting sqref="AL475">
    <cfRule type="cellIs" dxfId="105" priority="135" stopIfTrue="1" operator="greaterThan">
      <formula>0.03</formula>
    </cfRule>
    <cfRule type="cellIs" dxfId="104" priority="136" stopIfTrue="1" operator="lessThan">
      <formula>-0.03</formula>
    </cfRule>
  </conditionalFormatting>
  <conditionalFormatting sqref="AN475">
    <cfRule type="cellIs" dxfId="103" priority="133" stopIfTrue="1" operator="greaterThan">
      <formula>0.03</formula>
    </cfRule>
    <cfRule type="cellIs" dxfId="102" priority="134" stopIfTrue="1" operator="lessThan">
      <formula>-0.03</formula>
    </cfRule>
  </conditionalFormatting>
  <conditionalFormatting sqref="AK419:AK426">
    <cfRule type="cellIs" dxfId="101" priority="129" stopIfTrue="1" operator="greaterThan">
      <formula>0.03</formula>
    </cfRule>
    <cfRule type="cellIs" dxfId="100" priority="130" stopIfTrue="1" operator="lessThan">
      <formula>-0.03</formula>
    </cfRule>
  </conditionalFormatting>
  <conditionalFormatting sqref="AL418:AL420">
    <cfRule type="cellIs" dxfId="99" priority="125" stopIfTrue="1" operator="greaterThan">
      <formula>0.03</formula>
    </cfRule>
    <cfRule type="cellIs" dxfId="98" priority="126" stopIfTrue="1" operator="lessThan">
      <formula>-0.03</formula>
    </cfRule>
  </conditionalFormatting>
  <conditionalFormatting sqref="AM418">
    <cfRule type="cellIs" dxfId="97" priority="121" stopIfTrue="1" operator="greaterThan">
      <formula>0.03</formula>
    </cfRule>
    <cfRule type="cellIs" dxfId="96" priority="122" stopIfTrue="1" operator="lessThan">
      <formula>-0.03</formula>
    </cfRule>
  </conditionalFormatting>
  <conditionalFormatting sqref="AM419:AM426">
    <cfRule type="cellIs" dxfId="95" priority="123" stopIfTrue="1" operator="greaterThan">
      <formula>0.03</formula>
    </cfRule>
    <cfRule type="cellIs" dxfId="94" priority="124" stopIfTrue="1" operator="lessThan">
      <formula>-0.03</formula>
    </cfRule>
  </conditionalFormatting>
  <conditionalFormatting sqref="AN418:AN420">
    <cfRule type="cellIs" dxfId="93" priority="119" stopIfTrue="1" operator="greaterThan">
      <formula>0.03</formula>
    </cfRule>
    <cfRule type="cellIs" dxfId="92" priority="120" stopIfTrue="1" operator="lessThan">
      <formula>-0.03</formula>
    </cfRule>
  </conditionalFormatting>
  <conditionalFormatting sqref="AP418:AP420">
    <cfRule type="cellIs" dxfId="91" priority="111" stopIfTrue="1" operator="greaterThan">
      <formula>0.03</formula>
    </cfRule>
    <cfRule type="cellIs" dxfId="90" priority="112" stopIfTrue="1" operator="lessThan">
      <formula>-0.03</formula>
    </cfRule>
  </conditionalFormatting>
  <conditionalFormatting sqref="AM427:AM435">
    <cfRule type="cellIs" dxfId="89" priority="109" stopIfTrue="1" operator="greaterThan">
      <formula>0.03</formula>
    </cfRule>
    <cfRule type="cellIs" dxfId="88" priority="110" stopIfTrue="1" operator="lessThan">
      <formula>-0.03</formula>
    </cfRule>
  </conditionalFormatting>
  <conditionalFormatting sqref="AO427:AO435">
    <cfRule type="cellIs" dxfId="87" priority="107" stopIfTrue="1" operator="greaterThan">
      <formula>0.03</formula>
    </cfRule>
    <cfRule type="cellIs" dxfId="86" priority="108" stopIfTrue="1" operator="lessThan">
      <formula>-0.03</formula>
    </cfRule>
  </conditionalFormatting>
  <conditionalFormatting sqref="AL427:AL429">
    <cfRule type="cellIs" dxfId="85" priority="105" stopIfTrue="1" operator="greaterThan">
      <formula>0.03</formula>
    </cfRule>
    <cfRule type="cellIs" dxfId="84" priority="106" stopIfTrue="1" operator="lessThan">
      <formula>-0.03</formula>
    </cfRule>
  </conditionalFormatting>
  <conditionalFormatting sqref="AK436:AK444">
    <cfRule type="cellIs" dxfId="83" priority="97" stopIfTrue="1" operator="greaterThan">
      <formula>0.03</formula>
    </cfRule>
    <cfRule type="cellIs" dxfId="82" priority="98" stopIfTrue="1" operator="lessThan">
      <formula>-0.03</formula>
    </cfRule>
  </conditionalFormatting>
  <conditionalFormatting sqref="AM436:AM444">
    <cfRule type="cellIs" dxfId="81" priority="95" stopIfTrue="1" operator="greaterThan">
      <formula>0.03</formula>
    </cfRule>
    <cfRule type="cellIs" dxfId="80" priority="96" stopIfTrue="1" operator="lessThan">
      <formula>-0.03</formula>
    </cfRule>
  </conditionalFormatting>
  <conditionalFormatting sqref="AO436:AO444">
    <cfRule type="cellIs" dxfId="79" priority="93" stopIfTrue="1" operator="greaterThan">
      <formula>0.03</formula>
    </cfRule>
    <cfRule type="cellIs" dxfId="78" priority="94" stopIfTrue="1" operator="lessThan">
      <formula>-0.03</formula>
    </cfRule>
  </conditionalFormatting>
  <conditionalFormatting sqref="AL436:AL438">
    <cfRule type="cellIs" dxfId="77" priority="91" stopIfTrue="1" operator="greaterThan">
      <formula>0.03</formula>
    </cfRule>
    <cfRule type="cellIs" dxfId="76" priority="92" stopIfTrue="1" operator="lessThan">
      <formula>-0.03</formula>
    </cfRule>
  </conditionalFormatting>
  <conditionalFormatting sqref="AN436:AN438">
    <cfRule type="cellIs" dxfId="75" priority="89" stopIfTrue="1" operator="greaterThan">
      <formula>0.03</formula>
    </cfRule>
    <cfRule type="cellIs" dxfId="74" priority="90" stopIfTrue="1" operator="lessThan">
      <formula>-0.03</formula>
    </cfRule>
  </conditionalFormatting>
  <conditionalFormatting sqref="AP436:AP438">
    <cfRule type="cellIs" dxfId="73" priority="87" stopIfTrue="1" operator="greaterThan">
      <formula>0.03</formula>
    </cfRule>
    <cfRule type="cellIs" dxfId="72" priority="88" stopIfTrue="1" operator="lessThan">
      <formula>-0.03</formula>
    </cfRule>
  </conditionalFormatting>
  <conditionalFormatting sqref="AK445:AK453">
    <cfRule type="cellIs" dxfId="71" priority="85" stopIfTrue="1" operator="greaterThan">
      <formula>0.03</formula>
    </cfRule>
    <cfRule type="cellIs" dxfId="70" priority="86" stopIfTrue="1" operator="lessThan">
      <formula>-0.03</formula>
    </cfRule>
  </conditionalFormatting>
  <conditionalFormatting sqref="AM445:AM453">
    <cfRule type="cellIs" dxfId="69" priority="83" stopIfTrue="1" operator="greaterThan">
      <formula>0.03</formula>
    </cfRule>
    <cfRule type="cellIs" dxfId="68" priority="84" stopIfTrue="1" operator="lessThan">
      <formula>-0.03</formula>
    </cfRule>
  </conditionalFormatting>
  <conditionalFormatting sqref="AO445:AO453">
    <cfRule type="cellIs" dxfId="67" priority="81" stopIfTrue="1" operator="greaterThan">
      <formula>0.03</formula>
    </cfRule>
    <cfRule type="cellIs" dxfId="66" priority="82" stopIfTrue="1" operator="lessThan">
      <formula>-0.03</formula>
    </cfRule>
  </conditionalFormatting>
  <conditionalFormatting sqref="AL445:AL447">
    <cfRule type="cellIs" dxfId="65" priority="79" stopIfTrue="1" operator="greaterThan">
      <formula>0.03</formula>
    </cfRule>
    <cfRule type="cellIs" dxfId="64" priority="80" stopIfTrue="1" operator="lessThan">
      <formula>-0.03</formula>
    </cfRule>
  </conditionalFormatting>
  <conditionalFormatting sqref="AN445:AN447">
    <cfRule type="cellIs" dxfId="63" priority="77" stopIfTrue="1" operator="greaterThan">
      <formula>0.03</formula>
    </cfRule>
    <cfRule type="cellIs" dxfId="62" priority="78" stopIfTrue="1" operator="lessThan">
      <formula>-0.03</formula>
    </cfRule>
  </conditionalFormatting>
  <conditionalFormatting sqref="AP445:AP447">
    <cfRule type="cellIs" dxfId="61" priority="75" stopIfTrue="1" operator="greaterThan">
      <formula>0.03</formula>
    </cfRule>
    <cfRule type="cellIs" dxfId="60" priority="76" stopIfTrue="1" operator="lessThan">
      <formula>-0.03</formula>
    </cfRule>
  </conditionalFormatting>
  <conditionalFormatting sqref="AL454:AL456">
    <cfRule type="cellIs" dxfId="59" priority="73" stopIfTrue="1" operator="greaterThan">
      <formula>0.03</formula>
    </cfRule>
    <cfRule type="cellIs" dxfId="58" priority="74" stopIfTrue="1" operator="lessThan">
      <formula>-0.03</formula>
    </cfRule>
  </conditionalFormatting>
  <conditionalFormatting sqref="AN454:AN456">
    <cfRule type="cellIs" dxfId="57" priority="71" stopIfTrue="1" operator="greaterThan">
      <formula>0.03</formula>
    </cfRule>
    <cfRule type="cellIs" dxfId="56" priority="72" stopIfTrue="1" operator="lessThan">
      <formula>-0.03</formula>
    </cfRule>
  </conditionalFormatting>
  <conditionalFormatting sqref="AP454:AP456">
    <cfRule type="cellIs" dxfId="55" priority="69" stopIfTrue="1" operator="greaterThan">
      <formula>0.03</formula>
    </cfRule>
    <cfRule type="cellIs" dxfId="54" priority="70" stopIfTrue="1" operator="lessThan">
      <formula>-0.03</formula>
    </cfRule>
  </conditionalFormatting>
  <conditionalFormatting sqref="AK454:AK462">
    <cfRule type="cellIs" dxfId="53" priority="67" stopIfTrue="1" operator="greaterThan">
      <formula>0.03</formula>
    </cfRule>
    <cfRule type="cellIs" dxfId="52" priority="68" stopIfTrue="1" operator="lessThan">
      <formula>-0.03</formula>
    </cfRule>
  </conditionalFormatting>
  <conditionalFormatting sqref="AM454:AM462">
    <cfRule type="cellIs" dxfId="51" priority="65" stopIfTrue="1" operator="greaterThan">
      <formula>0.03</formula>
    </cfRule>
    <cfRule type="cellIs" dxfId="50" priority="66" stopIfTrue="1" operator="lessThan">
      <formula>-0.03</formula>
    </cfRule>
  </conditionalFormatting>
  <conditionalFormatting sqref="AO454:AO462">
    <cfRule type="cellIs" dxfId="49" priority="63" stopIfTrue="1" operator="greaterThan">
      <formula>0.03</formula>
    </cfRule>
    <cfRule type="cellIs" dxfId="48" priority="64" stopIfTrue="1" operator="lessThan">
      <formula>-0.03</formula>
    </cfRule>
  </conditionalFormatting>
  <conditionalFormatting sqref="AL463:AL465">
    <cfRule type="cellIs" dxfId="47" priority="61" stopIfTrue="1" operator="greaterThan">
      <formula>0.03</formula>
    </cfRule>
    <cfRule type="cellIs" dxfId="46" priority="62" stopIfTrue="1" operator="lessThan">
      <formula>-0.03</formula>
    </cfRule>
  </conditionalFormatting>
  <conditionalFormatting sqref="AN463:AN465">
    <cfRule type="cellIs" dxfId="45" priority="59" stopIfTrue="1" operator="greaterThan">
      <formula>0.03</formula>
    </cfRule>
    <cfRule type="cellIs" dxfId="44" priority="60" stopIfTrue="1" operator="lessThan">
      <formula>-0.03</formula>
    </cfRule>
  </conditionalFormatting>
  <conditionalFormatting sqref="AP463:AP465">
    <cfRule type="cellIs" dxfId="43" priority="57" stopIfTrue="1" operator="greaterThan">
      <formula>0.03</formula>
    </cfRule>
    <cfRule type="cellIs" dxfId="42" priority="58" stopIfTrue="1" operator="lessThan">
      <formula>-0.03</formula>
    </cfRule>
  </conditionalFormatting>
  <conditionalFormatting sqref="AK463:AK471">
    <cfRule type="cellIs" dxfId="41" priority="55" stopIfTrue="1" operator="greaterThan">
      <formula>0.03</formula>
    </cfRule>
    <cfRule type="cellIs" dxfId="40" priority="56" stopIfTrue="1" operator="lessThan">
      <formula>-0.03</formula>
    </cfRule>
  </conditionalFormatting>
  <conditionalFormatting sqref="AM463:AM471">
    <cfRule type="cellIs" dxfId="39" priority="53" stopIfTrue="1" operator="greaterThan">
      <formula>0.03</formula>
    </cfRule>
    <cfRule type="cellIs" dxfId="38" priority="54" stopIfTrue="1" operator="lessThan">
      <formula>-0.03</formula>
    </cfRule>
  </conditionalFormatting>
  <conditionalFormatting sqref="AO463:AO471">
    <cfRule type="cellIs" dxfId="37" priority="51" stopIfTrue="1" operator="greaterThan">
      <formula>0.03</formula>
    </cfRule>
    <cfRule type="cellIs" dxfId="36" priority="52" stopIfTrue="1" operator="lessThan">
      <formula>-0.03</formula>
    </cfRule>
  </conditionalFormatting>
  <conditionalFormatting sqref="AL472:AL474">
    <cfRule type="cellIs" dxfId="35" priority="49" stopIfTrue="1" operator="greaterThan">
      <formula>0.03</formula>
    </cfRule>
    <cfRule type="cellIs" dxfId="34" priority="50" stopIfTrue="1" operator="lessThan">
      <formula>-0.03</formula>
    </cfRule>
  </conditionalFormatting>
  <conditionalFormatting sqref="AN472:AN474">
    <cfRule type="cellIs" dxfId="33" priority="47" stopIfTrue="1" operator="greaterThan">
      <formula>0.03</formula>
    </cfRule>
    <cfRule type="cellIs" dxfId="32" priority="48" stopIfTrue="1" operator="lessThan">
      <formula>-0.03</formula>
    </cfRule>
  </conditionalFormatting>
  <conditionalFormatting sqref="AP472:AP474">
    <cfRule type="cellIs" dxfId="31" priority="45" stopIfTrue="1" operator="greaterThan">
      <formula>0.03</formula>
    </cfRule>
    <cfRule type="cellIs" dxfId="30" priority="46" stopIfTrue="1" operator="lessThan">
      <formula>-0.03</formula>
    </cfRule>
  </conditionalFormatting>
  <conditionalFormatting sqref="AK472:AK482 AK492:AK493">
    <cfRule type="cellIs" dxfId="29" priority="43" stopIfTrue="1" operator="greaterThan">
      <formula>0.03</formula>
    </cfRule>
    <cfRule type="cellIs" dxfId="28" priority="44" stopIfTrue="1" operator="lessThan">
      <formula>-0.03</formula>
    </cfRule>
  </conditionalFormatting>
  <conditionalFormatting sqref="AM472:AM482 AM492:AM493">
    <cfRule type="cellIs" dxfId="27" priority="41" stopIfTrue="1" operator="greaterThan">
      <formula>0.03</formula>
    </cfRule>
    <cfRule type="cellIs" dxfId="26" priority="42" stopIfTrue="1" operator="lessThan">
      <formula>-0.03</formula>
    </cfRule>
  </conditionalFormatting>
  <conditionalFormatting sqref="AO472:AO482 AO492:AO493">
    <cfRule type="cellIs" dxfId="25" priority="39" stopIfTrue="1" operator="greaterThan">
      <formula>0.03</formula>
    </cfRule>
    <cfRule type="cellIs" dxfId="24" priority="40" stopIfTrue="1" operator="lessThan">
      <formula>-0.03</formula>
    </cfRule>
  </conditionalFormatting>
  <conditionalFormatting sqref="AP486">
    <cfRule type="cellIs" dxfId="23" priority="27" stopIfTrue="1" operator="greaterThan">
      <formula>0.03</formula>
    </cfRule>
    <cfRule type="cellIs" dxfId="22" priority="28" stopIfTrue="1" operator="lessThan">
      <formula>-0.03</formula>
    </cfRule>
  </conditionalFormatting>
  <conditionalFormatting sqref="AH483:AJ485">
    <cfRule type="cellIs" dxfId="21" priority="37" stopIfTrue="1" operator="greaterThan">
      <formula>0.03</formula>
    </cfRule>
    <cfRule type="cellIs" dxfId="20" priority="38" stopIfTrue="1" operator="lessThan">
      <formula>-0.03</formula>
    </cfRule>
  </conditionalFormatting>
  <conditionalFormatting sqref="AH486">
    <cfRule type="cellIs" dxfId="19" priority="33" stopIfTrue="1" operator="greaterThan">
      <formula>0.03</formula>
    </cfRule>
    <cfRule type="cellIs" dxfId="18" priority="34" stopIfTrue="1" operator="lessThan">
      <formula>-0.03</formula>
    </cfRule>
  </conditionalFormatting>
  <conditionalFormatting sqref="AL486">
    <cfRule type="cellIs" dxfId="17" priority="31" stopIfTrue="1" operator="greaterThan">
      <formula>0.03</formula>
    </cfRule>
    <cfRule type="cellIs" dxfId="16" priority="32" stopIfTrue="1" operator="lessThan">
      <formula>-0.03</formula>
    </cfRule>
  </conditionalFormatting>
  <conditionalFormatting sqref="AN486">
    <cfRule type="cellIs" dxfId="15" priority="29" stopIfTrue="1" operator="greaterThan">
      <formula>0.03</formula>
    </cfRule>
    <cfRule type="cellIs" dxfId="14" priority="30" stopIfTrue="1" operator="lessThan">
      <formula>-0.03</formula>
    </cfRule>
  </conditionalFormatting>
  <conditionalFormatting sqref="AG483:AG491">
    <cfRule type="cellIs" dxfId="13" priority="13" stopIfTrue="1" operator="greaterThan">
      <formula>0.03</formula>
    </cfRule>
    <cfRule type="cellIs" dxfId="12" priority="14" stopIfTrue="1" operator="lessThan">
      <formula>-0.03</formula>
    </cfRule>
  </conditionalFormatting>
  <conditionalFormatting sqref="AL483:AL485">
    <cfRule type="cellIs" dxfId="11" priority="11" stopIfTrue="1" operator="greaterThan">
      <formula>0.03</formula>
    </cfRule>
    <cfRule type="cellIs" dxfId="10" priority="12" stopIfTrue="1" operator="lessThan">
      <formula>-0.03</formula>
    </cfRule>
  </conditionalFormatting>
  <conditionalFormatting sqref="AN483:AN485">
    <cfRule type="cellIs" dxfId="9" priority="9" stopIfTrue="1" operator="greaterThan">
      <formula>0.03</formula>
    </cfRule>
    <cfRule type="cellIs" dxfId="8" priority="10" stopIfTrue="1" operator="lessThan">
      <formula>-0.03</formula>
    </cfRule>
  </conditionalFormatting>
  <conditionalFormatting sqref="AP483:AP485">
    <cfRule type="cellIs" dxfId="7" priority="7" stopIfTrue="1" operator="greaterThan">
      <formula>0.03</formula>
    </cfRule>
    <cfRule type="cellIs" dxfId="6" priority="8" stopIfTrue="1" operator="lessThan">
      <formula>-0.03</formula>
    </cfRule>
  </conditionalFormatting>
  <conditionalFormatting sqref="AK483:AK491">
    <cfRule type="cellIs" dxfId="5" priority="5" stopIfTrue="1" operator="greaterThan">
      <formula>0.03</formula>
    </cfRule>
    <cfRule type="cellIs" dxfId="4" priority="6" stopIfTrue="1" operator="lessThan">
      <formula>-0.03</formula>
    </cfRule>
  </conditionalFormatting>
  <conditionalFormatting sqref="AM483:AM491">
    <cfRule type="cellIs" dxfId="3" priority="3" stopIfTrue="1" operator="greaterThan">
      <formula>0.03</formula>
    </cfRule>
    <cfRule type="cellIs" dxfId="2" priority="4" stopIfTrue="1" operator="lessThan">
      <formula>-0.03</formula>
    </cfRule>
  </conditionalFormatting>
  <conditionalFormatting sqref="AO483:AO491">
    <cfRule type="cellIs" dxfId="1" priority="1" stopIfTrue="1" operator="greaterThan">
      <formula>0.03</formula>
    </cfRule>
    <cfRule type="cellIs" dxfId="0" priority="2" stopIfTrue="1" operator="lessThan">
      <formula>-0.03</formula>
    </cfRule>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AP517"/>
  <sheetViews>
    <sheetView workbookViewId="0">
      <pane xSplit="10815" ySplit="1980" topLeftCell="U247" activePane="bottomRight"/>
      <selection pane="topRight" activeCell="F1" sqref="F1"/>
      <selection pane="bottomLeft" activeCell="A4" sqref="A4"/>
      <selection pane="bottomRight" activeCell="AH262" sqref="AH262:AH267"/>
    </sheetView>
  </sheetViews>
  <sheetFormatPr defaultColWidth="11" defaultRowHeight="17.100000000000001" customHeight="1" outlineLevelRow="5" outlineLevelCol="1" x14ac:dyDescent="0.25"/>
  <cols>
    <col min="1" max="1" width="4" style="4" bestFit="1" customWidth="1"/>
    <col min="2" max="2" width="8.625" style="4" bestFit="1" customWidth="1"/>
    <col min="3" max="3" width="45.5" style="4" bestFit="1" customWidth="1"/>
    <col min="4" max="4" width="5.375" style="6" bestFit="1" customWidth="1"/>
    <col min="5" max="5" width="7.375" style="4" bestFit="1" customWidth="1"/>
    <col min="6" max="6" width="7.125" style="6" customWidth="1" outlineLevel="1"/>
    <col min="7" max="7" width="8.875" style="6" customWidth="1" outlineLevel="1"/>
    <col min="8" max="10" width="5.625" style="6" customWidth="1" outlineLevel="1"/>
    <col min="11" max="11" width="8.125" style="6" customWidth="1" outlineLevel="1"/>
    <col min="12" max="12" width="10.875" style="6" customWidth="1" outlineLevel="1"/>
    <col min="13" max="13" width="5.5" style="6" customWidth="1" outlineLevel="1"/>
    <col min="14" max="14" width="8" style="6" customWidth="1" outlineLevel="1"/>
    <col min="15" max="16" width="7.5" style="6" customWidth="1" outlineLevel="1"/>
    <col min="17" max="17" width="2.875" style="4" customWidth="1" outlineLevel="1"/>
    <col min="18" max="18" width="8.875" style="4" customWidth="1" outlineLevel="1"/>
    <col min="19" max="21" width="5.625" style="4" customWidth="1" outlineLevel="1"/>
    <col min="22" max="22" width="8.125" style="4" bestFit="1" customWidth="1" outlineLevel="1"/>
    <col min="23" max="23" width="10.875" style="4" bestFit="1" customWidth="1" outlineLevel="1"/>
    <col min="24" max="24" width="5.5" style="4" customWidth="1" outlineLevel="1"/>
    <col min="25" max="25" width="8" style="4" customWidth="1" outlineLevel="1"/>
    <col min="26" max="27" width="7.5" style="4" customWidth="1" outlineLevel="1"/>
    <col min="28" max="28" width="4.875" style="4" customWidth="1" outlineLevel="1"/>
    <col min="29" max="29" width="6.375" style="4" customWidth="1" outlineLevel="1"/>
    <col min="30" max="30" width="2.875" style="4" customWidth="1"/>
    <col min="31" max="31" width="4" style="4" bestFit="1" customWidth="1"/>
    <col min="32" max="32" width="3" style="4" bestFit="1" customWidth="1"/>
    <col min="33" max="33" width="10.875" style="6" customWidth="1"/>
    <col min="34" max="36" width="10.875" style="4" customWidth="1"/>
    <col min="37" max="37" width="10.875" style="6" customWidth="1"/>
    <col min="38" max="38" width="10.875" style="4" customWidth="1"/>
    <col min="39" max="39" width="10.875" style="6" customWidth="1"/>
    <col min="40" max="40" width="10.875" style="4" customWidth="1"/>
    <col min="41" max="41" width="10.875" style="6" customWidth="1"/>
    <col min="42" max="42" width="10.875" style="4" customWidth="1"/>
    <col min="43" max="271" width="8.875" style="4" customWidth="1"/>
    <col min="272" max="272" width="8.375" style="4" customWidth="1"/>
    <col min="273" max="273" width="14.875" style="4" customWidth="1"/>
    <col min="274" max="274" width="7.875" style="4" customWidth="1"/>
    <col min="275" max="275" width="9.875" style="4" customWidth="1"/>
    <col min="276" max="278" width="6.875" style="4" customWidth="1"/>
    <col min="279" max="281" width="8.875" style="4" customWidth="1"/>
    <col min="282" max="282" width="2.875" style="4" customWidth="1"/>
    <col min="283" max="283" width="9.875" style="4" customWidth="1"/>
    <col min="284" max="286" width="6.875" style="4" customWidth="1"/>
    <col min="287" max="289" width="8.875" style="4" customWidth="1"/>
    <col min="290" max="291" width="5.125" style="4" customWidth="1"/>
    <col min="292" max="292" width="2.875" style="4" customWidth="1"/>
    <col min="293" max="527" width="8.875" style="4" customWidth="1"/>
    <col min="528" max="528" width="8.375" style="4" customWidth="1"/>
    <col min="529" max="529" width="14.875" style="4" customWidth="1"/>
    <col min="530" max="530" width="7.875" style="4" customWidth="1"/>
    <col min="531" max="531" width="9.875" style="4" customWidth="1"/>
    <col min="532" max="534" width="6.875" style="4" customWidth="1"/>
    <col min="535" max="537" width="8.875" style="4" customWidth="1"/>
    <col min="538" max="538" width="2.875" style="4" customWidth="1"/>
    <col min="539" max="539" width="9.875" style="4" customWidth="1"/>
    <col min="540" max="542" width="6.875" style="4" customWidth="1"/>
    <col min="543" max="545" width="8.875" style="4" customWidth="1"/>
    <col min="546" max="547" width="5.125" style="4" customWidth="1"/>
    <col min="548" max="548" width="2.875" style="4" customWidth="1"/>
    <col min="549" max="783" width="8.875" style="4" customWidth="1"/>
    <col min="784" max="784" width="8.375" style="4" customWidth="1"/>
    <col min="785" max="785" width="14.875" style="4" customWidth="1"/>
    <col min="786" max="786" width="7.875" style="4" customWidth="1"/>
    <col min="787" max="787" width="9.875" style="4" customWidth="1"/>
    <col min="788" max="790" width="6.875" style="4" customWidth="1"/>
    <col min="791" max="793" width="8.875" style="4" customWidth="1"/>
    <col min="794" max="794" width="2.875" style="4" customWidth="1"/>
    <col min="795" max="795" width="9.875" style="4" customWidth="1"/>
    <col min="796" max="798" width="6.875" style="4" customWidth="1"/>
    <col min="799" max="801" width="8.875" style="4" customWidth="1"/>
    <col min="802" max="803" width="5.125" style="4" customWidth="1"/>
    <col min="804" max="804" width="2.875" style="4" customWidth="1"/>
    <col min="805" max="1039" width="8.875" style="4" customWidth="1"/>
    <col min="1040" max="1040" width="8.375" style="4" customWidth="1"/>
    <col min="1041" max="1041" width="14.875" style="4" customWidth="1"/>
    <col min="1042" max="1042" width="7.875" style="4" customWidth="1"/>
    <col min="1043" max="1043" width="9.875" style="4" customWidth="1"/>
    <col min="1044" max="1046" width="6.875" style="4" customWidth="1"/>
    <col min="1047" max="1049" width="8.875" style="4" customWidth="1"/>
    <col min="1050" max="1050" width="2.875" style="4" customWidth="1"/>
    <col min="1051" max="1051" width="9.875" style="4" customWidth="1"/>
    <col min="1052" max="1054" width="6.875" style="4" customWidth="1"/>
    <col min="1055" max="1057" width="8.875" style="4" customWidth="1"/>
    <col min="1058" max="1059" width="5.125" style="4" customWidth="1"/>
    <col min="1060" max="1060" width="2.875" style="4" customWidth="1"/>
    <col min="1061" max="1295" width="8.875" style="4" customWidth="1"/>
    <col min="1296" max="1296" width="8.375" style="4" customWidth="1"/>
    <col min="1297" max="1297" width="14.875" style="4" customWidth="1"/>
    <col min="1298" max="1298" width="7.875" style="4" customWidth="1"/>
    <col min="1299" max="1299" width="9.875" style="4" customWidth="1"/>
    <col min="1300" max="1302" width="6.875" style="4" customWidth="1"/>
    <col min="1303" max="1305" width="8.875" style="4" customWidth="1"/>
    <col min="1306" max="1306" width="2.875" style="4" customWidth="1"/>
    <col min="1307" max="1307" width="9.875" style="4" customWidth="1"/>
    <col min="1308" max="1310" width="6.875" style="4" customWidth="1"/>
    <col min="1311" max="1313" width="8.875" style="4" customWidth="1"/>
    <col min="1314" max="1315" width="5.125" style="4" customWidth="1"/>
    <col min="1316" max="1316" width="2.875" style="4" customWidth="1"/>
    <col min="1317" max="1551" width="8.875" style="4" customWidth="1"/>
    <col min="1552" max="1552" width="8.375" style="4" customWidth="1"/>
    <col min="1553" max="1553" width="14.875" style="4" customWidth="1"/>
    <col min="1554" max="1554" width="7.875" style="4" customWidth="1"/>
    <col min="1555" max="1555" width="9.875" style="4" customWidth="1"/>
    <col min="1556" max="1558" width="6.875" style="4" customWidth="1"/>
    <col min="1559" max="1561" width="8.875" style="4" customWidth="1"/>
    <col min="1562" max="1562" width="2.875" style="4" customWidth="1"/>
    <col min="1563" max="1563" width="9.875" style="4" customWidth="1"/>
    <col min="1564" max="1566" width="6.875" style="4" customWidth="1"/>
    <col min="1567" max="1569" width="8.875" style="4" customWidth="1"/>
    <col min="1570" max="1571" width="5.125" style="4" customWidth="1"/>
    <col min="1572" max="1572" width="2.875" style="4" customWidth="1"/>
    <col min="1573" max="1807" width="8.875" style="4" customWidth="1"/>
    <col min="1808" max="1808" width="8.375" style="4" customWidth="1"/>
    <col min="1809" max="1809" width="14.875" style="4" customWidth="1"/>
    <col min="1810" max="1810" width="7.875" style="4" customWidth="1"/>
    <col min="1811" max="1811" width="9.875" style="4" customWidth="1"/>
    <col min="1812" max="1814" width="6.875" style="4" customWidth="1"/>
    <col min="1815" max="1817" width="8.875" style="4" customWidth="1"/>
    <col min="1818" max="1818" width="2.875" style="4" customWidth="1"/>
    <col min="1819" max="1819" width="9.875" style="4" customWidth="1"/>
    <col min="1820" max="1822" width="6.875" style="4" customWidth="1"/>
    <col min="1823" max="1825" width="8.875" style="4" customWidth="1"/>
    <col min="1826" max="1827" width="5.125" style="4" customWidth="1"/>
    <col min="1828" max="1828" width="2.875" style="4" customWidth="1"/>
    <col min="1829" max="2063" width="8.875" style="4" customWidth="1"/>
    <col min="2064" max="2064" width="8.375" style="4" customWidth="1"/>
    <col min="2065" max="2065" width="14.875" style="4" customWidth="1"/>
    <col min="2066" max="2066" width="7.875" style="4" customWidth="1"/>
    <col min="2067" max="2067" width="9.875" style="4" customWidth="1"/>
    <col min="2068" max="2070" width="6.875" style="4" customWidth="1"/>
    <col min="2071" max="2073" width="8.875" style="4" customWidth="1"/>
    <col min="2074" max="2074" width="2.875" style="4" customWidth="1"/>
    <col min="2075" max="2075" width="9.875" style="4" customWidth="1"/>
    <col min="2076" max="2078" width="6.875" style="4" customWidth="1"/>
    <col min="2079" max="2081" width="8.875" style="4" customWidth="1"/>
    <col min="2082" max="2083" width="5.125" style="4" customWidth="1"/>
    <col min="2084" max="2084" width="2.875" style="4" customWidth="1"/>
    <col min="2085" max="2319" width="8.875" style="4" customWidth="1"/>
    <col min="2320" max="2320" width="8.375" style="4" customWidth="1"/>
    <col min="2321" max="2321" width="14.875" style="4" customWidth="1"/>
    <col min="2322" max="2322" width="7.875" style="4" customWidth="1"/>
    <col min="2323" max="2323" width="9.875" style="4" customWidth="1"/>
    <col min="2324" max="2326" width="6.875" style="4" customWidth="1"/>
    <col min="2327" max="2329" width="8.875" style="4" customWidth="1"/>
    <col min="2330" max="2330" width="2.875" style="4" customWidth="1"/>
    <col min="2331" max="2331" width="9.875" style="4" customWidth="1"/>
    <col min="2332" max="2334" width="6.875" style="4" customWidth="1"/>
    <col min="2335" max="2337" width="8.875" style="4" customWidth="1"/>
    <col min="2338" max="2339" width="5.125" style="4" customWidth="1"/>
    <col min="2340" max="2340" width="2.875" style="4" customWidth="1"/>
    <col min="2341" max="2575" width="8.875" style="4" customWidth="1"/>
    <col min="2576" max="2576" width="8.375" style="4" customWidth="1"/>
    <col min="2577" max="2577" width="14.875" style="4" customWidth="1"/>
    <col min="2578" max="2578" width="7.875" style="4" customWidth="1"/>
    <col min="2579" max="2579" width="9.875" style="4" customWidth="1"/>
    <col min="2580" max="2582" width="6.875" style="4" customWidth="1"/>
    <col min="2583" max="2585" width="8.875" style="4" customWidth="1"/>
    <col min="2586" max="2586" width="2.875" style="4" customWidth="1"/>
    <col min="2587" max="2587" width="9.875" style="4" customWidth="1"/>
    <col min="2588" max="2590" width="6.875" style="4" customWidth="1"/>
    <col min="2591" max="2593" width="8.875" style="4" customWidth="1"/>
    <col min="2594" max="2595" width="5.125" style="4" customWidth="1"/>
    <col min="2596" max="2596" width="2.875" style="4" customWidth="1"/>
    <col min="2597" max="2831" width="8.875" style="4" customWidth="1"/>
    <col min="2832" max="2832" width="8.375" style="4" customWidth="1"/>
    <col min="2833" max="2833" width="14.875" style="4" customWidth="1"/>
    <col min="2834" max="2834" width="7.875" style="4" customWidth="1"/>
    <col min="2835" max="2835" width="9.875" style="4" customWidth="1"/>
    <col min="2836" max="2838" width="6.875" style="4" customWidth="1"/>
    <col min="2839" max="2841" width="8.875" style="4" customWidth="1"/>
    <col min="2842" max="2842" width="2.875" style="4" customWidth="1"/>
    <col min="2843" max="2843" width="9.875" style="4" customWidth="1"/>
    <col min="2844" max="2846" width="6.875" style="4" customWidth="1"/>
    <col min="2847" max="2849" width="8.875" style="4" customWidth="1"/>
    <col min="2850" max="2851" width="5.125" style="4" customWidth="1"/>
    <col min="2852" max="2852" width="2.875" style="4" customWidth="1"/>
    <col min="2853" max="3087" width="8.875" style="4" customWidth="1"/>
    <col min="3088" max="3088" width="8.375" style="4" customWidth="1"/>
    <col min="3089" max="3089" width="14.875" style="4" customWidth="1"/>
    <col min="3090" max="3090" width="7.875" style="4" customWidth="1"/>
    <col min="3091" max="3091" width="9.875" style="4" customWidth="1"/>
    <col min="3092" max="3094" width="6.875" style="4" customWidth="1"/>
    <col min="3095" max="3097" width="8.875" style="4" customWidth="1"/>
    <col min="3098" max="3098" width="2.875" style="4" customWidth="1"/>
    <col min="3099" max="3099" width="9.875" style="4" customWidth="1"/>
    <col min="3100" max="3102" width="6.875" style="4" customWidth="1"/>
    <col min="3103" max="3105" width="8.875" style="4" customWidth="1"/>
    <col min="3106" max="3107" width="5.125" style="4" customWidth="1"/>
    <col min="3108" max="3108" width="2.875" style="4" customWidth="1"/>
    <col min="3109" max="3343" width="8.875" style="4" customWidth="1"/>
    <col min="3344" max="3344" width="8.375" style="4" customWidth="1"/>
    <col min="3345" max="3345" width="14.875" style="4" customWidth="1"/>
    <col min="3346" max="3346" width="7.875" style="4" customWidth="1"/>
    <col min="3347" max="3347" width="9.875" style="4" customWidth="1"/>
    <col min="3348" max="3350" width="6.875" style="4" customWidth="1"/>
    <col min="3351" max="3353" width="8.875" style="4" customWidth="1"/>
    <col min="3354" max="3354" width="2.875" style="4" customWidth="1"/>
    <col min="3355" max="3355" width="9.875" style="4" customWidth="1"/>
    <col min="3356" max="3358" width="6.875" style="4" customWidth="1"/>
    <col min="3359" max="3361" width="8.875" style="4" customWidth="1"/>
    <col min="3362" max="3363" width="5.125" style="4" customWidth="1"/>
    <col min="3364" max="3364" width="2.875" style="4" customWidth="1"/>
    <col min="3365" max="3599" width="8.875" style="4" customWidth="1"/>
    <col min="3600" max="3600" width="8.375" style="4" customWidth="1"/>
    <col min="3601" max="3601" width="14.875" style="4" customWidth="1"/>
    <col min="3602" max="3602" width="7.875" style="4" customWidth="1"/>
    <col min="3603" max="3603" width="9.875" style="4" customWidth="1"/>
    <col min="3604" max="3606" width="6.875" style="4" customWidth="1"/>
    <col min="3607" max="3609" width="8.875" style="4" customWidth="1"/>
    <col min="3610" max="3610" width="2.875" style="4" customWidth="1"/>
    <col min="3611" max="3611" width="9.875" style="4" customWidth="1"/>
    <col min="3612" max="3614" width="6.875" style="4" customWidth="1"/>
    <col min="3615" max="3617" width="8.875" style="4" customWidth="1"/>
    <col min="3618" max="3619" width="5.125" style="4" customWidth="1"/>
    <col min="3620" max="3620" width="2.875" style="4" customWidth="1"/>
    <col min="3621" max="3855" width="8.875" style="4" customWidth="1"/>
    <col min="3856" max="3856" width="8.375" style="4" customWidth="1"/>
    <col min="3857" max="3857" width="14.875" style="4" customWidth="1"/>
    <col min="3858" max="3858" width="7.875" style="4" customWidth="1"/>
    <col min="3859" max="3859" width="9.875" style="4" customWidth="1"/>
    <col min="3860" max="3862" width="6.875" style="4" customWidth="1"/>
    <col min="3863" max="3865" width="8.875" style="4" customWidth="1"/>
    <col min="3866" max="3866" width="2.875" style="4" customWidth="1"/>
    <col min="3867" max="3867" width="9.875" style="4" customWidth="1"/>
    <col min="3868" max="3870" width="6.875" style="4" customWidth="1"/>
    <col min="3871" max="3873" width="8.875" style="4" customWidth="1"/>
    <col min="3874" max="3875" width="5.125" style="4" customWidth="1"/>
    <col min="3876" max="3876" width="2.875" style="4" customWidth="1"/>
    <col min="3877" max="4111" width="8.875" style="4" customWidth="1"/>
    <col min="4112" max="4112" width="8.375" style="4" customWidth="1"/>
    <col min="4113" max="4113" width="14.875" style="4" customWidth="1"/>
    <col min="4114" max="4114" width="7.875" style="4" customWidth="1"/>
    <col min="4115" max="4115" width="9.875" style="4" customWidth="1"/>
    <col min="4116" max="4118" width="6.875" style="4" customWidth="1"/>
    <col min="4119" max="4121" width="8.875" style="4" customWidth="1"/>
    <col min="4122" max="4122" width="2.875" style="4" customWidth="1"/>
    <col min="4123" max="4123" width="9.875" style="4" customWidth="1"/>
    <col min="4124" max="4126" width="6.875" style="4" customWidth="1"/>
    <col min="4127" max="4129" width="8.875" style="4" customWidth="1"/>
    <col min="4130" max="4131" width="5.125" style="4" customWidth="1"/>
    <col min="4132" max="4132" width="2.875" style="4" customWidth="1"/>
    <col min="4133" max="4367" width="8.875" style="4" customWidth="1"/>
    <col min="4368" max="4368" width="8.375" style="4" customWidth="1"/>
    <col min="4369" max="4369" width="14.875" style="4" customWidth="1"/>
    <col min="4370" max="4370" width="7.875" style="4" customWidth="1"/>
    <col min="4371" max="4371" width="9.875" style="4" customWidth="1"/>
    <col min="4372" max="4374" width="6.875" style="4" customWidth="1"/>
    <col min="4375" max="4377" width="8.875" style="4" customWidth="1"/>
    <col min="4378" max="4378" width="2.875" style="4" customWidth="1"/>
    <col min="4379" max="4379" width="9.875" style="4" customWidth="1"/>
    <col min="4380" max="4382" width="6.875" style="4" customWidth="1"/>
    <col min="4383" max="4385" width="8.875" style="4" customWidth="1"/>
    <col min="4386" max="4387" width="5.125" style="4" customWidth="1"/>
    <col min="4388" max="4388" width="2.875" style="4" customWidth="1"/>
    <col min="4389" max="4623" width="8.875" style="4" customWidth="1"/>
    <col min="4624" max="4624" width="8.375" style="4" customWidth="1"/>
    <col min="4625" max="4625" width="14.875" style="4" customWidth="1"/>
    <col min="4626" max="4626" width="7.875" style="4" customWidth="1"/>
    <col min="4627" max="4627" width="9.875" style="4" customWidth="1"/>
    <col min="4628" max="4630" width="6.875" style="4" customWidth="1"/>
    <col min="4631" max="4633" width="8.875" style="4" customWidth="1"/>
    <col min="4634" max="4634" width="2.875" style="4" customWidth="1"/>
    <col min="4635" max="4635" width="9.875" style="4" customWidth="1"/>
    <col min="4636" max="4638" width="6.875" style="4" customWidth="1"/>
    <col min="4639" max="4641" width="8.875" style="4" customWidth="1"/>
    <col min="4642" max="4643" width="5.125" style="4" customWidth="1"/>
    <col min="4644" max="4644" width="2.875" style="4" customWidth="1"/>
    <col min="4645" max="4879" width="8.875" style="4" customWidth="1"/>
    <col min="4880" max="4880" width="8.375" style="4" customWidth="1"/>
    <col min="4881" max="4881" width="14.875" style="4" customWidth="1"/>
    <col min="4882" max="4882" width="7.875" style="4" customWidth="1"/>
    <col min="4883" max="4883" width="9.875" style="4" customWidth="1"/>
    <col min="4884" max="4886" width="6.875" style="4" customWidth="1"/>
    <col min="4887" max="4889" width="8.875" style="4" customWidth="1"/>
    <col min="4890" max="4890" width="2.875" style="4" customWidth="1"/>
    <col min="4891" max="4891" width="9.875" style="4" customWidth="1"/>
    <col min="4892" max="4894" width="6.875" style="4" customWidth="1"/>
    <col min="4895" max="4897" width="8.875" style="4" customWidth="1"/>
    <col min="4898" max="4899" width="5.125" style="4" customWidth="1"/>
    <col min="4900" max="4900" width="2.875" style="4" customWidth="1"/>
    <col min="4901" max="5135" width="8.875" style="4" customWidth="1"/>
    <col min="5136" max="5136" width="8.375" style="4" customWidth="1"/>
    <col min="5137" max="5137" width="14.875" style="4" customWidth="1"/>
    <col min="5138" max="5138" width="7.875" style="4" customWidth="1"/>
    <col min="5139" max="5139" width="9.875" style="4" customWidth="1"/>
    <col min="5140" max="5142" width="6.875" style="4" customWidth="1"/>
    <col min="5143" max="5145" width="8.875" style="4" customWidth="1"/>
    <col min="5146" max="5146" width="2.875" style="4" customWidth="1"/>
    <col min="5147" max="5147" width="9.875" style="4" customWidth="1"/>
    <col min="5148" max="5150" width="6.875" style="4" customWidth="1"/>
    <col min="5151" max="5153" width="8.875" style="4" customWidth="1"/>
    <col min="5154" max="5155" width="5.125" style="4" customWidth="1"/>
    <col min="5156" max="5156" width="2.875" style="4" customWidth="1"/>
    <col min="5157" max="5391" width="8.875" style="4" customWidth="1"/>
    <col min="5392" max="5392" width="8.375" style="4" customWidth="1"/>
    <col min="5393" max="5393" width="14.875" style="4" customWidth="1"/>
    <col min="5394" max="5394" width="7.875" style="4" customWidth="1"/>
    <col min="5395" max="5395" width="9.875" style="4" customWidth="1"/>
    <col min="5396" max="5398" width="6.875" style="4" customWidth="1"/>
    <col min="5399" max="5401" width="8.875" style="4" customWidth="1"/>
    <col min="5402" max="5402" width="2.875" style="4" customWidth="1"/>
    <col min="5403" max="5403" width="9.875" style="4" customWidth="1"/>
    <col min="5404" max="5406" width="6.875" style="4" customWidth="1"/>
    <col min="5407" max="5409" width="8.875" style="4" customWidth="1"/>
    <col min="5410" max="5411" width="5.125" style="4" customWidth="1"/>
    <col min="5412" max="5412" width="2.875" style="4" customWidth="1"/>
    <col min="5413" max="5647" width="8.875" style="4" customWidth="1"/>
    <col min="5648" max="5648" width="8.375" style="4" customWidth="1"/>
    <col min="5649" max="5649" width="14.875" style="4" customWidth="1"/>
    <col min="5650" max="5650" width="7.875" style="4" customWidth="1"/>
    <col min="5651" max="5651" width="9.875" style="4" customWidth="1"/>
    <col min="5652" max="5654" width="6.875" style="4" customWidth="1"/>
    <col min="5655" max="5657" width="8.875" style="4" customWidth="1"/>
    <col min="5658" max="5658" width="2.875" style="4" customWidth="1"/>
    <col min="5659" max="5659" width="9.875" style="4" customWidth="1"/>
    <col min="5660" max="5662" width="6.875" style="4" customWidth="1"/>
    <col min="5663" max="5665" width="8.875" style="4" customWidth="1"/>
    <col min="5666" max="5667" width="5.125" style="4" customWidth="1"/>
    <col min="5668" max="5668" width="2.875" style="4" customWidth="1"/>
    <col min="5669" max="5903" width="8.875" style="4" customWidth="1"/>
    <col min="5904" max="5904" width="8.375" style="4" customWidth="1"/>
    <col min="5905" max="5905" width="14.875" style="4" customWidth="1"/>
    <col min="5906" max="5906" width="7.875" style="4" customWidth="1"/>
    <col min="5907" max="5907" width="9.875" style="4" customWidth="1"/>
    <col min="5908" max="5910" width="6.875" style="4" customWidth="1"/>
    <col min="5911" max="5913" width="8.875" style="4" customWidth="1"/>
    <col min="5914" max="5914" width="2.875" style="4" customWidth="1"/>
    <col min="5915" max="5915" width="9.875" style="4" customWidth="1"/>
    <col min="5916" max="5918" width="6.875" style="4" customWidth="1"/>
    <col min="5919" max="5921" width="8.875" style="4" customWidth="1"/>
    <col min="5922" max="5923" width="5.125" style="4" customWidth="1"/>
    <col min="5924" max="5924" width="2.875" style="4" customWidth="1"/>
    <col min="5925" max="6159" width="8.875" style="4" customWidth="1"/>
    <col min="6160" max="6160" width="8.375" style="4" customWidth="1"/>
    <col min="6161" max="6161" width="14.875" style="4" customWidth="1"/>
    <col min="6162" max="6162" width="7.875" style="4" customWidth="1"/>
    <col min="6163" max="6163" width="9.875" style="4" customWidth="1"/>
    <col min="6164" max="6166" width="6.875" style="4" customWidth="1"/>
    <col min="6167" max="6169" width="8.875" style="4" customWidth="1"/>
    <col min="6170" max="6170" width="2.875" style="4" customWidth="1"/>
    <col min="6171" max="6171" width="9.875" style="4" customWidth="1"/>
    <col min="6172" max="6174" width="6.875" style="4" customWidth="1"/>
    <col min="6175" max="6177" width="8.875" style="4" customWidth="1"/>
    <col min="6178" max="6179" width="5.125" style="4" customWidth="1"/>
    <col min="6180" max="6180" width="2.875" style="4" customWidth="1"/>
    <col min="6181" max="6415" width="8.875" style="4" customWidth="1"/>
    <col min="6416" max="6416" width="8.375" style="4" customWidth="1"/>
    <col min="6417" max="6417" width="14.875" style="4" customWidth="1"/>
    <col min="6418" max="6418" width="7.875" style="4" customWidth="1"/>
    <col min="6419" max="6419" width="9.875" style="4" customWidth="1"/>
    <col min="6420" max="6422" width="6.875" style="4" customWidth="1"/>
    <col min="6423" max="6425" width="8.875" style="4" customWidth="1"/>
    <col min="6426" max="6426" width="2.875" style="4" customWidth="1"/>
    <col min="6427" max="6427" width="9.875" style="4" customWidth="1"/>
    <col min="6428" max="6430" width="6.875" style="4" customWidth="1"/>
    <col min="6431" max="6433" width="8.875" style="4" customWidth="1"/>
    <col min="6434" max="6435" width="5.125" style="4" customWidth="1"/>
    <col min="6436" max="6436" width="2.875" style="4" customWidth="1"/>
    <col min="6437" max="6671" width="8.875" style="4" customWidth="1"/>
    <col min="6672" max="6672" width="8.375" style="4" customWidth="1"/>
    <col min="6673" max="6673" width="14.875" style="4" customWidth="1"/>
    <col min="6674" max="6674" width="7.875" style="4" customWidth="1"/>
    <col min="6675" max="6675" width="9.875" style="4" customWidth="1"/>
    <col min="6676" max="6678" width="6.875" style="4" customWidth="1"/>
    <col min="6679" max="6681" width="8.875" style="4" customWidth="1"/>
    <col min="6682" max="6682" width="2.875" style="4" customWidth="1"/>
    <col min="6683" max="6683" width="9.875" style="4" customWidth="1"/>
    <col min="6684" max="6686" width="6.875" style="4" customWidth="1"/>
    <col min="6687" max="6689" width="8.875" style="4" customWidth="1"/>
    <col min="6690" max="6691" width="5.125" style="4" customWidth="1"/>
    <col min="6692" max="6692" width="2.875" style="4" customWidth="1"/>
    <col min="6693" max="6927" width="8.875" style="4" customWidth="1"/>
    <col min="6928" max="6928" width="8.375" style="4" customWidth="1"/>
    <col min="6929" max="6929" width="14.875" style="4" customWidth="1"/>
    <col min="6930" max="6930" width="7.875" style="4" customWidth="1"/>
    <col min="6931" max="6931" width="9.875" style="4" customWidth="1"/>
    <col min="6932" max="6934" width="6.875" style="4" customWidth="1"/>
    <col min="6935" max="6937" width="8.875" style="4" customWidth="1"/>
    <col min="6938" max="6938" width="2.875" style="4" customWidth="1"/>
    <col min="6939" max="6939" width="9.875" style="4" customWidth="1"/>
    <col min="6940" max="6942" width="6.875" style="4" customWidth="1"/>
    <col min="6943" max="6945" width="8.875" style="4" customWidth="1"/>
    <col min="6946" max="6947" width="5.125" style="4" customWidth="1"/>
    <col min="6948" max="6948" width="2.875" style="4" customWidth="1"/>
    <col min="6949" max="7183" width="8.875" style="4" customWidth="1"/>
    <col min="7184" max="7184" width="8.375" style="4" customWidth="1"/>
    <col min="7185" max="7185" width="14.875" style="4" customWidth="1"/>
    <col min="7186" max="7186" width="7.875" style="4" customWidth="1"/>
    <col min="7187" max="7187" width="9.875" style="4" customWidth="1"/>
    <col min="7188" max="7190" width="6.875" style="4" customWidth="1"/>
    <col min="7191" max="7193" width="8.875" style="4" customWidth="1"/>
    <col min="7194" max="7194" width="2.875" style="4" customWidth="1"/>
    <col min="7195" max="7195" width="9.875" style="4" customWidth="1"/>
    <col min="7196" max="7198" width="6.875" style="4" customWidth="1"/>
    <col min="7199" max="7201" width="8.875" style="4" customWidth="1"/>
    <col min="7202" max="7203" width="5.125" style="4" customWidth="1"/>
    <col min="7204" max="7204" width="2.875" style="4" customWidth="1"/>
    <col min="7205" max="7439" width="8.875" style="4" customWidth="1"/>
    <col min="7440" max="7440" width="8.375" style="4" customWidth="1"/>
    <col min="7441" max="7441" width="14.875" style="4" customWidth="1"/>
    <col min="7442" max="7442" width="7.875" style="4" customWidth="1"/>
    <col min="7443" max="7443" width="9.875" style="4" customWidth="1"/>
    <col min="7444" max="7446" width="6.875" style="4" customWidth="1"/>
    <col min="7447" max="7449" width="8.875" style="4" customWidth="1"/>
    <col min="7450" max="7450" width="2.875" style="4" customWidth="1"/>
    <col min="7451" max="7451" width="9.875" style="4" customWidth="1"/>
    <col min="7452" max="7454" width="6.875" style="4" customWidth="1"/>
    <col min="7455" max="7457" width="8.875" style="4" customWidth="1"/>
    <col min="7458" max="7459" width="5.125" style="4" customWidth="1"/>
    <col min="7460" max="7460" width="2.875" style="4" customWidth="1"/>
    <col min="7461" max="7695" width="8.875" style="4" customWidth="1"/>
    <col min="7696" max="7696" width="8.375" style="4" customWidth="1"/>
    <col min="7697" max="7697" width="14.875" style="4" customWidth="1"/>
    <col min="7698" max="7698" width="7.875" style="4" customWidth="1"/>
    <col min="7699" max="7699" width="9.875" style="4" customWidth="1"/>
    <col min="7700" max="7702" width="6.875" style="4" customWidth="1"/>
    <col min="7703" max="7705" width="8.875" style="4" customWidth="1"/>
    <col min="7706" max="7706" width="2.875" style="4" customWidth="1"/>
    <col min="7707" max="7707" width="9.875" style="4" customWidth="1"/>
    <col min="7708" max="7710" width="6.875" style="4" customWidth="1"/>
    <col min="7711" max="7713" width="8.875" style="4" customWidth="1"/>
    <col min="7714" max="7715" width="5.125" style="4" customWidth="1"/>
    <col min="7716" max="7716" width="2.875" style="4" customWidth="1"/>
    <col min="7717" max="7951" width="8.875" style="4" customWidth="1"/>
    <col min="7952" max="7952" width="8.375" style="4" customWidth="1"/>
    <col min="7953" max="7953" width="14.875" style="4" customWidth="1"/>
    <col min="7954" max="7954" width="7.875" style="4" customWidth="1"/>
    <col min="7955" max="7955" width="9.875" style="4" customWidth="1"/>
    <col min="7956" max="7958" width="6.875" style="4" customWidth="1"/>
    <col min="7959" max="7961" width="8.875" style="4" customWidth="1"/>
    <col min="7962" max="7962" width="2.875" style="4" customWidth="1"/>
    <col min="7963" max="7963" width="9.875" style="4" customWidth="1"/>
    <col min="7964" max="7966" width="6.875" style="4" customWidth="1"/>
    <col min="7967" max="7969" width="8.875" style="4" customWidth="1"/>
    <col min="7970" max="7971" width="5.125" style="4" customWidth="1"/>
    <col min="7972" max="7972" width="2.875" style="4" customWidth="1"/>
    <col min="7973" max="8207" width="8.875" style="4" customWidth="1"/>
    <col min="8208" max="8208" width="8.375" style="4" customWidth="1"/>
    <col min="8209" max="8209" width="14.875" style="4" customWidth="1"/>
    <col min="8210" max="8210" width="7.875" style="4" customWidth="1"/>
    <col min="8211" max="8211" width="9.875" style="4" customWidth="1"/>
    <col min="8212" max="8214" width="6.875" style="4" customWidth="1"/>
    <col min="8215" max="8217" width="8.875" style="4" customWidth="1"/>
    <col min="8218" max="8218" width="2.875" style="4" customWidth="1"/>
    <col min="8219" max="8219" width="9.875" style="4" customWidth="1"/>
    <col min="8220" max="8222" width="6.875" style="4" customWidth="1"/>
    <col min="8223" max="8225" width="8.875" style="4" customWidth="1"/>
    <col min="8226" max="8227" width="5.125" style="4" customWidth="1"/>
    <col min="8228" max="8228" width="2.875" style="4" customWidth="1"/>
    <col min="8229" max="8463" width="8.875" style="4" customWidth="1"/>
    <col min="8464" max="8464" width="8.375" style="4" customWidth="1"/>
    <col min="8465" max="8465" width="14.875" style="4" customWidth="1"/>
    <col min="8466" max="8466" width="7.875" style="4" customWidth="1"/>
    <col min="8467" max="8467" width="9.875" style="4" customWidth="1"/>
    <col min="8468" max="8470" width="6.875" style="4" customWidth="1"/>
    <col min="8471" max="8473" width="8.875" style="4" customWidth="1"/>
    <col min="8474" max="8474" width="2.875" style="4" customWidth="1"/>
    <col min="8475" max="8475" width="9.875" style="4" customWidth="1"/>
    <col min="8476" max="8478" width="6.875" style="4" customWidth="1"/>
    <col min="8479" max="8481" width="8.875" style="4" customWidth="1"/>
    <col min="8482" max="8483" width="5.125" style="4" customWidth="1"/>
    <col min="8484" max="8484" width="2.875" style="4" customWidth="1"/>
    <col min="8485" max="8719" width="8.875" style="4" customWidth="1"/>
    <col min="8720" max="8720" width="8.375" style="4" customWidth="1"/>
    <col min="8721" max="8721" width="14.875" style="4" customWidth="1"/>
    <col min="8722" max="8722" width="7.875" style="4" customWidth="1"/>
    <col min="8723" max="8723" width="9.875" style="4" customWidth="1"/>
    <col min="8724" max="8726" width="6.875" style="4" customWidth="1"/>
    <col min="8727" max="8729" width="8.875" style="4" customWidth="1"/>
    <col min="8730" max="8730" width="2.875" style="4" customWidth="1"/>
    <col min="8731" max="8731" width="9.875" style="4" customWidth="1"/>
    <col min="8732" max="8734" width="6.875" style="4" customWidth="1"/>
    <col min="8735" max="8737" width="8.875" style="4" customWidth="1"/>
    <col min="8738" max="8739" width="5.125" style="4" customWidth="1"/>
    <col min="8740" max="8740" width="2.875" style="4" customWidth="1"/>
    <col min="8741" max="8975" width="8.875" style="4" customWidth="1"/>
    <col min="8976" max="8976" width="8.375" style="4" customWidth="1"/>
    <col min="8977" max="8977" width="14.875" style="4" customWidth="1"/>
    <col min="8978" max="8978" width="7.875" style="4" customWidth="1"/>
    <col min="8979" max="8979" width="9.875" style="4" customWidth="1"/>
    <col min="8980" max="8982" width="6.875" style="4" customWidth="1"/>
    <col min="8983" max="8985" width="8.875" style="4" customWidth="1"/>
    <col min="8986" max="8986" width="2.875" style="4" customWidth="1"/>
    <col min="8987" max="8987" width="9.875" style="4" customWidth="1"/>
    <col min="8988" max="8990" width="6.875" style="4" customWidth="1"/>
    <col min="8991" max="8993" width="8.875" style="4" customWidth="1"/>
    <col min="8994" max="8995" width="5.125" style="4" customWidth="1"/>
    <col min="8996" max="8996" width="2.875" style="4" customWidth="1"/>
    <col min="8997" max="9231" width="8.875" style="4" customWidth="1"/>
    <col min="9232" max="9232" width="8.375" style="4" customWidth="1"/>
    <col min="9233" max="9233" width="14.875" style="4" customWidth="1"/>
    <col min="9234" max="9234" width="7.875" style="4" customWidth="1"/>
    <col min="9235" max="9235" width="9.875" style="4" customWidth="1"/>
    <col min="9236" max="9238" width="6.875" style="4" customWidth="1"/>
    <col min="9239" max="9241" width="8.875" style="4" customWidth="1"/>
    <col min="9242" max="9242" width="2.875" style="4" customWidth="1"/>
    <col min="9243" max="9243" width="9.875" style="4" customWidth="1"/>
    <col min="9244" max="9246" width="6.875" style="4" customWidth="1"/>
    <col min="9247" max="9249" width="8.875" style="4" customWidth="1"/>
    <col min="9250" max="9251" width="5.125" style="4" customWidth="1"/>
    <col min="9252" max="9252" width="2.875" style="4" customWidth="1"/>
    <col min="9253" max="9487" width="8.875" style="4" customWidth="1"/>
    <col min="9488" max="9488" width="8.375" style="4" customWidth="1"/>
    <col min="9489" max="9489" width="14.875" style="4" customWidth="1"/>
    <col min="9490" max="9490" width="7.875" style="4" customWidth="1"/>
    <col min="9491" max="9491" width="9.875" style="4" customWidth="1"/>
    <col min="9492" max="9494" width="6.875" style="4" customWidth="1"/>
    <col min="9495" max="9497" width="8.875" style="4" customWidth="1"/>
    <col min="9498" max="9498" width="2.875" style="4" customWidth="1"/>
    <col min="9499" max="9499" width="9.875" style="4" customWidth="1"/>
    <col min="9500" max="9502" width="6.875" style="4" customWidth="1"/>
    <col min="9503" max="9505" width="8.875" style="4" customWidth="1"/>
    <col min="9506" max="9507" width="5.125" style="4" customWidth="1"/>
    <col min="9508" max="9508" width="2.875" style="4" customWidth="1"/>
    <col min="9509" max="9743" width="8.875" style="4" customWidth="1"/>
    <col min="9744" max="9744" width="8.375" style="4" customWidth="1"/>
    <col min="9745" max="9745" width="14.875" style="4" customWidth="1"/>
    <col min="9746" max="9746" width="7.875" style="4" customWidth="1"/>
    <col min="9747" max="9747" width="9.875" style="4" customWidth="1"/>
    <col min="9748" max="9750" width="6.875" style="4" customWidth="1"/>
    <col min="9751" max="9753" width="8.875" style="4" customWidth="1"/>
    <col min="9754" max="9754" width="2.875" style="4" customWidth="1"/>
    <col min="9755" max="9755" width="9.875" style="4" customWidth="1"/>
    <col min="9756" max="9758" width="6.875" style="4" customWidth="1"/>
    <col min="9759" max="9761" width="8.875" style="4" customWidth="1"/>
    <col min="9762" max="9763" width="5.125" style="4" customWidth="1"/>
    <col min="9764" max="9764" width="2.875" style="4" customWidth="1"/>
    <col min="9765" max="9999" width="8.875" style="4" customWidth="1"/>
    <col min="10000" max="10000" width="8.375" style="4" customWidth="1"/>
    <col min="10001" max="10001" width="14.875" style="4" customWidth="1"/>
    <col min="10002" max="10002" width="7.875" style="4" customWidth="1"/>
    <col min="10003" max="10003" width="9.875" style="4" customWidth="1"/>
    <col min="10004" max="10006" width="6.875" style="4" customWidth="1"/>
    <col min="10007" max="10009" width="8.875" style="4" customWidth="1"/>
    <col min="10010" max="10010" width="2.875" style="4" customWidth="1"/>
    <col min="10011" max="10011" width="9.875" style="4" customWidth="1"/>
    <col min="10012" max="10014" width="6.875" style="4" customWidth="1"/>
    <col min="10015" max="10017" width="8.875" style="4" customWidth="1"/>
    <col min="10018" max="10019" width="5.125" style="4" customWidth="1"/>
    <col min="10020" max="10020" width="2.875" style="4" customWidth="1"/>
    <col min="10021" max="10255" width="8.875" style="4" customWidth="1"/>
    <col min="10256" max="10256" width="8.375" style="4" customWidth="1"/>
    <col min="10257" max="10257" width="14.875" style="4" customWidth="1"/>
    <col min="10258" max="10258" width="7.875" style="4" customWidth="1"/>
    <col min="10259" max="10259" width="9.875" style="4" customWidth="1"/>
    <col min="10260" max="10262" width="6.875" style="4" customWidth="1"/>
    <col min="10263" max="10265" width="8.875" style="4" customWidth="1"/>
    <col min="10266" max="10266" width="2.875" style="4" customWidth="1"/>
    <col min="10267" max="10267" width="9.875" style="4" customWidth="1"/>
    <col min="10268" max="10270" width="6.875" style="4" customWidth="1"/>
    <col min="10271" max="10273" width="8.875" style="4" customWidth="1"/>
    <col min="10274" max="10275" width="5.125" style="4" customWidth="1"/>
    <col min="10276" max="10276" width="2.875" style="4" customWidth="1"/>
    <col min="10277" max="10511" width="8.875" style="4" customWidth="1"/>
    <col min="10512" max="10512" width="8.375" style="4" customWidth="1"/>
    <col min="10513" max="10513" width="14.875" style="4" customWidth="1"/>
    <col min="10514" max="10514" width="7.875" style="4" customWidth="1"/>
    <col min="10515" max="10515" width="9.875" style="4" customWidth="1"/>
    <col min="10516" max="10518" width="6.875" style="4" customWidth="1"/>
    <col min="10519" max="10521" width="8.875" style="4" customWidth="1"/>
    <col min="10522" max="10522" width="2.875" style="4" customWidth="1"/>
    <col min="10523" max="10523" width="9.875" style="4" customWidth="1"/>
    <col min="10524" max="10526" width="6.875" style="4" customWidth="1"/>
    <col min="10527" max="10529" width="8.875" style="4" customWidth="1"/>
    <col min="10530" max="10531" width="5.125" style="4" customWidth="1"/>
    <col min="10532" max="10532" width="2.875" style="4" customWidth="1"/>
    <col min="10533" max="10767" width="8.875" style="4" customWidth="1"/>
    <col min="10768" max="10768" width="8.375" style="4" customWidth="1"/>
    <col min="10769" max="10769" width="14.875" style="4" customWidth="1"/>
    <col min="10770" max="10770" width="7.875" style="4" customWidth="1"/>
    <col min="10771" max="10771" width="9.875" style="4" customWidth="1"/>
    <col min="10772" max="10774" width="6.875" style="4" customWidth="1"/>
    <col min="10775" max="10777" width="8.875" style="4" customWidth="1"/>
    <col min="10778" max="10778" width="2.875" style="4" customWidth="1"/>
    <col min="10779" max="10779" width="9.875" style="4" customWidth="1"/>
    <col min="10780" max="10782" width="6.875" style="4" customWidth="1"/>
    <col min="10783" max="10785" width="8.875" style="4" customWidth="1"/>
    <col min="10786" max="10787" width="5.125" style="4" customWidth="1"/>
    <col min="10788" max="10788" width="2.875" style="4" customWidth="1"/>
    <col min="10789" max="11023" width="8.875" style="4" customWidth="1"/>
    <col min="11024" max="11024" width="8.375" style="4" customWidth="1"/>
    <col min="11025" max="11025" width="14.875" style="4" customWidth="1"/>
    <col min="11026" max="11026" width="7.875" style="4" customWidth="1"/>
    <col min="11027" max="11027" width="9.875" style="4" customWidth="1"/>
    <col min="11028" max="11030" width="6.875" style="4" customWidth="1"/>
    <col min="11031" max="11033" width="8.875" style="4" customWidth="1"/>
    <col min="11034" max="11034" width="2.875" style="4" customWidth="1"/>
    <col min="11035" max="11035" width="9.875" style="4" customWidth="1"/>
    <col min="11036" max="11038" width="6.875" style="4" customWidth="1"/>
    <col min="11039" max="11041" width="8.875" style="4" customWidth="1"/>
    <col min="11042" max="11043" width="5.125" style="4" customWidth="1"/>
    <col min="11044" max="11044" width="2.875" style="4" customWidth="1"/>
    <col min="11045" max="11279" width="8.875" style="4" customWidth="1"/>
    <col min="11280" max="11280" width="8.375" style="4" customWidth="1"/>
    <col min="11281" max="11281" width="14.875" style="4" customWidth="1"/>
    <col min="11282" max="11282" width="7.875" style="4" customWidth="1"/>
    <col min="11283" max="11283" width="9.875" style="4" customWidth="1"/>
    <col min="11284" max="11286" width="6.875" style="4" customWidth="1"/>
    <col min="11287" max="11289" width="8.875" style="4" customWidth="1"/>
    <col min="11290" max="11290" width="2.875" style="4" customWidth="1"/>
    <col min="11291" max="11291" width="9.875" style="4" customWidth="1"/>
    <col min="11292" max="11294" width="6.875" style="4" customWidth="1"/>
    <col min="11295" max="11297" width="8.875" style="4" customWidth="1"/>
    <col min="11298" max="11299" width="5.125" style="4" customWidth="1"/>
    <col min="11300" max="11300" width="2.875" style="4" customWidth="1"/>
    <col min="11301" max="11535" width="8.875" style="4" customWidth="1"/>
    <col min="11536" max="11536" width="8.375" style="4" customWidth="1"/>
    <col min="11537" max="11537" width="14.875" style="4" customWidth="1"/>
    <col min="11538" max="11538" width="7.875" style="4" customWidth="1"/>
    <col min="11539" max="11539" width="9.875" style="4" customWidth="1"/>
    <col min="11540" max="11542" width="6.875" style="4" customWidth="1"/>
    <col min="11543" max="11545" width="8.875" style="4" customWidth="1"/>
    <col min="11546" max="11546" width="2.875" style="4" customWidth="1"/>
    <col min="11547" max="11547" width="9.875" style="4" customWidth="1"/>
    <col min="11548" max="11550" width="6.875" style="4" customWidth="1"/>
    <col min="11551" max="11553" width="8.875" style="4" customWidth="1"/>
    <col min="11554" max="11555" width="5.125" style="4" customWidth="1"/>
    <col min="11556" max="11556" width="2.875" style="4" customWidth="1"/>
    <col min="11557" max="11791" width="8.875" style="4" customWidth="1"/>
    <col min="11792" max="11792" width="8.375" style="4" customWidth="1"/>
    <col min="11793" max="11793" width="14.875" style="4" customWidth="1"/>
    <col min="11794" max="11794" width="7.875" style="4" customWidth="1"/>
    <col min="11795" max="11795" width="9.875" style="4" customWidth="1"/>
    <col min="11796" max="11798" width="6.875" style="4" customWidth="1"/>
    <col min="11799" max="11801" width="8.875" style="4" customWidth="1"/>
    <col min="11802" max="11802" width="2.875" style="4" customWidth="1"/>
    <col min="11803" max="11803" width="9.875" style="4" customWidth="1"/>
    <col min="11804" max="11806" width="6.875" style="4" customWidth="1"/>
    <col min="11807" max="11809" width="8.875" style="4" customWidth="1"/>
    <col min="11810" max="11811" width="5.125" style="4" customWidth="1"/>
    <col min="11812" max="11812" width="2.875" style="4" customWidth="1"/>
    <col min="11813" max="12047" width="8.875" style="4" customWidth="1"/>
    <col min="12048" max="12048" width="8.375" style="4" customWidth="1"/>
    <col min="12049" max="12049" width="14.875" style="4" customWidth="1"/>
    <col min="12050" max="12050" width="7.875" style="4" customWidth="1"/>
    <col min="12051" max="12051" width="9.875" style="4" customWidth="1"/>
    <col min="12052" max="12054" width="6.875" style="4" customWidth="1"/>
    <col min="12055" max="12057" width="8.875" style="4" customWidth="1"/>
    <col min="12058" max="12058" width="2.875" style="4" customWidth="1"/>
    <col min="12059" max="12059" width="9.875" style="4" customWidth="1"/>
    <col min="12060" max="12062" width="6.875" style="4" customWidth="1"/>
    <col min="12063" max="12065" width="8.875" style="4" customWidth="1"/>
    <col min="12066" max="12067" width="5.125" style="4" customWidth="1"/>
    <col min="12068" max="12068" width="2.875" style="4" customWidth="1"/>
    <col min="12069" max="12303" width="8.875" style="4" customWidth="1"/>
    <col min="12304" max="12304" width="8.375" style="4" customWidth="1"/>
    <col min="12305" max="12305" width="14.875" style="4" customWidth="1"/>
    <col min="12306" max="12306" width="7.875" style="4" customWidth="1"/>
    <col min="12307" max="12307" width="9.875" style="4" customWidth="1"/>
    <col min="12308" max="12310" width="6.875" style="4" customWidth="1"/>
    <col min="12311" max="12313" width="8.875" style="4" customWidth="1"/>
    <col min="12314" max="12314" width="2.875" style="4" customWidth="1"/>
    <col min="12315" max="12315" width="9.875" style="4" customWidth="1"/>
    <col min="12316" max="12318" width="6.875" style="4" customWidth="1"/>
    <col min="12319" max="12321" width="8.875" style="4" customWidth="1"/>
    <col min="12322" max="12323" width="5.125" style="4" customWidth="1"/>
    <col min="12324" max="12324" width="2.875" style="4" customWidth="1"/>
    <col min="12325" max="12559" width="8.875" style="4" customWidth="1"/>
    <col min="12560" max="12560" width="8.375" style="4" customWidth="1"/>
    <col min="12561" max="12561" width="14.875" style="4" customWidth="1"/>
    <col min="12562" max="12562" width="7.875" style="4" customWidth="1"/>
    <col min="12563" max="12563" width="9.875" style="4" customWidth="1"/>
    <col min="12564" max="12566" width="6.875" style="4" customWidth="1"/>
    <col min="12567" max="12569" width="8.875" style="4" customWidth="1"/>
    <col min="12570" max="12570" width="2.875" style="4" customWidth="1"/>
    <col min="12571" max="12571" width="9.875" style="4" customWidth="1"/>
    <col min="12572" max="12574" width="6.875" style="4" customWidth="1"/>
    <col min="12575" max="12577" width="8.875" style="4" customWidth="1"/>
    <col min="12578" max="12579" width="5.125" style="4" customWidth="1"/>
    <col min="12580" max="12580" width="2.875" style="4" customWidth="1"/>
    <col min="12581" max="12815" width="8.875" style="4" customWidth="1"/>
    <col min="12816" max="12816" width="8.375" style="4" customWidth="1"/>
    <col min="12817" max="12817" width="14.875" style="4" customWidth="1"/>
    <col min="12818" max="12818" width="7.875" style="4" customWidth="1"/>
    <col min="12819" max="12819" width="9.875" style="4" customWidth="1"/>
    <col min="12820" max="12822" width="6.875" style="4" customWidth="1"/>
    <col min="12823" max="12825" width="8.875" style="4" customWidth="1"/>
    <col min="12826" max="12826" width="2.875" style="4" customWidth="1"/>
    <col min="12827" max="12827" width="9.875" style="4" customWidth="1"/>
    <col min="12828" max="12830" width="6.875" style="4" customWidth="1"/>
    <col min="12831" max="12833" width="8.875" style="4" customWidth="1"/>
    <col min="12834" max="12835" width="5.125" style="4" customWidth="1"/>
    <col min="12836" max="12836" width="2.875" style="4" customWidth="1"/>
    <col min="12837" max="13071" width="8.875" style="4" customWidth="1"/>
    <col min="13072" max="13072" width="8.375" style="4" customWidth="1"/>
    <col min="13073" max="13073" width="14.875" style="4" customWidth="1"/>
    <col min="13074" max="13074" width="7.875" style="4" customWidth="1"/>
    <col min="13075" max="13075" width="9.875" style="4" customWidth="1"/>
    <col min="13076" max="13078" width="6.875" style="4" customWidth="1"/>
    <col min="13079" max="13081" width="8.875" style="4" customWidth="1"/>
    <col min="13082" max="13082" width="2.875" style="4" customWidth="1"/>
    <col min="13083" max="13083" width="9.875" style="4" customWidth="1"/>
    <col min="13084" max="13086" width="6.875" style="4" customWidth="1"/>
    <col min="13087" max="13089" width="8.875" style="4" customWidth="1"/>
    <col min="13090" max="13091" width="5.125" style="4" customWidth="1"/>
    <col min="13092" max="13092" width="2.875" style="4" customWidth="1"/>
    <col min="13093" max="13327" width="8.875" style="4" customWidth="1"/>
    <col min="13328" max="13328" width="8.375" style="4" customWidth="1"/>
    <col min="13329" max="13329" width="14.875" style="4" customWidth="1"/>
    <col min="13330" max="13330" width="7.875" style="4" customWidth="1"/>
    <col min="13331" max="13331" width="9.875" style="4" customWidth="1"/>
    <col min="13332" max="13334" width="6.875" style="4" customWidth="1"/>
    <col min="13335" max="13337" width="8.875" style="4" customWidth="1"/>
    <col min="13338" max="13338" width="2.875" style="4" customWidth="1"/>
    <col min="13339" max="13339" width="9.875" style="4" customWidth="1"/>
    <col min="13340" max="13342" width="6.875" style="4" customWidth="1"/>
    <col min="13343" max="13345" width="8.875" style="4" customWidth="1"/>
    <col min="13346" max="13347" width="5.125" style="4" customWidth="1"/>
    <col min="13348" max="13348" width="2.875" style="4" customWidth="1"/>
    <col min="13349" max="13583" width="8.875" style="4" customWidth="1"/>
    <col min="13584" max="13584" width="8.375" style="4" customWidth="1"/>
    <col min="13585" max="13585" width="14.875" style="4" customWidth="1"/>
    <col min="13586" max="13586" width="7.875" style="4" customWidth="1"/>
    <col min="13587" max="13587" width="9.875" style="4" customWidth="1"/>
    <col min="13588" max="13590" width="6.875" style="4" customWidth="1"/>
    <col min="13591" max="13593" width="8.875" style="4" customWidth="1"/>
    <col min="13594" max="13594" width="2.875" style="4" customWidth="1"/>
    <col min="13595" max="13595" width="9.875" style="4" customWidth="1"/>
    <col min="13596" max="13598" width="6.875" style="4" customWidth="1"/>
    <col min="13599" max="13601" width="8.875" style="4" customWidth="1"/>
    <col min="13602" max="13603" width="5.125" style="4" customWidth="1"/>
    <col min="13604" max="13604" width="2.875" style="4" customWidth="1"/>
    <col min="13605" max="13839" width="8.875" style="4" customWidth="1"/>
    <col min="13840" max="13840" width="8.375" style="4" customWidth="1"/>
    <col min="13841" max="13841" width="14.875" style="4" customWidth="1"/>
    <col min="13842" max="13842" width="7.875" style="4" customWidth="1"/>
    <col min="13843" max="13843" width="9.875" style="4" customWidth="1"/>
    <col min="13844" max="13846" width="6.875" style="4" customWidth="1"/>
    <col min="13847" max="13849" width="8.875" style="4" customWidth="1"/>
    <col min="13850" max="13850" width="2.875" style="4" customWidth="1"/>
    <col min="13851" max="13851" width="9.875" style="4" customWidth="1"/>
    <col min="13852" max="13854" width="6.875" style="4" customWidth="1"/>
    <col min="13855" max="13857" width="8.875" style="4" customWidth="1"/>
    <col min="13858" max="13859" width="5.125" style="4" customWidth="1"/>
    <col min="13860" max="13860" width="2.875" style="4" customWidth="1"/>
    <col min="13861" max="14095" width="8.875" style="4" customWidth="1"/>
    <col min="14096" max="14096" width="8.375" style="4" customWidth="1"/>
    <col min="14097" max="14097" width="14.875" style="4" customWidth="1"/>
    <col min="14098" max="14098" width="7.875" style="4" customWidth="1"/>
    <col min="14099" max="14099" width="9.875" style="4" customWidth="1"/>
    <col min="14100" max="14102" width="6.875" style="4" customWidth="1"/>
    <col min="14103" max="14105" width="8.875" style="4" customWidth="1"/>
    <col min="14106" max="14106" width="2.875" style="4" customWidth="1"/>
    <col min="14107" max="14107" width="9.875" style="4" customWidth="1"/>
    <col min="14108" max="14110" width="6.875" style="4" customWidth="1"/>
    <col min="14111" max="14113" width="8.875" style="4" customWidth="1"/>
    <col min="14114" max="14115" width="5.125" style="4" customWidth="1"/>
    <col min="14116" max="14116" width="2.875" style="4" customWidth="1"/>
    <col min="14117" max="14351" width="8.875" style="4" customWidth="1"/>
    <col min="14352" max="14352" width="8.375" style="4" customWidth="1"/>
    <col min="14353" max="14353" width="14.875" style="4" customWidth="1"/>
    <col min="14354" max="14354" width="7.875" style="4" customWidth="1"/>
    <col min="14355" max="14355" width="9.875" style="4" customWidth="1"/>
    <col min="14356" max="14358" width="6.875" style="4" customWidth="1"/>
    <col min="14359" max="14361" width="8.875" style="4" customWidth="1"/>
    <col min="14362" max="14362" width="2.875" style="4" customWidth="1"/>
    <col min="14363" max="14363" width="9.875" style="4" customWidth="1"/>
    <col min="14364" max="14366" width="6.875" style="4" customWidth="1"/>
    <col min="14367" max="14369" width="8.875" style="4" customWidth="1"/>
    <col min="14370" max="14371" width="5.125" style="4" customWidth="1"/>
    <col min="14372" max="14372" width="2.875" style="4" customWidth="1"/>
    <col min="14373" max="14607" width="8.875" style="4" customWidth="1"/>
    <col min="14608" max="14608" width="8.375" style="4" customWidth="1"/>
    <col min="14609" max="14609" width="14.875" style="4" customWidth="1"/>
    <col min="14610" max="14610" width="7.875" style="4" customWidth="1"/>
    <col min="14611" max="14611" width="9.875" style="4" customWidth="1"/>
    <col min="14612" max="14614" width="6.875" style="4" customWidth="1"/>
    <col min="14615" max="14617" width="8.875" style="4" customWidth="1"/>
    <col min="14618" max="14618" width="2.875" style="4" customWidth="1"/>
    <col min="14619" max="14619" width="9.875" style="4" customWidth="1"/>
    <col min="14620" max="14622" width="6.875" style="4" customWidth="1"/>
    <col min="14623" max="14625" width="8.875" style="4" customWidth="1"/>
    <col min="14626" max="14627" width="5.125" style="4" customWidth="1"/>
    <col min="14628" max="14628" width="2.875" style="4" customWidth="1"/>
    <col min="14629" max="14863" width="8.875" style="4" customWidth="1"/>
    <col min="14864" max="14864" width="8.375" style="4" customWidth="1"/>
    <col min="14865" max="14865" width="14.875" style="4" customWidth="1"/>
    <col min="14866" max="14866" width="7.875" style="4" customWidth="1"/>
    <col min="14867" max="14867" width="9.875" style="4" customWidth="1"/>
    <col min="14868" max="14870" width="6.875" style="4" customWidth="1"/>
    <col min="14871" max="14873" width="8.875" style="4" customWidth="1"/>
    <col min="14874" max="14874" width="2.875" style="4" customWidth="1"/>
    <col min="14875" max="14875" width="9.875" style="4" customWidth="1"/>
    <col min="14876" max="14878" width="6.875" style="4" customWidth="1"/>
    <col min="14879" max="14881" width="8.875" style="4" customWidth="1"/>
    <col min="14882" max="14883" width="5.125" style="4" customWidth="1"/>
    <col min="14884" max="14884" width="2.875" style="4" customWidth="1"/>
    <col min="14885" max="15119" width="8.875" style="4" customWidth="1"/>
    <col min="15120" max="15120" width="8.375" style="4" customWidth="1"/>
    <col min="15121" max="15121" width="14.875" style="4" customWidth="1"/>
    <col min="15122" max="15122" width="7.875" style="4" customWidth="1"/>
    <col min="15123" max="15123" width="9.875" style="4" customWidth="1"/>
    <col min="15124" max="15126" width="6.875" style="4" customWidth="1"/>
    <col min="15127" max="15129" width="8.875" style="4" customWidth="1"/>
    <col min="15130" max="15130" width="2.875" style="4" customWidth="1"/>
    <col min="15131" max="15131" width="9.875" style="4" customWidth="1"/>
    <col min="15132" max="15134" width="6.875" style="4" customWidth="1"/>
    <col min="15135" max="15137" width="8.875" style="4" customWidth="1"/>
    <col min="15138" max="15139" width="5.125" style="4" customWidth="1"/>
    <col min="15140" max="15140" width="2.875" style="4" customWidth="1"/>
    <col min="15141" max="15375" width="8.875" style="4" customWidth="1"/>
    <col min="15376" max="15376" width="8.375" style="4" customWidth="1"/>
    <col min="15377" max="15377" width="14.875" style="4" customWidth="1"/>
    <col min="15378" max="15378" width="7.875" style="4" customWidth="1"/>
    <col min="15379" max="15379" width="9.875" style="4" customWidth="1"/>
    <col min="15380" max="15382" width="6.875" style="4" customWidth="1"/>
    <col min="15383" max="15385" width="8.875" style="4" customWidth="1"/>
    <col min="15386" max="15386" width="2.875" style="4" customWidth="1"/>
    <col min="15387" max="15387" width="9.875" style="4" customWidth="1"/>
    <col min="15388" max="15390" width="6.875" style="4" customWidth="1"/>
    <col min="15391" max="15393" width="8.875" style="4" customWidth="1"/>
    <col min="15394" max="15395" width="5.125" style="4" customWidth="1"/>
    <col min="15396" max="15396" width="2.875" style="4" customWidth="1"/>
    <col min="15397" max="15631" width="8.875" style="4" customWidth="1"/>
    <col min="15632" max="15632" width="8.375" style="4" customWidth="1"/>
    <col min="15633" max="15633" width="14.875" style="4" customWidth="1"/>
    <col min="15634" max="15634" width="7.875" style="4" customWidth="1"/>
    <col min="15635" max="15635" width="9.875" style="4" customWidth="1"/>
    <col min="15636" max="15638" width="6.875" style="4" customWidth="1"/>
    <col min="15639" max="15641" width="8.875" style="4" customWidth="1"/>
    <col min="15642" max="15642" width="2.875" style="4" customWidth="1"/>
    <col min="15643" max="15643" width="9.875" style="4" customWidth="1"/>
    <col min="15644" max="15646" width="6.875" style="4" customWidth="1"/>
    <col min="15647" max="15649" width="8.875" style="4" customWidth="1"/>
    <col min="15650" max="15651" width="5.125" style="4" customWidth="1"/>
    <col min="15652" max="15652" width="2.875" style="4" customWidth="1"/>
    <col min="15653" max="15887" width="8.875" style="4" customWidth="1"/>
    <col min="15888" max="15888" width="8.375" style="4" customWidth="1"/>
    <col min="15889" max="15889" width="14.875" style="4" customWidth="1"/>
    <col min="15890" max="15890" width="7.875" style="4" customWidth="1"/>
    <col min="15891" max="15891" width="9.875" style="4" customWidth="1"/>
    <col min="15892" max="15894" width="6.875" style="4" customWidth="1"/>
    <col min="15895" max="15897" width="8.875" style="4" customWidth="1"/>
    <col min="15898" max="15898" width="2.875" style="4" customWidth="1"/>
    <col min="15899" max="15899" width="9.875" style="4" customWidth="1"/>
    <col min="15900" max="15902" width="6.875" style="4" customWidth="1"/>
    <col min="15903" max="15905" width="8.875" style="4" customWidth="1"/>
    <col min="15906" max="15907" width="5.125" style="4" customWidth="1"/>
    <col min="15908" max="15908" width="2.875" style="4" customWidth="1"/>
    <col min="15909" max="16143" width="8.875" style="4" customWidth="1"/>
    <col min="16144" max="16144" width="8.375" style="4" customWidth="1"/>
    <col min="16145" max="16145" width="14.875" style="4" customWidth="1"/>
    <col min="16146" max="16146" width="7.875" style="4" customWidth="1"/>
    <col min="16147" max="16147" width="9.875" style="4" customWidth="1"/>
    <col min="16148" max="16150" width="6.875" style="4" customWidth="1"/>
    <col min="16151" max="16153" width="8.875" style="4" customWidth="1"/>
    <col min="16154" max="16154" width="2.875" style="4" customWidth="1"/>
    <col min="16155" max="16155" width="9.875" style="4" customWidth="1"/>
    <col min="16156" max="16158" width="6.875" style="4" customWidth="1"/>
    <col min="16159" max="16161" width="8.875" style="4" customWidth="1"/>
    <col min="16162" max="16163" width="5.125" style="4" customWidth="1"/>
    <col min="16164" max="16164" width="2.875" style="4" customWidth="1"/>
    <col min="16165" max="16384" width="8.875" style="4" customWidth="1"/>
  </cols>
  <sheetData>
    <row r="1" spans="1:42" ht="17.100000000000001" customHeight="1" thickBot="1" x14ac:dyDescent="0.3">
      <c r="G1" s="225" t="s">
        <v>6</v>
      </c>
      <c r="H1" s="225"/>
      <c r="I1" s="225"/>
      <c r="J1" s="225"/>
      <c r="K1" s="225"/>
      <c r="L1" s="225"/>
      <c r="M1" s="225"/>
      <c r="N1" s="225"/>
      <c r="O1" s="225"/>
      <c r="P1" s="225"/>
      <c r="R1" s="225" t="s">
        <v>7</v>
      </c>
      <c r="S1" s="225"/>
      <c r="T1" s="225"/>
      <c r="U1" s="225"/>
      <c r="V1" s="225"/>
      <c r="W1" s="225"/>
      <c r="X1" s="225"/>
      <c r="Y1" s="225"/>
      <c r="Z1" s="225"/>
      <c r="AA1" s="225"/>
      <c r="AB1" s="5"/>
      <c r="AC1" s="5"/>
      <c r="AD1" s="57"/>
      <c r="AE1" s="57"/>
      <c r="AF1" s="290" t="s">
        <v>120</v>
      </c>
      <c r="AG1" s="291"/>
      <c r="AH1" s="291"/>
      <c r="AI1" s="291"/>
      <c r="AJ1" s="291"/>
      <c r="AK1" s="291"/>
      <c r="AL1" s="291"/>
      <c r="AM1" s="291"/>
      <c r="AN1" s="291"/>
      <c r="AO1" s="291"/>
      <c r="AP1" s="292"/>
    </row>
    <row r="2" spans="1:42" ht="17.100000000000001" customHeight="1" thickBot="1" x14ac:dyDescent="0.3">
      <c r="G2" s="54" t="s">
        <v>119</v>
      </c>
      <c r="H2" s="251" t="s">
        <v>3</v>
      </c>
      <c r="I2" s="251"/>
      <c r="J2" s="251"/>
      <c r="K2" s="55" t="s">
        <v>117</v>
      </c>
      <c r="L2" s="55" t="s">
        <v>118</v>
      </c>
      <c r="M2" s="55" t="s">
        <v>0</v>
      </c>
      <c r="N2" s="55" t="s">
        <v>10</v>
      </c>
      <c r="O2" s="55" t="s">
        <v>11</v>
      </c>
      <c r="P2" s="56" t="s">
        <v>12</v>
      </c>
      <c r="R2" s="54" t="s">
        <v>119</v>
      </c>
      <c r="S2" s="251" t="s">
        <v>3</v>
      </c>
      <c r="T2" s="251"/>
      <c r="U2" s="251"/>
      <c r="V2" s="55" t="s">
        <v>117</v>
      </c>
      <c r="W2" s="55" t="s">
        <v>118</v>
      </c>
      <c r="X2" s="55" t="s">
        <v>0</v>
      </c>
      <c r="Y2" s="55" t="s">
        <v>10</v>
      </c>
      <c r="Z2" s="55" t="s">
        <v>11</v>
      </c>
      <c r="AA2" s="56" t="s">
        <v>12</v>
      </c>
      <c r="AB2" s="5"/>
      <c r="AC2" s="5"/>
      <c r="AD2" s="57"/>
      <c r="AE2" s="57"/>
      <c r="AF2" s="293" t="s">
        <v>3</v>
      </c>
      <c r="AG2" s="255"/>
      <c r="AH2" s="255"/>
      <c r="AI2" s="255"/>
      <c r="AJ2" s="255"/>
      <c r="AK2" s="255" t="s">
        <v>1</v>
      </c>
      <c r="AL2" s="255"/>
      <c r="AM2" s="255" t="s">
        <v>116</v>
      </c>
      <c r="AN2" s="255"/>
      <c r="AO2" s="255" t="s">
        <v>0</v>
      </c>
      <c r="AP2" s="270"/>
    </row>
    <row r="3" spans="1:42" ht="17.100000000000001" customHeight="1" thickBot="1" x14ac:dyDescent="0.3">
      <c r="A3" s="22"/>
      <c r="B3" s="17" t="s">
        <v>113</v>
      </c>
      <c r="C3" s="17" t="s">
        <v>114</v>
      </c>
      <c r="D3" s="79" t="s">
        <v>19</v>
      </c>
      <c r="E3" s="17" t="s">
        <v>112</v>
      </c>
      <c r="F3" s="80" t="s">
        <v>8</v>
      </c>
      <c r="G3" s="81" t="s">
        <v>9</v>
      </c>
      <c r="H3" s="79" t="s">
        <v>15</v>
      </c>
      <c r="I3" s="79" t="s">
        <v>16</v>
      </c>
      <c r="J3" s="79" t="s">
        <v>17</v>
      </c>
      <c r="K3" s="79" t="s">
        <v>15</v>
      </c>
      <c r="L3" s="79" t="s">
        <v>15</v>
      </c>
      <c r="M3" s="79" t="s">
        <v>15</v>
      </c>
      <c r="N3" s="79"/>
      <c r="O3" s="79"/>
      <c r="P3" s="80"/>
      <c r="Q3" s="79"/>
      <c r="R3" s="81" t="s">
        <v>9</v>
      </c>
      <c r="S3" s="79" t="s">
        <v>15</v>
      </c>
      <c r="T3" s="79" t="s">
        <v>16</v>
      </c>
      <c r="U3" s="79" t="s">
        <v>17</v>
      </c>
      <c r="V3" s="79" t="s">
        <v>15</v>
      </c>
      <c r="W3" s="79" t="s">
        <v>15</v>
      </c>
      <c r="X3" s="79" t="s">
        <v>15</v>
      </c>
      <c r="Y3" s="79"/>
      <c r="Z3" s="79"/>
      <c r="AA3" s="80"/>
      <c r="AB3" s="46" t="s">
        <v>13</v>
      </c>
      <c r="AC3" s="47" t="s">
        <v>14</v>
      </c>
      <c r="AD3" s="57"/>
      <c r="AE3" s="57"/>
      <c r="AF3" s="294" t="s">
        <v>98</v>
      </c>
      <c r="AG3" s="295"/>
      <c r="AH3" s="61" t="s">
        <v>15</v>
      </c>
      <c r="AI3" s="61" t="s">
        <v>16</v>
      </c>
      <c r="AJ3" s="61" t="s">
        <v>17</v>
      </c>
      <c r="AK3" s="61" t="s">
        <v>98</v>
      </c>
      <c r="AL3" s="61" t="s">
        <v>15</v>
      </c>
      <c r="AM3" s="61" t="s">
        <v>98</v>
      </c>
      <c r="AN3" s="61" t="s">
        <v>15</v>
      </c>
      <c r="AO3" s="61" t="s">
        <v>98</v>
      </c>
      <c r="AP3" s="62" t="s">
        <v>15</v>
      </c>
    </row>
    <row r="4" spans="1:42" ht="17.100000000000001" customHeight="1" outlineLevel="4" x14ac:dyDescent="0.25">
      <c r="A4" s="226" t="s">
        <v>20</v>
      </c>
      <c r="B4" s="218" t="s">
        <v>18</v>
      </c>
      <c r="C4" s="228" t="s">
        <v>29</v>
      </c>
      <c r="D4" s="231">
        <v>59.94</v>
      </c>
      <c r="E4" s="234">
        <v>10</v>
      </c>
      <c r="F4" s="7">
        <v>23</v>
      </c>
      <c r="G4" s="31"/>
      <c r="H4" s="32"/>
      <c r="I4" s="32"/>
      <c r="J4" s="32"/>
      <c r="K4" s="32"/>
      <c r="L4" s="32"/>
      <c r="M4" s="32"/>
      <c r="N4" s="32"/>
      <c r="O4" s="32"/>
      <c r="P4" s="33"/>
      <c r="Q4" s="18"/>
      <c r="R4" s="31"/>
      <c r="S4" s="32"/>
      <c r="T4" s="32"/>
      <c r="U4" s="32"/>
      <c r="V4" s="32"/>
      <c r="W4" s="32"/>
      <c r="X4" s="32"/>
      <c r="Y4" s="32"/>
      <c r="Z4" s="32"/>
      <c r="AA4" s="33"/>
      <c r="AB4" s="48" t="e">
        <f>Y4/N4</f>
        <v>#DIV/0!</v>
      </c>
      <c r="AC4" s="49" t="e">
        <f>Z4/O4</f>
        <v>#DIV/0!</v>
      </c>
      <c r="AD4" s="19"/>
      <c r="AE4" s="19"/>
      <c r="AF4" s="285" t="s">
        <v>126</v>
      </c>
      <c r="AG4" s="239" t="e" cm="1">
        <f t="array" ref="AG4">bdRateExtend($G4:$G7,G4:G7,$R4:$R7,R4:R7)</f>
        <v>#VALUE!</v>
      </c>
      <c r="AH4" s="241" t="e" cm="1">
        <f t="array" ref="AH4">bdRateExtend($G4:$G9,H4:H9,$R4:$R9,S4:S9)</f>
        <v>#VALUE!</v>
      </c>
      <c r="AI4" s="241" t="e" cm="1">
        <f t="array" ref="AI4">bdRateExtend($G4:$G9,I4:I9,$R4:$R9,T4:T9)</f>
        <v>#VALUE!</v>
      </c>
      <c r="AJ4" s="244" t="e" cm="1">
        <f t="array" ref="AJ4">bdRateExtend($G4:$G9,J4:J9,$R4:$R9,U4:U9)</f>
        <v>#VALUE!</v>
      </c>
      <c r="AK4" s="239" t="e" cm="1">
        <f t="array" ref="AK4">bdRateExtend($G4:$G7,K4:K7,$R4:$R7,V4:V7)</f>
        <v>#VALUE!</v>
      </c>
      <c r="AL4" s="248" t="e" cm="1">
        <f t="array" ref="AL4">bdRateExtend($G4:$G9,K4:K9,$R4:$R9,V4:V9)</f>
        <v>#VALUE!</v>
      </c>
      <c r="AM4" s="239" t="e" cm="1">
        <f t="array" ref="AM4">bdRateExtend($G4:$G7,L4:L7,$R4:$R7,W4:W7)</f>
        <v>#VALUE!</v>
      </c>
      <c r="AN4" s="248" t="e" cm="1">
        <f t="array" ref="AN4">bdRateExtend($G4:$G9,L4:L9,$R4:$R9,W4:W9)</f>
        <v>#VALUE!</v>
      </c>
      <c r="AO4" s="254" t="e" cm="1">
        <f t="array" ref="AO4">bdRateExtend($G4:$G7,M4:M7,$R4:$R7,X4:X7)</f>
        <v>#VALUE!</v>
      </c>
      <c r="AP4" s="248" t="e" cm="1">
        <f t="array" ref="AP4">bdRateExtend($G4:$G9,M4:M9,$R4:$R9,X4:X9)</f>
        <v>#VALUE!</v>
      </c>
    </row>
    <row r="5" spans="1:42" ht="17.100000000000001" customHeight="1" outlineLevel="4" x14ac:dyDescent="0.25">
      <c r="A5" s="222"/>
      <c r="B5" s="219"/>
      <c r="C5" s="229"/>
      <c r="D5" s="232"/>
      <c r="E5" s="235"/>
      <c r="F5" s="16">
        <v>31</v>
      </c>
      <c r="G5" s="34"/>
      <c r="H5" s="39"/>
      <c r="I5" s="39"/>
      <c r="J5" s="39"/>
      <c r="K5" s="39"/>
      <c r="L5" s="39"/>
      <c r="M5" s="39"/>
      <c r="N5" s="39"/>
      <c r="O5" s="39"/>
      <c r="P5" s="35"/>
      <c r="Q5" s="18"/>
      <c r="R5" s="34"/>
      <c r="S5" s="39"/>
      <c r="T5" s="39"/>
      <c r="U5" s="39"/>
      <c r="V5" s="39"/>
      <c r="W5" s="39"/>
      <c r="X5" s="39"/>
      <c r="Y5" s="39"/>
      <c r="Z5" s="39"/>
      <c r="AA5" s="35"/>
      <c r="AB5" s="50" t="e">
        <f>Y5/N5</f>
        <v>#DIV/0!</v>
      </c>
      <c r="AC5" s="51" t="e">
        <f>Z5/O5</f>
        <v>#DIV/0!</v>
      </c>
      <c r="AD5" s="19"/>
      <c r="AE5" s="19"/>
      <c r="AF5" s="285"/>
      <c r="AG5" s="240"/>
      <c r="AH5" s="242"/>
      <c r="AI5" s="242"/>
      <c r="AJ5" s="245"/>
      <c r="AK5" s="240"/>
      <c r="AL5" s="249"/>
      <c r="AM5" s="240"/>
      <c r="AN5" s="249"/>
      <c r="AO5" s="252"/>
      <c r="AP5" s="249"/>
    </row>
    <row r="6" spans="1:42" ht="17.100000000000001" customHeight="1" outlineLevel="4" x14ac:dyDescent="0.25">
      <c r="A6" s="222"/>
      <c r="B6" s="219"/>
      <c r="C6" s="229"/>
      <c r="D6" s="232"/>
      <c r="E6" s="235"/>
      <c r="F6" s="16">
        <v>39</v>
      </c>
      <c r="G6" s="34"/>
      <c r="H6" s="39"/>
      <c r="I6" s="39"/>
      <c r="J6" s="39"/>
      <c r="K6" s="39"/>
      <c r="L6" s="39"/>
      <c r="M6" s="39"/>
      <c r="N6" s="39"/>
      <c r="O6" s="39"/>
      <c r="P6" s="35"/>
      <c r="Q6" s="18"/>
      <c r="R6" s="34"/>
      <c r="S6" s="39"/>
      <c r="T6" s="39"/>
      <c r="U6" s="39"/>
      <c r="V6" s="39"/>
      <c r="W6" s="39"/>
      <c r="X6" s="39"/>
      <c r="Y6" s="39"/>
      <c r="Z6" s="39"/>
      <c r="AA6" s="35"/>
      <c r="AB6" s="50" t="e">
        <f t="shared" ref="AB6:AC7" si="0">Y6/N6</f>
        <v>#DIV/0!</v>
      </c>
      <c r="AC6" s="51" t="e">
        <f t="shared" si="0"/>
        <v>#DIV/0!</v>
      </c>
      <c r="AD6" s="19"/>
      <c r="AE6" s="19"/>
      <c r="AF6" s="285" t="s">
        <v>127</v>
      </c>
      <c r="AG6" s="240" t="e" cm="1">
        <f t="array" ref="AG6">bdRateExtend($G5:$G8,G5:G8,$R5:$R8,R5:R8)</f>
        <v>#VALUE!</v>
      </c>
      <c r="AH6" s="242"/>
      <c r="AI6" s="242"/>
      <c r="AJ6" s="245"/>
      <c r="AK6" s="240" t="e" cm="1">
        <f t="array" ref="AK6">bdRateExtend($G5:$G8,K5:K8,$R5:$R8,V5:V8)</f>
        <v>#VALUE!</v>
      </c>
      <c r="AL6" s="249"/>
      <c r="AM6" s="240" t="e" cm="1">
        <f t="array" ref="AM6">bdRateExtend($G5:$G8,L5:L8,$R5:$R8,W5:W8)</f>
        <v>#VALUE!</v>
      </c>
      <c r="AN6" s="249"/>
      <c r="AO6" s="252" t="e" cm="1">
        <f t="array" ref="AO6">bdRateExtend($G5:$G8,M5:M8,$R5:$R8,X5:X8)</f>
        <v>#VALUE!</v>
      </c>
      <c r="AP6" s="249"/>
    </row>
    <row r="7" spans="1:42" ht="17.100000000000001" customHeight="1" outlineLevel="4" x14ac:dyDescent="0.25">
      <c r="A7" s="222"/>
      <c r="B7" s="219"/>
      <c r="C7" s="229"/>
      <c r="D7" s="232"/>
      <c r="E7" s="235"/>
      <c r="F7" s="16">
        <v>47</v>
      </c>
      <c r="G7" s="34"/>
      <c r="H7" s="39"/>
      <c r="I7" s="39"/>
      <c r="J7" s="39"/>
      <c r="K7" s="39"/>
      <c r="L7" s="39"/>
      <c r="M7" s="39"/>
      <c r="N7" s="39"/>
      <c r="O7" s="39"/>
      <c r="P7" s="35"/>
      <c r="Q7" s="18"/>
      <c r="R7" s="34"/>
      <c r="S7" s="39"/>
      <c r="T7" s="39"/>
      <c r="U7" s="39"/>
      <c r="V7" s="39"/>
      <c r="W7" s="39"/>
      <c r="X7" s="39"/>
      <c r="Y7" s="39"/>
      <c r="Z7" s="39"/>
      <c r="AA7" s="35"/>
      <c r="AB7" s="50" t="e">
        <f t="shared" si="0"/>
        <v>#DIV/0!</v>
      </c>
      <c r="AC7" s="51" t="e">
        <f t="shared" si="0"/>
        <v>#DIV/0!</v>
      </c>
      <c r="AD7" s="19"/>
      <c r="AE7" s="19"/>
      <c r="AF7" s="285"/>
      <c r="AG7" s="240"/>
      <c r="AH7" s="242"/>
      <c r="AI7" s="242"/>
      <c r="AJ7" s="245"/>
      <c r="AK7" s="240"/>
      <c r="AL7" s="249"/>
      <c r="AM7" s="240"/>
      <c r="AN7" s="249"/>
      <c r="AO7" s="252"/>
      <c r="AP7" s="249"/>
    </row>
    <row r="8" spans="1:42" ht="17.100000000000001" customHeight="1" outlineLevel="4" x14ac:dyDescent="0.25">
      <c r="A8" s="222"/>
      <c r="B8" s="219"/>
      <c r="C8" s="229"/>
      <c r="D8" s="232"/>
      <c r="E8" s="235"/>
      <c r="F8" s="16">
        <v>55</v>
      </c>
      <c r="G8" s="34"/>
      <c r="H8" s="39"/>
      <c r="I8" s="39"/>
      <c r="J8" s="39"/>
      <c r="K8" s="39"/>
      <c r="L8" s="39"/>
      <c r="M8" s="39"/>
      <c r="N8" s="39"/>
      <c r="O8" s="39"/>
      <c r="P8" s="35"/>
      <c r="Q8" s="18"/>
      <c r="R8" s="34"/>
      <c r="S8" s="39"/>
      <c r="T8" s="39"/>
      <c r="U8" s="39"/>
      <c r="V8" s="39"/>
      <c r="W8" s="39"/>
      <c r="X8" s="39"/>
      <c r="Y8" s="39"/>
      <c r="Z8" s="39"/>
      <c r="AA8" s="35"/>
      <c r="AB8" s="50" t="e">
        <f>Y8/N8</f>
        <v>#DIV/0!</v>
      </c>
      <c r="AC8" s="51" t="e">
        <f>Z8/O8</f>
        <v>#DIV/0!</v>
      </c>
      <c r="AD8" s="19"/>
      <c r="AE8" s="19"/>
      <c r="AF8" s="285" t="s">
        <v>128</v>
      </c>
      <c r="AG8" s="240" t="e" cm="1">
        <f t="array" ref="AG8">bdRateExtend($G6:$G9,G6:G9,$R6:$R9,R6:R9)</f>
        <v>#VALUE!</v>
      </c>
      <c r="AH8" s="242"/>
      <c r="AI8" s="242"/>
      <c r="AJ8" s="245"/>
      <c r="AK8" s="240" t="e" cm="1">
        <f t="array" ref="AK8">bdRateExtend($G6:$G9,K6:K9,$R6:$R9,V6:V9)</f>
        <v>#VALUE!</v>
      </c>
      <c r="AL8" s="249"/>
      <c r="AM8" s="240" t="e" cm="1">
        <f t="array" ref="AM8">bdRateExtend($G6:$G9,L6:L9,$R6:$R9,W6:W9)</f>
        <v>#VALUE!</v>
      </c>
      <c r="AN8" s="249"/>
      <c r="AO8" s="252" t="e" cm="1">
        <f t="array" ref="AO8">bdRateExtend($G6:$G9,M6:M9,$R6:$R9,X6:X9)</f>
        <v>#VALUE!</v>
      </c>
      <c r="AP8" s="249"/>
    </row>
    <row r="9" spans="1:42" ht="17.100000000000001" customHeight="1" outlineLevel="4" thickBot="1" x14ac:dyDescent="0.3">
      <c r="A9" s="222"/>
      <c r="B9" s="220"/>
      <c r="C9" s="230"/>
      <c r="D9" s="233"/>
      <c r="E9" s="236"/>
      <c r="F9" s="9">
        <v>63</v>
      </c>
      <c r="G9" s="36"/>
      <c r="H9" s="37"/>
      <c r="I9" s="37"/>
      <c r="J9" s="37"/>
      <c r="K9" s="37"/>
      <c r="L9" s="37"/>
      <c r="M9" s="37"/>
      <c r="N9" s="37"/>
      <c r="O9" s="37"/>
      <c r="P9" s="38"/>
      <c r="Q9" s="18"/>
      <c r="R9" s="36"/>
      <c r="S9" s="37"/>
      <c r="T9" s="37"/>
      <c r="U9" s="37"/>
      <c r="V9" s="37"/>
      <c r="W9" s="37"/>
      <c r="X9" s="37"/>
      <c r="Y9" s="37"/>
      <c r="Z9" s="37"/>
      <c r="AA9" s="38"/>
      <c r="AB9" s="52" t="e">
        <f>Y9/N9</f>
        <v>#DIV/0!</v>
      </c>
      <c r="AC9" s="53" t="e">
        <f>Z9/O9</f>
        <v>#DIV/0!</v>
      </c>
      <c r="AD9" s="19"/>
      <c r="AE9" s="19"/>
      <c r="AF9" s="286"/>
      <c r="AG9" s="247"/>
      <c r="AH9" s="243"/>
      <c r="AI9" s="243"/>
      <c r="AJ9" s="246"/>
      <c r="AK9" s="247"/>
      <c r="AL9" s="250"/>
      <c r="AM9" s="247"/>
      <c r="AN9" s="250"/>
      <c r="AO9" s="253"/>
      <c r="AP9" s="250"/>
    </row>
    <row r="10" spans="1:42" ht="17.100000000000001" customHeight="1" outlineLevel="4" x14ac:dyDescent="0.25">
      <c r="A10" s="222"/>
      <c r="B10" s="218" t="s">
        <v>18</v>
      </c>
      <c r="C10" s="228" t="s">
        <v>30</v>
      </c>
      <c r="D10" s="231">
        <v>59.94</v>
      </c>
      <c r="E10" s="234">
        <v>10</v>
      </c>
      <c r="F10" s="7">
        <v>23</v>
      </c>
      <c r="G10" s="31"/>
      <c r="H10" s="32"/>
      <c r="I10" s="32"/>
      <c r="J10" s="32"/>
      <c r="K10" s="32"/>
      <c r="L10" s="32"/>
      <c r="M10" s="32"/>
      <c r="N10" s="32"/>
      <c r="O10" s="32"/>
      <c r="P10" s="33"/>
      <c r="Q10" s="18"/>
      <c r="R10" s="31"/>
      <c r="S10" s="32"/>
      <c r="T10" s="32"/>
      <c r="U10" s="32"/>
      <c r="V10" s="32"/>
      <c r="W10" s="32"/>
      <c r="X10" s="32"/>
      <c r="Y10" s="32"/>
      <c r="Z10" s="32"/>
      <c r="AA10" s="33"/>
      <c r="AB10" s="48" t="e">
        <f t="shared" ref="AB10:AC73" si="1">Y10/N10</f>
        <v>#DIV/0!</v>
      </c>
      <c r="AC10" s="49" t="e">
        <f t="shared" si="1"/>
        <v>#DIV/0!</v>
      </c>
      <c r="AD10" s="19"/>
      <c r="AE10" s="19"/>
      <c r="AF10" s="284" t="s">
        <v>126</v>
      </c>
      <c r="AG10" s="239" t="e" cm="1">
        <f t="array" ref="AG10">bdRateExtend($G10:$G13,G10:G13,$R10:$R13,R10:R13)</f>
        <v>#VALUE!</v>
      </c>
      <c r="AH10" s="241" t="e" cm="1">
        <f t="array" ref="AH10">bdRateExtend($G10:$G15,H10:H15,$R10:$R15,S10:S15)</f>
        <v>#VALUE!</v>
      </c>
      <c r="AI10" s="241" t="e" cm="1">
        <f t="array" ref="AI10">bdRateExtend($G10:$G15,I10:I15,$R10:$R15,T10:T15)</f>
        <v>#VALUE!</v>
      </c>
      <c r="AJ10" s="244" t="e" cm="1">
        <f t="array" ref="AJ10">bdRateExtend($G10:$G15,J10:J15,$R10:$R15,U10:U15)</f>
        <v>#VALUE!</v>
      </c>
      <c r="AK10" s="239" t="e" cm="1">
        <f t="array" ref="AK10">bdRateExtend($G10:$G13,K10:K13,$R10:$R13,V10:V13)</f>
        <v>#VALUE!</v>
      </c>
      <c r="AL10" s="248" t="e" cm="1">
        <f t="array" ref="AL10">bdRateExtend($G10:$G15,K10:K15,$R10:$R15,V10:V15)</f>
        <v>#VALUE!</v>
      </c>
      <c r="AM10" s="239" t="e" cm="1">
        <f t="array" ref="AM10">bdRateExtend($G10:$G13,L10:L13,$R10:$R13,W10:W13)</f>
        <v>#VALUE!</v>
      </c>
      <c r="AN10" s="248" t="e" cm="1">
        <f t="array" ref="AN10">bdRateExtend($G10:$G15,L10:L15,$R10:$R15,W10:W15)</f>
        <v>#VALUE!</v>
      </c>
      <c r="AO10" s="254" t="e" cm="1">
        <f t="array" ref="AO10">bdRateExtend($G10:$G13,M10:M13,$R10:$R13,X10:X13)</f>
        <v>#VALUE!</v>
      </c>
      <c r="AP10" s="248" t="e" cm="1">
        <f t="array" ref="AP10">bdRateExtend($G10:$G15,M10:M15,$R10:$R15,X10:X15)</f>
        <v>#VALUE!</v>
      </c>
    </row>
    <row r="11" spans="1:42" ht="17.100000000000001" customHeight="1" outlineLevel="4" x14ac:dyDescent="0.25">
      <c r="A11" s="222"/>
      <c r="B11" s="219"/>
      <c r="C11" s="229"/>
      <c r="D11" s="232"/>
      <c r="E11" s="235"/>
      <c r="F11" s="16">
        <v>31</v>
      </c>
      <c r="G11" s="34"/>
      <c r="H11" s="39"/>
      <c r="I11" s="39"/>
      <c r="J11" s="39"/>
      <c r="K11" s="39"/>
      <c r="L11" s="39"/>
      <c r="M11" s="39"/>
      <c r="N11" s="39"/>
      <c r="O11" s="39"/>
      <c r="P11" s="35"/>
      <c r="Q11" s="18"/>
      <c r="R11" s="34"/>
      <c r="S11" s="39"/>
      <c r="T11" s="39"/>
      <c r="U11" s="39"/>
      <c r="V11" s="39"/>
      <c r="W11" s="39"/>
      <c r="X11" s="39"/>
      <c r="Y11" s="39"/>
      <c r="Z11" s="39"/>
      <c r="AA11" s="35"/>
      <c r="AB11" s="50" t="e">
        <f t="shared" si="1"/>
        <v>#DIV/0!</v>
      </c>
      <c r="AC11" s="51" t="e">
        <f t="shared" si="1"/>
        <v>#DIV/0!</v>
      </c>
      <c r="AD11" s="19"/>
      <c r="AE11" s="19"/>
      <c r="AF11" s="285"/>
      <c r="AG11" s="240"/>
      <c r="AH11" s="242"/>
      <c r="AI11" s="242"/>
      <c r="AJ11" s="245"/>
      <c r="AK11" s="240"/>
      <c r="AL11" s="249"/>
      <c r="AM11" s="240"/>
      <c r="AN11" s="249"/>
      <c r="AO11" s="252"/>
      <c r="AP11" s="249"/>
    </row>
    <row r="12" spans="1:42" ht="17.100000000000001" customHeight="1" outlineLevel="4" x14ac:dyDescent="0.25">
      <c r="A12" s="222"/>
      <c r="B12" s="219"/>
      <c r="C12" s="229"/>
      <c r="D12" s="232"/>
      <c r="E12" s="235"/>
      <c r="F12" s="16">
        <v>39</v>
      </c>
      <c r="G12" s="34"/>
      <c r="H12" s="39"/>
      <c r="I12" s="39"/>
      <c r="J12" s="39"/>
      <c r="K12" s="39"/>
      <c r="L12" s="39"/>
      <c r="M12" s="39"/>
      <c r="N12" s="39"/>
      <c r="O12" s="39"/>
      <c r="P12" s="35"/>
      <c r="Q12" s="18"/>
      <c r="R12" s="34"/>
      <c r="S12" s="39"/>
      <c r="T12" s="39"/>
      <c r="U12" s="39"/>
      <c r="V12" s="39"/>
      <c r="W12" s="39"/>
      <c r="X12" s="39"/>
      <c r="Y12" s="39"/>
      <c r="Z12" s="39"/>
      <c r="AA12" s="35"/>
      <c r="AB12" s="50" t="e">
        <f t="shared" si="1"/>
        <v>#DIV/0!</v>
      </c>
      <c r="AC12" s="51" t="e">
        <f t="shared" si="1"/>
        <v>#DIV/0!</v>
      </c>
      <c r="AD12" s="19"/>
      <c r="AE12" s="19"/>
      <c r="AF12" s="285" t="s">
        <v>127</v>
      </c>
      <c r="AG12" s="240" t="e" cm="1">
        <f t="array" ref="AG12">bdRateExtend($G11:$G14,G11:G14,$R11:$R14,R11:R14)</f>
        <v>#VALUE!</v>
      </c>
      <c r="AH12" s="242"/>
      <c r="AI12" s="242"/>
      <c r="AJ12" s="245"/>
      <c r="AK12" s="240" t="e" cm="1">
        <f t="array" ref="AK12">bdRateExtend($G11:$G14,K11:K14,$R11:$R14,V11:V14)</f>
        <v>#VALUE!</v>
      </c>
      <c r="AL12" s="249"/>
      <c r="AM12" s="240" t="e" cm="1">
        <f t="array" ref="AM12">bdRateExtend($G11:$G14,L11:L14,$R11:$R14,W11:W14)</f>
        <v>#VALUE!</v>
      </c>
      <c r="AN12" s="249"/>
      <c r="AO12" s="252" t="e" cm="1">
        <f t="array" ref="AO12">bdRateExtend($G11:$G14,M11:M14,$R11:$R14,X11:X14)</f>
        <v>#VALUE!</v>
      </c>
      <c r="AP12" s="249"/>
    </row>
    <row r="13" spans="1:42" ht="17.100000000000001" customHeight="1" outlineLevel="4" x14ac:dyDescent="0.25">
      <c r="A13" s="222"/>
      <c r="B13" s="219"/>
      <c r="C13" s="229"/>
      <c r="D13" s="232"/>
      <c r="E13" s="235"/>
      <c r="F13" s="16">
        <v>47</v>
      </c>
      <c r="G13" s="34"/>
      <c r="H13" s="39"/>
      <c r="I13" s="39"/>
      <c r="J13" s="39"/>
      <c r="K13" s="39"/>
      <c r="L13" s="39"/>
      <c r="M13" s="39"/>
      <c r="N13" s="39"/>
      <c r="O13" s="39"/>
      <c r="P13" s="35"/>
      <c r="Q13" s="18"/>
      <c r="R13" s="34"/>
      <c r="S13" s="39"/>
      <c r="T13" s="39"/>
      <c r="U13" s="39"/>
      <c r="V13" s="39"/>
      <c r="W13" s="39"/>
      <c r="X13" s="39"/>
      <c r="Y13" s="39"/>
      <c r="Z13" s="39"/>
      <c r="AA13" s="35"/>
      <c r="AB13" s="50" t="e">
        <f t="shared" si="1"/>
        <v>#DIV/0!</v>
      </c>
      <c r="AC13" s="51" t="e">
        <f t="shared" si="1"/>
        <v>#DIV/0!</v>
      </c>
      <c r="AD13" s="19"/>
      <c r="AE13" s="19"/>
      <c r="AF13" s="285"/>
      <c r="AG13" s="240"/>
      <c r="AH13" s="242"/>
      <c r="AI13" s="242"/>
      <c r="AJ13" s="245"/>
      <c r="AK13" s="240"/>
      <c r="AL13" s="249"/>
      <c r="AM13" s="240"/>
      <c r="AN13" s="249"/>
      <c r="AO13" s="252"/>
      <c r="AP13" s="249"/>
    </row>
    <row r="14" spans="1:42" ht="17.100000000000001" customHeight="1" outlineLevel="4" x14ac:dyDescent="0.25">
      <c r="A14" s="222"/>
      <c r="B14" s="219"/>
      <c r="C14" s="229"/>
      <c r="D14" s="232"/>
      <c r="E14" s="235"/>
      <c r="F14" s="16">
        <v>55</v>
      </c>
      <c r="G14" s="34"/>
      <c r="H14" s="39"/>
      <c r="I14" s="39"/>
      <c r="J14" s="39"/>
      <c r="K14" s="39"/>
      <c r="L14" s="39"/>
      <c r="M14" s="39"/>
      <c r="N14" s="39"/>
      <c r="O14" s="39"/>
      <c r="P14" s="35"/>
      <c r="Q14" s="18"/>
      <c r="R14" s="34"/>
      <c r="S14" s="39"/>
      <c r="T14" s="39"/>
      <c r="U14" s="39"/>
      <c r="V14" s="39"/>
      <c r="W14" s="39"/>
      <c r="X14" s="39"/>
      <c r="Y14" s="39"/>
      <c r="Z14" s="39"/>
      <c r="AA14" s="35"/>
      <c r="AB14" s="50" t="e">
        <f t="shared" si="1"/>
        <v>#DIV/0!</v>
      </c>
      <c r="AC14" s="51" t="e">
        <f t="shared" si="1"/>
        <v>#DIV/0!</v>
      </c>
      <c r="AD14" s="19"/>
      <c r="AE14" s="19"/>
      <c r="AF14" s="285" t="s">
        <v>128</v>
      </c>
      <c r="AG14" s="240" t="e" cm="1">
        <f t="array" ref="AG14">bdRateExtend($G12:$G15,G12:G15,$R12:$R15,R12:R15)</f>
        <v>#VALUE!</v>
      </c>
      <c r="AH14" s="242"/>
      <c r="AI14" s="242"/>
      <c r="AJ14" s="245"/>
      <c r="AK14" s="240" t="e" cm="1">
        <f t="array" ref="AK14">bdRateExtend($G12:$G15,K12:K15,$R12:$R15,V12:V15)</f>
        <v>#VALUE!</v>
      </c>
      <c r="AL14" s="249"/>
      <c r="AM14" s="240" t="e" cm="1">
        <f t="array" ref="AM14">bdRateExtend($G12:$G15,L12:L15,$R12:$R15,W12:W15)</f>
        <v>#VALUE!</v>
      </c>
      <c r="AN14" s="249"/>
      <c r="AO14" s="252" t="e" cm="1">
        <f t="array" ref="AO14">bdRateExtend($G12:$G15,M12:M15,$R12:$R15,X12:X15)</f>
        <v>#VALUE!</v>
      </c>
      <c r="AP14" s="249"/>
    </row>
    <row r="15" spans="1:42" ht="17.100000000000001" customHeight="1" outlineLevel="4" thickBot="1" x14ac:dyDescent="0.3">
      <c r="A15" s="222"/>
      <c r="B15" s="220"/>
      <c r="C15" s="230"/>
      <c r="D15" s="233"/>
      <c r="E15" s="236"/>
      <c r="F15" s="9">
        <v>63</v>
      </c>
      <c r="G15" s="36"/>
      <c r="H15" s="37"/>
      <c r="I15" s="37"/>
      <c r="J15" s="37"/>
      <c r="K15" s="37"/>
      <c r="L15" s="37"/>
      <c r="M15" s="37"/>
      <c r="N15" s="37"/>
      <c r="O15" s="37"/>
      <c r="P15" s="38"/>
      <c r="Q15" s="18"/>
      <c r="R15" s="36"/>
      <c r="S15" s="37"/>
      <c r="T15" s="37"/>
      <c r="U15" s="37"/>
      <c r="V15" s="37"/>
      <c r="W15" s="37"/>
      <c r="X15" s="37"/>
      <c r="Y15" s="37"/>
      <c r="Z15" s="37"/>
      <c r="AA15" s="38"/>
      <c r="AB15" s="52" t="e">
        <f t="shared" si="1"/>
        <v>#DIV/0!</v>
      </c>
      <c r="AC15" s="53" t="e">
        <f t="shared" si="1"/>
        <v>#DIV/0!</v>
      </c>
      <c r="AD15" s="19"/>
      <c r="AE15" s="19"/>
      <c r="AF15" s="286"/>
      <c r="AG15" s="247"/>
      <c r="AH15" s="243"/>
      <c r="AI15" s="243"/>
      <c r="AJ15" s="246"/>
      <c r="AK15" s="247"/>
      <c r="AL15" s="250"/>
      <c r="AM15" s="247"/>
      <c r="AN15" s="250"/>
      <c r="AO15" s="253"/>
      <c r="AP15" s="250"/>
    </row>
    <row r="16" spans="1:42" ht="17.100000000000001" customHeight="1" outlineLevel="4" x14ac:dyDescent="0.25">
      <c r="A16" s="222"/>
      <c r="B16" s="218" t="s">
        <v>18</v>
      </c>
      <c r="C16" s="228" t="s">
        <v>31</v>
      </c>
      <c r="D16" s="231">
        <v>59.94</v>
      </c>
      <c r="E16" s="234"/>
      <c r="F16" s="7">
        <v>23</v>
      </c>
      <c r="G16" s="31"/>
      <c r="H16" s="32"/>
      <c r="I16" s="32"/>
      <c r="J16" s="32"/>
      <c r="K16" s="32"/>
      <c r="L16" s="32"/>
      <c r="M16" s="32"/>
      <c r="N16" s="32"/>
      <c r="O16" s="32"/>
      <c r="P16" s="33"/>
      <c r="Q16" s="18"/>
      <c r="R16" s="31"/>
      <c r="S16" s="32"/>
      <c r="T16" s="32"/>
      <c r="U16" s="32"/>
      <c r="V16" s="32"/>
      <c r="W16" s="32"/>
      <c r="X16" s="32"/>
      <c r="Y16" s="32"/>
      <c r="Z16" s="32"/>
      <c r="AA16" s="33"/>
      <c r="AB16" s="48" t="e">
        <f t="shared" si="1"/>
        <v>#DIV/0!</v>
      </c>
      <c r="AC16" s="49" t="e">
        <f t="shared" si="1"/>
        <v>#DIV/0!</v>
      </c>
      <c r="AD16" s="19"/>
      <c r="AE16" s="19"/>
      <c r="AF16" s="284" t="s">
        <v>126</v>
      </c>
      <c r="AG16" s="239" t="e" cm="1">
        <f t="array" ref="AG16">bdRateExtend($G16:$G19,G16:G19,$R16:$R19,R16:R19)</f>
        <v>#VALUE!</v>
      </c>
      <c r="AH16" s="241" t="e" cm="1">
        <f t="array" ref="AH16">bdRateExtend($G16:$G21,H16:H21,$R16:$R21,S16:S21)</f>
        <v>#VALUE!</v>
      </c>
      <c r="AI16" s="241" t="e" cm="1">
        <f t="array" ref="AI16">bdRateExtend($G16:$G21,I16:I21,$R16:$R21,T16:T21)</f>
        <v>#VALUE!</v>
      </c>
      <c r="AJ16" s="244" t="e" cm="1">
        <f t="array" ref="AJ16">bdRateExtend($G16:$G21,J16:J21,$R16:$R21,U16:U21)</f>
        <v>#VALUE!</v>
      </c>
      <c r="AK16" s="239" t="e" cm="1">
        <f t="array" ref="AK16">bdRateExtend($G16:$G19,K16:K19,$R16:$R19,V16:V19)</f>
        <v>#VALUE!</v>
      </c>
      <c r="AL16" s="248" t="e" cm="1">
        <f t="array" ref="AL16">bdRateExtend($G16:$G21,K16:K21,$R16:$R21,V16:V21)</f>
        <v>#VALUE!</v>
      </c>
      <c r="AM16" s="239" t="e" cm="1">
        <f t="array" ref="AM16">bdRateExtend($G16:$G19,L16:L19,$R16:$R19,W16:W19)</f>
        <v>#VALUE!</v>
      </c>
      <c r="AN16" s="248" t="e" cm="1">
        <f t="array" ref="AN16">bdRateExtend($G16:$G21,L16:L21,$R16:$R21,W16:W21)</f>
        <v>#VALUE!</v>
      </c>
      <c r="AO16" s="254" t="e" cm="1">
        <f t="array" ref="AO16">bdRateExtend($G16:$G19,M16:M19,$R16:$R19,X16:X19)</f>
        <v>#VALUE!</v>
      </c>
      <c r="AP16" s="248" t="e" cm="1">
        <f t="array" ref="AP16">bdRateExtend($G16:$G21,M16:M21,$R16:$R21,X16:X21)</f>
        <v>#VALUE!</v>
      </c>
    </row>
    <row r="17" spans="1:42" ht="17.100000000000001" customHeight="1" outlineLevel="4" x14ac:dyDescent="0.25">
      <c r="A17" s="222"/>
      <c r="B17" s="219"/>
      <c r="C17" s="229"/>
      <c r="D17" s="232"/>
      <c r="E17" s="235"/>
      <c r="F17" s="16">
        <v>31</v>
      </c>
      <c r="G17" s="34"/>
      <c r="H17" s="39"/>
      <c r="I17" s="39"/>
      <c r="J17" s="39"/>
      <c r="K17" s="39"/>
      <c r="L17" s="39"/>
      <c r="M17" s="39"/>
      <c r="N17" s="39"/>
      <c r="O17" s="39"/>
      <c r="P17" s="35"/>
      <c r="Q17" s="18"/>
      <c r="R17" s="34"/>
      <c r="S17" s="39"/>
      <c r="T17" s="39"/>
      <c r="U17" s="39"/>
      <c r="V17" s="39"/>
      <c r="W17" s="39"/>
      <c r="X17" s="39"/>
      <c r="Y17" s="39"/>
      <c r="Z17" s="39"/>
      <c r="AA17" s="35"/>
      <c r="AB17" s="50" t="e">
        <f t="shared" si="1"/>
        <v>#DIV/0!</v>
      </c>
      <c r="AC17" s="51" t="e">
        <f t="shared" si="1"/>
        <v>#DIV/0!</v>
      </c>
      <c r="AD17" s="19"/>
      <c r="AE17" s="19"/>
      <c r="AF17" s="285"/>
      <c r="AG17" s="240"/>
      <c r="AH17" s="242"/>
      <c r="AI17" s="242"/>
      <c r="AJ17" s="245"/>
      <c r="AK17" s="240"/>
      <c r="AL17" s="249"/>
      <c r="AM17" s="240"/>
      <c r="AN17" s="249"/>
      <c r="AO17" s="252"/>
      <c r="AP17" s="249"/>
    </row>
    <row r="18" spans="1:42" ht="17.100000000000001" customHeight="1" outlineLevel="4" x14ac:dyDescent="0.25">
      <c r="A18" s="222"/>
      <c r="B18" s="219"/>
      <c r="C18" s="229"/>
      <c r="D18" s="232"/>
      <c r="E18" s="235"/>
      <c r="F18" s="16">
        <v>39</v>
      </c>
      <c r="G18" s="34"/>
      <c r="H18" s="39"/>
      <c r="I18" s="39"/>
      <c r="J18" s="39"/>
      <c r="K18" s="39"/>
      <c r="L18" s="39"/>
      <c r="M18" s="39"/>
      <c r="N18" s="39"/>
      <c r="O18" s="39"/>
      <c r="P18" s="35"/>
      <c r="Q18" s="18"/>
      <c r="R18" s="34"/>
      <c r="S18" s="39"/>
      <c r="T18" s="39"/>
      <c r="U18" s="39"/>
      <c r="V18" s="39"/>
      <c r="W18" s="39"/>
      <c r="X18" s="39"/>
      <c r="Y18" s="39"/>
      <c r="Z18" s="39"/>
      <c r="AA18" s="35"/>
      <c r="AB18" s="50" t="e">
        <f t="shared" si="1"/>
        <v>#DIV/0!</v>
      </c>
      <c r="AC18" s="51" t="e">
        <f t="shared" si="1"/>
        <v>#DIV/0!</v>
      </c>
      <c r="AD18" s="19"/>
      <c r="AE18" s="19"/>
      <c r="AF18" s="285" t="s">
        <v>127</v>
      </c>
      <c r="AG18" s="240" t="e" cm="1">
        <f t="array" ref="AG18">bdRateExtend($G17:$G20,G17:G20,$R17:$R20,R17:R20)</f>
        <v>#VALUE!</v>
      </c>
      <c r="AH18" s="242"/>
      <c r="AI18" s="242"/>
      <c r="AJ18" s="245"/>
      <c r="AK18" s="240" t="e" cm="1">
        <f t="array" ref="AK18">bdRateExtend($G17:$G20,K17:K20,$R17:$R20,V17:V20)</f>
        <v>#VALUE!</v>
      </c>
      <c r="AL18" s="249"/>
      <c r="AM18" s="240" t="e" cm="1">
        <f t="array" ref="AM18">bdRateExtend($G17:$G20,L17:L20,$R17:$R20,W17:W20)</f>
        <v>#VALUE!</v>
      </c>
      <c r="AN18" s="249"/>
      <c r="AO18" s="252" t="e" cm="1">
        <f t="array" ref="AO18">bdRateExtend($G17:$G20,M17:M20,$R17:$R20,X17:X20)</f>
        <v>#VALUE!</v>
      </c>
      <c r="AP18" s="249"/>
    </row>
    <row r="19" spans="1:42" ht="17.100000000000001" customHeight="1" outlineLevel="4" x14ac:dyDescent="0.25">
      <c r="A19" s="222"/>
      <c r="B19" s="219"/>
      <c r="C19" s="229"/>
      <c r="D19" s="232"/>
      <c r="E19" s="235"/>
      <c r="F19" s="16">
        <v>47</v>
      </c>
      <c r="G19" s="34"/>
      <c r="H19" s="39"/>
      <c r="I19" s="39"/>
      <c r="J19" s="39"/>
      <c r="K19" s="39"/>
      <c r="L19" s="39"/>
      <c r="M19" s="39"/>
      <c r="N19" s="39"/>
      <c r="O19" s="39"/>
      <c r="P19" s="35"/>
      <c r="Q19" s="18"/>
      <c r="R19" s="34"/>
      <c r="S19" s="39"/>
      <c r="T19" s="39"/>
      <c r="U19" s="39"/>
      <c r="V19" s="39"/>
      <c r="W19" s="39"/>
      <c r="X19" s="39"/>
      <c r="Y19" s="39"/>
      <c r="Z19" s="39"/>
      <c r="AA19" s="35"/>
      <c r="AB19" s="50" t="e">
        <f t="shared" si="1"/>
        <v>#DIV/0!</v>
      </c>
      <c r="AC19" s="51" t="e">
        <f t="shared" si="1"/>
        <v>#DIV/0!</v>
      </c>
      <c r="AD19" s="19"/>
      <c r="AE19" s="19"/>
      <c r="AF19" s="285"/>
      <c r="AG19" s="240"/>
      <c r="AH19" s="242"/>
      <c r="AI19" s="242"/>
      <c r="AJ19" s="245"/>
      <c r="AK19" s="240"/>
      <c r="AL19" s="249"/>
      <c r="AM19" s="240"/>
      <c r="AN19" s="249"/>
      <c r="AO19" s="252"/>
      <c r="AP19" s="249"/>
    </row>
    <row r="20" spans="1:42" ht="17.100000000000001" customHeight="1" outlineLevel="4" x14ac:dyDescent="0.25">
      <c r="A20" s="222"/>
      <c r="B20" s="219"/>
      <c r="C20" s="229"/>
      <c r="D20" s="232"/>
      <c r="E20" s="235"/>
      <c r="F20" s="16">
        <v>55</v>
      </c>
      <c r="G20" s="34"/>
      <c r="H20" s="39"/>
      <c r="I20" s="39"/>
      <c r="J20" s="39"/>
      <c r="K20" s="39"/>
      <c r="L20" s="39"/>
      <c r="M20" s="39"/>
      <c r="N20" s="39"/>
      <c r="O20" s="39"/>
      <c r="P20" s="35"/>
      <c r="Q20" s="18"/>
      <c r="R20" s="34"/>
      <c r="S20" s="39"/>
      <c r="T20" s="39"/>
      <c r="U20" s="39"/>
      <c r="V20" s="39"/>
      <c r="W20" s="39"/>
      <c r="X20" s="39"/>
      <c r="Y20" s="39"/>
      <c r="Z20" s="39"/>
      <c r="AA20" s="35"/>
      <c r="AB20" s="50" t="e">
        <f t="shared" si="1"/>
        <v>#DIV/0!</v>
      </c>
      <c r="AC20" s="51" t="e">
        <f t="shared" si="1"/>
        <v>#DIV/0!</v>
      </c>
      <c r="AD20" s="19"/>
      <c r="AE20" s="19"/>
      <c r="AF20" s="285" t="s">
        <v>128</v>
      </c>
      <c r="AG20" s="240" t="e" cm="1">
        <f t="array" ref="AG20">bdRateExtend($G18:$G21,G18:G21,$R18:$R21,R18:R21)</f>
        <v>#VALUE!</v>
      </c>
      <c r="AH20" s="242"/>
      <c r="AI20" s="242"/>
      <c r="AJ20" s="245"/>
      <c r="AK20" s="240" t="e" cm="1">
        <f t="array" ref="AK20">bdRateExtend($G18:$G21,K18:K21,$R18:$R21,V18:V21)</f>
        <v>#VALUE!</v>
      </c>
      <c r="AL20" s="249"/>
      <c r="AM20" s="240" t="e" cm="1">
        <f t="array" ref="AM20">bdRateExtend($G18:$G21,L18:L21,$R18:$R21,W18:W21)</f>
        <v>#VALUE!</v>
      </c>
      <c r="AN20" s="249"/>
      <c r="AO20" s="252" t="e" cm="1">
        <f t="array" ref="AO20">bdRateExtend($G18:$G21,M18:M21,$R18:$R21,X18:X21)</f>
        <v>#VALUE!</v>
      </c>
      <c r="AP20" s="249"/>
    </row>
    <row r="21" spans="1:42" ht="17.100000000000001" customHeight="1" outlineLevel="4" thickBot="1" x14ac:dyDescent="0.3">
      <c r="A21" s="222"/>
      <c r="B21" s="220"/>
      <c r="C21" s="230"/>
      <c r="D21" s="233"/>
      <c r="E21" s="236"/>
      <c r="F21" s="9">
        <v>63</v>
      </c>
      <c r="G21" s="36"/>
      <c r="H21" s="37"/>
      <c r="I21" s="37"/>
      <c r="J21" s="37"/>
      <c r="K21" s="37"/>
      <c r="L21" s="37"/>
      <c r="M21" s="37"/>
      <c r="N21" s="37"/>
      <c r="O21" s="37"/>
      <c r="P21" s="38"/>
      <c r="Q21" s="18"/>
      <c r="R21" s="36"/>
      <c r="S21" s="37"/>
      <c r="T21" s="37"/>
      <c r="U21" s="37"/>
      <c r="V21" s="37"/>
      <c r="W21" s="37"/>
      <c r="X21" s="37"/>
      <c r="Y21" s="37"/>
      <c r="Z21" s="37"/>
      <c r="AA21" s="38"/>
      <c r="AB21" s="52" t="e">
        <f t="shared" si="1"/>
        <v>#DIV/0!</v>
      </c>
      <c r="AC21" s="53" t="e">
        <f t="shared" si="1"/>
        <v>#DIV/0!</v>
      </c>
      <c r="AD21" s="19"/>
      <c r="AE21" s="19"/>
      <c r="AF21" s="286"/>
      <c r="AG21" s="247"/>
      <c r="AH21" s="243"/>
      <c r="AI21" s="243"/>
      <c r="AJ21" s="246"/>
      <c r="AK21" s="247"/>
      <c r="AL21" s="250"/>
      <c r="AM21" s="247"/>
      <c r="AN21" s="250"/>
      <c r="AO21" s="253"/>
      <c r="AP21" s="250"/>
    </row>
    <row r="22" spans="1:42" ht="17.100000000000001" customHeight="1" outlineLevel="4" x14ac:dyDescent="0.25">
      <c r="A22" s="222"/>
      <c r="B22" s="218" t="s">
        <v>18</v>
      </c>
      <c r="C22" s="228" t="s">
        <v>32</v>
      </c>
      <c r="D22" s="231">
        <v>29.97</v>
      </c>
      <c r="E22" s="234"/>
      <c r="F22" s="7">
        <v>23</v>
      </c>
      <c r="G22" s="31"/>
      <c r="H22" s="32"/>
      <c r="I22" s="32"/>
      <c r="J22" s="32"/>
      <c r="K22" s="32"/>
      <c r="L22" s="32"/>
      <c r="M22" s="32"/>
      <c r="N22" s="32"/>
      <c r="O22" s="32"/>
      <c r="P22" s="33"/>
      <c r="Q22" s="18"/>
      <c r="R22" s="31"/>
      <c r="S22" s="32"/>
      <c r="T22" s="32"/>
      <c r="U22" s="32"/>
      <c r="V22" s="32"/>
      <c r="W22" s="32"/>
      <c r="X22" s="32"/>
      <c r="Y22" s="32"/>
      <c r="Z22" s="32"/>
      <c r="AA22" s="33"/>
      <c r="AB22" s="48" t="e">
        <f t="shared" si="1"/>
        <v>#DIV/0!</v>
      </c>
      <c r="AC22" s="49" t="e">
        <f t="shared" si="1"/>
        <v>#DIV/0!</v>
      </c>
      <c r="AD22" s="19"/>
      <c r="AE22" s="19"/>
      <c r="AF22" s="284" t="s">
        <v>126</v>
      </c>
      <c r="AG22" s="239" t="e" cm="1">
        <f t="array" ref="AG22">bdRateExtend($G22:$G25,G22:G25,$R22:$R25,R22:R25)</f>
        <v>#VALUE!</v>
      </c>
      <c r="AH22" s="241" t="e" cm="1">
        <f t="array" ref="AH22">bdRateExtend($G22:$G27,H22:H27,$R22:$R27,S22:S27)</f>
        <v>#VALUE!</v>
      </c>
      <c r="AI22" s="241" t="e" cm="1">
        <f t="array" ref="AI22">bdRateExtend($G22:$G27,I22:I27,$R22:$R27,T22:T27)</f>
        <v>#VALUE!</v>
      </c>
      <c r="AJ22" s="244" t="e" cm="1">
        <f t="array" ref="AJ22">bdRateExtend($G22:$G27,J22:J27,$R22:$R27,U22:U27)</f>
        <v>#VALUE!</v>
      </c>
      <c r="AK22" s="239" t="e" cm="1">
        <f t="array" ref="AK22">bdRateExtend($G22:$G25,K22:K25,$R22:$R25,V22:V25)</f>
        <v>#VALUE!</v>
      </c>
      <c r="AL22" s="248" t="e" cm="1">
        <f t="array" ref="AL22">bdRateExtend($G22:$G27,K22:K27,$R22:$R27,V22:V27)</f>
        <v>#VALUE!</v>
      </c>
      <c r="AM22" s="239" t="e" cm="1">
        <f t="array" ref="AM22">bdRateExtend($G22:$G25,L22:L25,$R22:$R25,W22:W25)</f>
        <v>#VALUE!</v>
      </c>
      <c r="AN22" s="248" t="e" cm="1">
        <f t="array" ref="AN22">bdRateExtend($G22:$G27,L22:L27,$R22:$R27,W22:W27)</f>
        <v>#VALUE!</v>
      </c>
      <c r="AO22" s="254" t="e" cm="1">
        <f t="array" ref="AO22">bdRateExtend($G22:$G25,M22:M25,$R22:$R25,X22:X25)</f>
        <v>#VALUE!</v>
      </c>
      <c r="AP22" s="248" t="e" cm="1">
        <f t="array" ref="AP22">bdRateExtend($G22:$G27,M22:M27,$R22:$R27,X22:X27)</f>
        <v>#VALUE!</v>
      </c>
    </row>
    <row r="23" spans="1:42" ht="17.100000000000001" customHeight="1" outlineLevel="4" x14ac:dyDescent="0.25">
      <c r="A23" s="222"/>
      <c r="B23" s="219"/>
      <c r="C23" s="229"/>
      <c r="D23" s="232"/>
      <c r="E23" s="235"/>
      <c r="F23" s="16">
        <v>31</v>
      </c>
      <c r="G23" s="34"/>
      <c r="H23" s="39"/>
      <c r="I23" s="39"/>
      <c r="J23" s="39"/>
      <c r="K23" s="39"/>
      <c r="L23" s="39"/>
      <c r="M23" s="39"/>
      <c r="N23" s="39"/>
      <c r="O23" s="39"/>
      <c r="P23" s="35"/>
      <c r="Q23" s="18"/>
      <c r="R23" s="34"/>
      <c r="S23" s="39"/>
      <c r="T23" s="39"/>
      <c r="U23" s="39"/>
      <c r="V23" s="39"/>
      <c r="W23" s="39"/>
      <c r="X23" s="39"/>
      <c r="Y23" s="39"/>
      <c r="Z23" s="39"/>
      <c r="AA23" s="35"/>
      <c r="AB23" s="50" t="e">
        <f t="shared" si="1"/>
        <v>#DIV/0!</v>
      </c>
      <c r="AC23" s="51" t="e">
        <f t="shared" si="1"/>
        <v>#DIV/0!</v>
      </c>
      <c r="AD23" s="19"/>
      <c r="AE23" s="19"/>
      <c r="AF23" s="285"/>
      <c r="AG23" s="240"/>
      <c r="AH23" s="242"/>
      <c r="AI23" s="242"/>
      <c r="AJ23" s="245"/>
      <c r="AK23" s="240"/>
      <c r="AL23" s="249"/>
      <c r="AM23" s="240"/>
      <c r="AN23" s="249"/>
      <c r="AO23" s="252"/>
      <c r="AP23" s="249"/>
    </row>
    <row r="24" spans="1:42" ht="17.100000000000001" customHeight="1" outlineLevel="4" x14ac:dyDescent="0.25">
      <c r="A24" s="222"/>
      <c r="B24" s="219"/>
      <c r="C24" s="229"/>
      <c r="D24" s="232"/>
      <c r="E24" s="235"/>
      <c r="F24" s="16">
        <v>39</v>
      </c>
      <c r="G24" s="34"/>
      <c r="H24" s="39"/>
      <c r="I24" s="39"/>
      <c r="J24" s="39"/>
      <c r="K24" s="39"/>
      <c r="L24" s="39"/>
      <c r="M24" s="39"/>
      <c r="N24" s="39"/>
      <c r="O24" s="39"/>
      <c r="P24" s="35"/>
      <c r="Q24" s="18"/>
      <c r="R24" s="34"/>
      <c r="S24" s="39"/>
      <c r="T24" s="39"/>
      <c r="U24" s="39"/>
      <c r="V24" s="39"/>
      <c r="W24" s="39"/>
      <c r="X24" s="39"/>
      <c r="Y24" s="39"/>
      <c r="Z24" s="39"/>
      <c r="AA24" s="35"/>
      <c r="AB24" s="50" t="e">
        <f t="shared" si="1"/>
        <v>#DIV/0!</v>
      </c>
      <c r="AC24" s="51" t="e">
        <f t="shared" si="1"/>
        <v>#DIV/0!</v>
      </c>
      <c r="AD24" s="19"/>
      <c r="AE24" s="19"/>
      <c r="AF24" s="285" t="s">
        <v>127</v>
      </c>
      <c r="AG24" s="240" t="e" cm="1">
        <f t="array" ref="AG24">bdRateExtend($G23:$G26,G23:G26,$R23:$R26,R23:R26)</f>
        <v>#VALUE!</v>
      </c>
      <c r="AH24" s="242"/>
      <c r="AI24" s="242"/>
      <c r="AJ24" s="245"/>
      <c r="AK24" s="240" t="e" cm="1">
        <f t="array" ref="AK24">bdRateExtend($G23:$G26,K23:K26,$R23:$R26,V23:V26)</f>
        <v>#VALUE!</v>
      </c>
      <c r="AL24" s="249"/>
      <c r="AM24" s="240" t="e" cm="1">
        <f t="array" ref="AM24">bdRateExtend($G23:$G26,L23:L26,$R23:$R26,W23:W26)</f>
        <v>#VALUE!</v>
      </c>
      <c r="AN24" s="249"/>
      <c r="AO24" s="252" t="e" cm="1">
        <f t="array" ref="AO24">bdRateExtend($G23:$G26,M23:M26,$R23:$R26,X23:X26)</f>
        <v>#VALUE!</v>
      </c>
      <c r="AP24" s="249"/>
    </row>
    <row r="25" spans="1:42" ht="17.100000000000001" customHeight="1" outlineLevel="4" x14ac:dyDescent="0.25">
      <c r="A25" s="222"/>
      <c r="B25" s="219"/>
      <c r="C25" s="229"/>
      <c r="D25" s="232"/>
      <c r="E25" s="235"/>
      <c r="F25" s="16">
        <v>47</v>
      </c>
      <c r="G25" s="34"/>
      <c r="H25" s="39"/>
      <c r="I25" s="39"/>
      <c r="J25" s="39"/>
      <c r="K25" s="39"/>
      <c r="L25" s="39"/>
      <c r="M25" s="39"/>
      <c r="N25" s="39"/>
      <c r="O25" s="39"/>
      <c r="P25" s="35"/>
      <c r="Q25" s="18"/>
      <c r="R25" s="34"/>
      <c r="S25" s="39"/>
      <c r="T25" s="39"/>
      <c r="U25" s="39"/>
      <c r="V25" s="39"/>
      <c r="W25" s="39"/>
      <c r="X25" s="39"/>
      <c r="Y25" s="39"/>
      <c r="Z25" s="39"/>
      <c r="AA25" s="35"/>
      <c r="AB25" s="50" t="e">
        <f t="shared" si="1"/>
        <v>#DIV/0!</v>
      </c>
      <c r="AC25" s="51" t="e">
        <f t="shared" si="1"/>
        <v>#DIV/0!</v>
      </c>
      <c r="AD25" s="19"/>
      <c r="AE25" s="19"/>
      <c r="AF25" s="285"/>
      <c r="AG25" s="240"/>
      <c r="AH25" s="242"/>
      <c r="AI25" s="242"/>
      <c r="AJ25" s="245"/>
      <c r="AK25" s="240"/>
      <c r="AL25" s="249"/>
      <c r="AM25" s="240"/>
      <c r="AN25" s="249"/>
      <c r="AO25" s="252"/>
      <c r="AP25" s="249"/>
    </row>
    <row r="26" spans="1:42" ht="17.100000000000001" customHeight="1" outlineLevel="4" x14ac:dyDescent="0.25">
      <c r="A26" s="222"/>
      <c r="B26" s="219"/>
      <c r="C26" s="229"/>
      <c r="D26" s="232"/>
      <c r="E26" s="235"/>
      <c r="F26" s="16">
        <v>55</v>
      </c>
      <c r="G26" s="34"/>
      <c r="H26" s="39"/>
      <c r="I26" s="39"/>
      <c r="J26" s="39"/>
      <c r="K26" s="39"/>
      <c r="L26" s="39"/>
      <c r="M26" s="39"/>
      <c r="N26" s="39"/>
      <c r="O26" s="39"/>
      <c r="P26" s="35"/>
      <c r="Q26" s="18"/>
      <c r="R26" s="34"/>
      <c r="S26" s="39"/>
      <c r="T26" s="39"/>
      <c r="U26" s="39"/>
      <c r="V26" s="39"/>
      <c r="W26" s="39"/>
      <c r="X26" s="39"/>
      <c r="Y26" s="39"/>
      <c r="Z26" s="39"/>
      <c r="AA26" s="35"/>
      <c r="AB26" s="50" t="e">
        <f t="shared" si="1"/>
        <v>#DIV/0!</v>
      </c>
      <c r="AC26" s="51" t="e">
        <f t="shared" si="1"/>
        <v>#DIV/0!</v>
      </c>
      <c r="AD26" s="19"/>
      <c r="AE26" s="19"/>
      <c r="AF26" s="285" t="s">
        <v>128</v>
      </c>
      <c r="AG26" s="240" t="e" cm="1">
        <f t="array" ref="AG26">bdRateExtend($G24:$G27,G24:G27,$R24:$R27,R24:R27)</f>
        <v>#VALUE!</v>
      </c>
      <c r="AH26" s="242"/>
      <c r="AI26" s="242"/>
      <c r="AJ26" s="245"/>
      <c r="AK26" s="240" t="e" cm="1">
        <f t="array" ref="AK26">bdRateExtend($G24:$G27,K24:K27,$R24:$R27,V24:V27)</f>
        <v>#VALUE!</v>
      </c>
      <c r="AL26" s="249"/>
      <c r="AM26" s="240" t="e" cm="1">
        <f t="array" ref="AM26">bdRateExtend($G24:$G27,L24:L27,$R24:$R27,W24:W27)</f>
        <v>#VALUE!</v>
      </c>
      <c r="AN26" s="249"/>
      <c r="AO26" s="252" t="e" cm="1">
        <f t="array" ref="AO26">bdRateExtend($G24:$G27,M24:M27,$R24:$R27,X24:X27)</f>
        <v>#VALUE!</v>
      </c>
      <c r="AP26" s="249"/>
    </row>
    <row r="27" spans="1:42" ht="17.100000000000001" customHeight="1" outlineLevel="4" thickBot="1" x14ac:dyDescent="0.3">
      <c r="A27" s="222"/>
      <c r="B27" s="220"/>
      <c r="C27" s="230"/>
      <c r="D27" s="233"/>
      <c r="E27" s="236"/>
      <c r="F27" s="9">
        <v>63</v>
      </c>
      <c r="G27" s="36"/>
      <c r="H27" s="37"/>
      <c r="I27" s="37"/>
      <c r="J27" s="37"/>
      <c r="K27" s="37"/>
      <c r="L27" s="37"/>
      <c r="M27" s="37"/>
      <c r="N27" s="37"/>
      <c r="O27" s="37"/>
      <c r="P27" s="38"/>
      <c r="Q27" s="18"/>
      <c r="R27" s="36"/>
      <c r="S27" s="37"/>
      <c r="T27" s="37"/>
      <c r="U27" s="37"/>
      <c r="V27" s="37"/>
      <c r="W27" s="37"/>
      <c r="X27" s="37"/>
      <c r="Y27" s="37"/>
      <c r="Z27" s="37"/>
      <c r="AA27" s="38"/>
      <c r="AB27" s="52" t="e">
        <f t="shared" si="1"/>
        <v>#DIV/0!</v>
      </c>
      <c r="AC27" s="53" t="e">
        <f t="shared" si="1"/>
        <v>#DIV/0!</v>
      </c>
      <c r="AD27" s="19"/>
      <c r="AE27" s="19"/>
      <c r="AF27" s="286"/>
      <c r="AG27" s="247"/>
      <c r="AH27" s="243"/>
      <c r="AI27" s="243"/>
      <c r="AJ27" s="246"/>
      <c r="AK27" s="247"/>
      <c r="AL27" s="250"/>
      <c r="AM27" s="247"/>
      <c r="AN27" s="250"/>
      <c r="AO27" s="253"/>
      <c r="AP27" s="250"/>
    </row>
    <row r="28" spans="1:42" ht="17.100000000000001" customHeight="1" outlineLevel="4" x14ac:dyDescent="0.25">
      <c r="A28" s="222"/>
      <c r="B28" s="218" t="s">
        <v>18</v>
      </c>
      <c r="C28" s="228" t="s">
        <v>33</v>
      </c>
      <c r="D28" s="231">
        <v>60</v>
      </c>
      <c r="E28" s="234"/>
      <c r="F28" s="7">
        <v>23</v>
      </c>
      <c r="G28" s="31"/>
      <c r="H28" s="32"/>
      <c r="I28" s="32"/>
      <c r="J28" s="32"/>
      <c r="K28" s="32"/>
      <c r="L28" s="32"/>
      <c r="M28" s="32"/>
      <c r="N28" s="32"/>
      <c r="O28" s="32"/>
      <c r="P28" s="33"/>
      <c r="Q28" s="18"/>
      <c r="R28" s="31"/>
      <c r="S28" s="32"/>
      <c r="T28" s="32"/>
      <c r="U28" s="32"/>
      <c r="V28" s="32"/>
      <c r="W28" s="32"/>
      <c r="X28" s="32"/>
      <c r="Y28" s="32"/>
      <c r="Z28" s="32"/>
      <c r="AA28" s="33"/>
      <c r="AB28" s="48" t="e">
        <f t="shared" si="1"/>
        <v>#DIV/0!</v>
      </c>
      <c r="AC28" s="49" t="e">
        <f t="shared" si="1"/>
        <v>#DIV/0!</v>
      </c>
      <c r="AD28" s="19"/>
      <c r="AE28" s="19"/>
      <c r="AF28" s="284" t="s">
        <v>126</v>
      </c>
      <c r="AG28" s="239" t="e" cm="1">
        <f t="array" ref="AG28">bdRateExtend($G28:$G31,G28:G31,$R28:$R31,R28:R31)</f>
        <v>#VALUE!</v>
      </c>
      <c r="AH28" s="241" t="e" cm="1">
        <f t="array" ref="AH28">bdRateExtend($G28:$G33,H28:H33,$R28:$R33,S28:S33)</f>
        <v>#VALUE!</v>
      </c>
      <c r="AI28" s="241" t="e" cm="1">
        <f t="array" ref="AI28">bdRateExtend($G28:$G33,I28:I33,$R28:$R33,T28:T33)</f>
        <v>#VALUE!</v>
      </c>
      <c r="AJ28" s="244" t="e" cm="1">
        <f t="array" ref="AJ28">bdRateExtend($G28:$G33,J28:J33,$R28:$R33,U28:U33)</f>
        <v>#VALUE!</v>
      </c>
      <c r="AK28" s="239" t="e" cm="1">
        <f t="array" ref="AK28">bdRateExtend($G28:$G31,K28:K31,$R28:$R31,V28:V31)</f>
        <v>#VALUE!</v>
      </c>
      <c r="AL28" s="248" t="e" cm="1">
        <f t="array" ref="AL28">bdRateExtend($G28:$G33,K28:K33,$R28:$R33,V28:V33)</f>
        <v>#VALUE!</v>
      </c>
      <c r="AM28" s="239" t="e" cm="1">
        <f t="array" ref="AM28">bdRateExtend($G28:$G31,L28:L31,$R28:$R31,W28:W31)</f>
        <v>#VALUE!</v>
      </c>
      <c r="AN28" s="248" t="e" cm="1">
        <f t="array" ref="AN28">bdRateExtend($G28:$G33,L28:L33,$R28:$R33,W28:W33)</f>
        <v>#VALUE!</v>
      </c>
      <c r="AO28" s="254" t="e" cm="1">
        <f t="array" ref="AO28">bdRateExtend($G28:$G31,M28:M31,$R28:$R31,X28:X31)</f>
        <v>#VALUE!</v>
      </c>
      <c r="AP28" s="248" t="e" cm="1">
        <f t="array" ref="AP28">bdRateExtend($G28:$G33,M28:M33,$R28:$R33,X28:X33)</f>
        <v>#VALUE!</v>
      </c>
    </row>
    <row r="29" spans="1:42" ht="17.100000000000001" customHeight="1" outlineLevel="4" x14ac:dyDescent="0.25">
      <c r="A29" s="222"/>
      <c r="B29" s="219"/>
      <c r="C29" s="229"/>
      <c r="D29" s="232"/>
      <c r="E29" s="235"/>
      <c r="F29" s="16">
        <v>31</v>
      </c>
      <c r="G29" s="34"/>
      <c r="H29" s="39"/>
      <c r="I29" s="39"/>
      <c r="J29" s="39"/>
      <c r="K29" s="39"/>
      <c r="L29" s="39"/>
      <c r="M29" s="39"/>
      <c r="N29" s="39"/>
      <c r="O29" s="39"/>
      <c r="P29" s="35"/>
      <c r="Q29" s="18"/>
      <c r="R29" s="34"/>
      <c r="S29" s="39"/>
      <c r="T29" s="39"/>
      <c r="U29" s="39"/>
      <c r="V29" s="39"/>
      <c r="W29" s="39"/>
      <c r="X29" s="39"/>
      <c r="Y29" s="39"/>
      <c r="Z29" s="39"/>
      <c r="AA29" s="35"/>
      <c r="AB29" s="50" t="e">
        <f t="shared" si="1"/>
        <v>#DIV/0!</v>
      </c>
      <c r="AC29" s="51" t="e">
        <f t="shared" si="1"/>
        <v>#DIV/0!</v>
      </c>
      <c r="AD29" s="19"/>
      <c r="AE29" s="19"/>
      <c r="AF29" s="285"/>
      <c r="AG29" s="240"/>
      <c r="AH29" s="242"/>
      <c r="AI29" s="242"/>
      <c r="AJ29" s="245"/>
      <c r="AK29" s="240"/>
      <c r="AL29" s="249"/>
      <c r="AM29" s="240"/>
      <c r="AN29" s="249"/>
      <c r="AO29" s="252"/>
      <c r="AP29" s="249"/>
    </row>
    <row r="30" spans="1:42" ht="17.100000000000001" customHeight="1" outlineLevel="4" x14ac:dyDescent="0.25">
      <c r="A30" s="222"/>
      <c r="B30" s="219"/>
      <c r="C30" s="229"/>
      <c r="D30" s="232"/>
      <c r="E30" s="235"/>
      <c r="F30" s="16">
        <v>39</v>
      </c>
      <c r="G30" s="34"/>
      <c r="H30" s="39"/>
      <c r="I30" s="39"/>
      <c r="J30" s="39"/>
      <c r="K30" s="39"/>
      <c r="L30" s="39"/>
      <c r="M30" s="39"/>
      <c r="N30" s="39"/>
      <c r="O30" s="39"/>
      <c r="P30" s="35"/>
      <c r="Q30" s="18"/>
      <c r="R30" s="34"/>
      <c r="S30" s="39"/>
      <c r="T30" s="39"/>
      <c r="U30" s="39"/>
      <c r="V30" s="39"/>
      <c r="W30" s="39"/>
      <c r="X30" s="39"/>
      <c r="Y30" s="39"/>
      <c r="Z30" s="39"/>
      <c r="AA30" s="35"/>
      <c r="AB30" s="50" t="e">
        <f t="shared" si="1"/>
        <v>#DIV/0!</v>
      </c>
      <c r="AC30" s="51" t="e">
        <f t="shared" si="1"/>
        <v>#DIV/0!</v>
      </c>
      <c r="AD30" s="19"/>
      <c r="AE30" s="19"/>
      <c r="AF30" s="285" t="s">
        <v>127</v>
      </c>
      <c r="AG30" s="240" t="e" cm="1">
        <f t="array" ref="AG30">bdRateExtend($G29:$G32,G29:G32,$R29:$R32,R29:R32)</f>
        <v>#VALUE!</v>
      </c>
      <c r="AH30" s="242"/>
      <c r="AI30" s="242"/>
      <c r="AJ30" s="245"/>
      <c r="AK30" s="240" t="e" cm="1">
        <f t="array" ref="AK30">bdRateExtend($G29:$G32,K29:K32,$R29:$R32,V29:V32)</f>
        <v>#VALUE!</v>
      </c>
      <c r="AL30" s="249"/>
      <c r="AM30" s="240" t="e" cm="1">
        <f t="array" ref="AM30">bdRateExtend($G29:$G32,L29:L32,$R29:$R32,W29:W32)</f>
        <v>#VALUE!</v>
      </c>
      <c r="AN30" s="249"/>
      <c r="AO30" s="252" t="e" cm="1">
        <f t="array" ref="AO30">bdRateExtend($G29:$G32,M29:M32,$R29:$R32,X29:X32)</f>
        <v>#VALUE!</v>
      </c>
      <c r="AP30" s="249"/>
    </row>
    <row r="31" spans="1:42" ht="17.100000000000001" customHeight="1" outlineLevel="4" x14ac:dyDescent="0.25">
      <c r="A31" s="222"/>
      <c r="B31" s="219"/>
      <c r="C31" s="229"/>
      <c r="D31" s="232"/>
      <c r="E31" s="235"/>
      <c r="F31" s="16">
        <v>47</v>
      </c>
      <c r="G31" s="34"/>
      <c r="H31" s="39"/>
      <c r="I31" s="39"/>
      <c r="J31" s="39"/>
      <c r="K31" s="39"/>
      <c r="L31" s="39"/>
      <c r="M31" s="39"/>
      <c r="N31" s="39"/>
      <c r="O31" s="39"/>
      <c r="P31" s="35"/>
      <c r="Q31" s="18"/>
      <c r="R31" s="34"/>
      <c r="S31" s="39"/>
      <c r="T31" s="39"/>
      <c r="U31" s="39"/>
      <c r="V31" s="39"/>
      <c r="W31" s="39"/>
      <c r="X31" s="39"/>
      <c r="Y31" s="39"/>
      <c r="Z31" s="39"/>
      <c r="AA31" s="35"/>
      <c r="AB31" s="50" t="e">
        <f t="shared" si="1"/>
        <v>#DIV/0!</v>
      </c>
      <c r="AC31" s="51" t="e">
        <f t="shared" si="1"/>
        <v>#DIV/0!</v>
      </c>
      <c r="AD31" s="19"/>
      <c r="AE31" s="19"/>
      <c r="AF31" s="285"/>
      <c r="AG31" s="240"/>
      <c r="AH31" s="242"/>
      <c r="AI31" s="242"/>
      <c r="AJ31" s="245"/>
      <c r="AK31" s="240"/>
      <c r="AL31" s="249"/>
      <c r="AM31" s="240"/>
      <c r="AN31" s="249"/>
      <c r="AO31" s="252"/>
      <c r="AP31" s="249"/>
    </row>
    <row r="32" spans="1:42" ht="17.100000000000001" customHeight="1" outlineLevel="4" x14ac:dyDescent="0.25">
      <c r="A32" s="222"/>
      <c r="B32" s="219"/>
      <c r="C32" s="229"/>
      <c r="D32" s="232"/>
      <c r="E32" s="235"/>
      <c r="F32" s="16">
        <v>55</v>
      </c>
      <c r="G32" s="34"/>
      <c r="H32" s="39"/>
      <c r="I32" s="39"/>
      <c r="J32" s="39"/>
      <c r="K32" s="39"/>
      <c r="L32" s="39"/>
      <c r="M32" s="39"/>
      <c r="N32" s="39"/>
      <c r="O32" s="39"/>
      <c r="P32" s="35"/>
      <c r="Q32" s="18"/>
      <c r="R32" s="34"/>
      <c r="S32" s="39"/>
      <c r="T32" s="39"/>
      <c r="U32" s="39"/>
      <c r="V32" s="39"/>
      <c r="W32" s="39"/>
      <c r="X32" s="39"/>
      <c r="Y32" s="39"/>
      <c r="Z32" s="39"/>
      <c r="AA32" s="35"/>
      <c r="AB32" s="50" t="e">
        <f t="shared" si="1"/>
        <v>#DIV/0!</v>
      </c>
      <c r="AC32" s="51" t="e">
        <f t="shared" si="1"/>
        <v>#DIV/0!</v>
      </c>
      <c r="AD32" s="19"/>
      <c r="AE32" s="19"/>
      <c r="AF32" s="285" t="s">
        <v>128</v>
      </c>
      <c r="AG32" s="240" t="e" cm="1">
        <f t="array" ref="AG32">bdRateExtend($G30:$G33,G30:G33,$R30:$R33,R30:R33)</f>
        <v>#VALUE!</v>
      </c>
      <c r="AH32" s="242"/>
      <c r="AI32" s="242"/>
      <c r="AJ32" s="245"/>
      <c r="AK32" s="240" t="e" cm="1">
        <f t="array" ref="AK32">bdRateExtend($G30:$G33,K30:K33,$R30:$R33,V30:V33)</f>
        <v>#VALUE!</v>
      </c>
      <c r="AL32" s="249"/>
      <c r="AM32" s="240" t="e" cm="1">
        <f t="array" ref="AM32">bdRateExtend($G30:$G33,L30:L33,$R30:$R33,W30:W33)</f>
        <v>#VALUE!</v>
      </c>
      <c r="AN32" s="249"/>
      <c r="AO32" s="252" t="e" cm="1">
        <f t="array" ref="AO32">bdRateExtend($G30:$G33,M30:M33,$R30:$R33,X30:X33)</f>
        <v>#VALUE!</v>
      </c>
      <c r="AP32" s="249"/>
    </row>
    <row r="33" spans="1:42" ht="17.100000000000001" customHeight="1" outlineLevel="4" thickBot="1" x14ac:dyDescent="0.3">
      <c r="A33" s="222"/>
      <c r="B33" s="220"/>
      <c r="C33" s="230"/>
      <c r="D33" s="233"/>
      <c r="E33" s="236"/>
      <c r="F33" s="9">
        <v>63</v>
      </c>
      <c r="G33" s="36"/>
      <c r="H33" s="37"/>
      <c r="I33" s="37"/>
      <c r="J33" s="37"/>
      <c r="K33" s="37"/>
      <c r="L33" s="37"/>
      <c r="M33" s="37"/>
      <c r="N33" s="37"/>
      <c r="O33" s="37"/>
      <c r="P33" s="38"/>
      <c r="Q33" s="18"/>
      <c r="R33" s="36"/>
      <c r="S33" s="37"/>
      <c r="T33" s="37"/>
      <c r="U33" s="37"/>
      <c r="V33" s="37"/>
      <c r="W33" s="37"/>
      <c r="X33" s="37"/>
      <c r="Y33" s="37"/>
      <c r="Z33" s="37"/>
      <c r="AA33" s="38"/>
      <c r="AB33" s="52" t="e">
        <f t="shared" si="1"/>
        <v>#DIV/0!</v>
      </c>
      <c r="AC33" s="53" t="e">
        <f t="shared" si="1"/>
        <v>#DIV/0!</v>
      </c>
      <c r="AD33" s="19"/>
      <c r="AE33" s="19"/>
      <c r="AF33" s="286"/>
      <c r="AG33" s="247"/>
      <c r="AH33" s="243"/>
      <c r="AI33" s="243"/>
      <c r="AJ33" s="246"/>
      <c r="AK33" s="247"/>
      <c r="AL33" s="250"/>
      <c r="AM33" s="247"/>
      <c r="AN33" s="250"/>
      <c r="AO33" s="253"/>
      <c r="AP33" s="250"/>
    </row>
    <row r="34" spans="1:42" ht="17.100000000000001" customHeight="1" outlineLevel="4" x14ac:dyDescent="0.25">
      <c r="A34" s="222"/>
      <c r="B34" s="218" t="s">
        <v>18</v>
      </c>
      <c r="C34" s="228" t="s">
        <v>34</v>
      </c>
      <c r="D34" s="231">
        <v>29.97</v>
      </c>
      <c r="E34" s="234"/>
      <c r="F34" s="7">
        <v>23</v>
      </c>
      <c r="G34" s="31"/>
      <c r="H34" s="32"/>
      <c r="I34" s="32"/>
      <c r="J34" s="32"/>
      <c r="K34" s="32"/>
      <c r="L34" s="32"/>
      <c r="M34" s="32"/>
      <c r="N34" s="32"/>
      <c r="O34" s="32"/>
      <c r="P34" s="33"/>
      <c r="Q34" s="18"/>
      <c r="R34" s="31"/>
      <c r="S34" s="32"/>
      <c r="T34" s="32"/>
      <c r="U34" s="32"/>
      <c r="V34" s="32"/>
      <c r="W34" s="32"/>
      <c r="X34" s="32"/>
      <c r="Y34" s="32"/>
      <c r="Z34" s="32"/>
      <c r="AA34" s="33"/>
      <c r="AB34" s="48" t="e">
        <f t="shared" si="1"/>
        <v>#DIV/0!</v>
      </c>
      <c r="AC34" s="49" t="e">
        <f t="shared" si="1"/>
        <v>#DIV/0!</v>
      </c>
      <c r="AD34" s="19"/>
      <c r="AE34" s="19"/>
      <c r="AF34" s="284" t="s">
        <v>126</v>
      </c>
      <c r="AG34" s="239" t="e" cm="1">
        <f t="array" ref="AG34">bdRateExtend($G34:$G37,G34:G37,$R34:$R37,R34:R37)</f>
        <v>#VALUE!</v>
      </c>
      <c r="AH34" s="241" t="e" cm="1">
        <f t="array" ref="AH34">bdRateExtend($G34:$G39,H34:H39,$R34:$R39,S34:S39)</f>
        <v>#VALUE!</v>
      </c>
      <c r="AI34" s="241" t="e" cm="1">
        <f t="array" ref="AI34">bdRateExtend($G34:$G39,I34:I39,$R34:$R39,T34:T39)</f>
        <v>#VALUE!</v>
      </c>
      <c r="AJ34" s="244" t="e" cm="1">
        <f t="array" ref="AJ34">bdRateExtend($G34:$G39,J34:J39,$R34:$R39,U34:U39)</f>
        <v>#VALUE!</v>
      </c>
      <c r="AK34" s="239" t="e" cm="1">
        <f t="array" ref="AK34">bdRateExtend($G34:$G37,K34:K37,$R34:$R37,V34:V37)</f>
        <v>#VALUE!</v>
      </c>
      <c r="AL34" s="248" t="e" cm="1">
        <f t="array" ref="AL34">bdRateExtend($G34:$G39,K34:K39,$R34:$R39,V34:V39)</f>
        <v>#VALUE!</v>
      </c>
      <c r="AM34" s="239" t="e" cm="1">
        <f t="array" ref="AM34">bdRateExtend($G34:$G37,L34:L37,$R34:$R37,W34:W37)</f>
        <v>#VALUE!</v>
      </c>
      <c r="AN34" s="248" t="e" cm="1">
        <f t="array" ref="AN34">bdRateExtend($G34:$G39,L34:L39,$R34:$R39,W34:W39)</f>
        <v>#VALUE!</v>
      </c>
      <c r="AO34" s="254" t="e" cm="1">
        <f t="array" ref="AO34">bdRateExtend($G34:$G37,M34:M37,$R34:$R37,X34:X37)</f>
        <v>#VALUE!</v>
      </c>
      <c r="AP34" s="248" t="e" cm="1">
        <f t="array" ref="AP34">bdRateExtend($G34:$G39,M34:M39,$R34:$R39,X34:X39)</f>
        <v>#VALUE!</v>
      </c>
    </row>
    <row r="35" spans="1:42" ht="17.100000000000001" customHeight="1" outlineLevel="4" x14ac:dyDescent="0.25">
      <c r="A35" s="222"/>
      <c r="B35" s="219"/>
      <c r="C35" s="229"/>
      <c r="D35" s="232"/>
      <c r="E35" s="235"/>
      <c r="F35" s="16">
        <v>31</v>
      </c>
      <c r="G35" s="34"/>
      <c r="H35" s="39"/>
      <c r="I35" s="39"/>
      <c r="J35" s="39"/>
      <c r="K35" s="39"/>
      <c r="L35" s="39"/>
      <c r="M35" s="39"/>
      <c r="N35" s="39"/>
      <c r="O35" s="39"/>
      <c r="P35" s="35"/>
      <c r="Q35" s="18"/>
      <c r="R35" s="34"/>
      <c r="S35" s="39"/>
      <c r="T35" s="39"/>
      <c r="U35" s="39"/>
      <c r="V35" s="39"/>
      <c r="W35" s="39"/>
      <c r="X35" s="39"/>
      <c r="Y35" s="39"/>
      <c r="Z35" s="39"/>
      <c r="AA35" s="35"/>
      <c r="AB35" s="50" t="e">
        <f t="shared" si="1"/>
        <v>#DIV/0!</v>
      </c>
      <c r="AC35" s="51" t="e">
        <f t="shared" si="1"/>
        <v>#DIV/0!</v>
      </c>
      <c r="AD35" s="19"/>
      <c r="AE35" s="19"/>
      <c r="AF35" s="285"/>
      <c r="AG35" s="240"/>
      <c r="AH35" s="242"/>
      <c r="AI35" s="242"/>
      <c r="AJ35" s="245"/>
      <c r="AK35" s="240"/>
      <c r="AL35" s="249"/>
      <c r="AM35" s="240"/>
      <c r="AN35" s="249"/>
      <c r="AO35" s="252"/>
      <c r="AP35" s="249"/>
    </row>
    <row r="36" spans="1:42" ht="17.100000000000001" customHeight="1" outlineLevel="4" x14ac:dyDescent="0.25">
      <c r="A36" s="222"/>
      <c r="B36" s="219"/>
      <c r="C36" s="229"/>
      <c r="D36" s="232"/>
      <c r="E36" s="235"/>
      <c r="F36" s="16">
        <v>39</v>
      </c>
      <c r="G36" s="34"/>
      <c r="H36" s="39"/>
      <c r="I36" s="39"/>
      <c r="J36" s="39"/>
      <c r="K36" s="39"/>
      <c r="L36" s="39"/>
      <c r="M36" s="39"/>
      <c r="N36" s="39"/>
      <c r="O36" s="39"/>
      <c r="P36" s="35"/>
      <c r="Q36" s="18"/>
      <c r="R36" s="34"/>
      <c r="S36" s="39"/>
      <c r="T36" s="39"/>
      <c r="U36" s="39"/>
      <c r="V36" s="39"/>
      <c r="W36" s="39"/>
      <c r="X36" s="39"/>
      <c r="Y36" s="39"/>
      <c r="Z36" s="39"/>
      <c r="AA36" s="35"/>
      <c r="AB36" s="50" t="e">
        <f t="shared" si="1"/>
        <v>#DIV/0!</v>
      </c>
      <c r="AC36" s="51" t="e">
        <f t="shared" si="1"/>
        <v>#DIV/0!</v>
      </c>
      <c r="AD36" s="19"/>
      <c r="AE36" s="19"/>
      <c r="AF36" s="285" t="s">
        <v>127</v>
      </c>
      <c r="AG36" s="240" t="e" cm="1">
        <f t="array" ref="AG36">bdRateExtend($G35:$G38,G35:G38,$R35:$R38,R35:R38)</f>
        <v>#VALUE!</v>
      </c>
      <c r="AH36" s="242"/>
      <c r="AI36" s="242"/>
      <c r="AJ36" s="245"/>
      <c r="AK36" s="240" t="e" cm="1">
        <f t="array" ref="AK36">bdRateExtend($G35:$G38,K35:K38,$R35:$R38,V35:V38)</f>
        <v>#VALUE!</v>
      </c>
      <c r="AL36" s="249"/>
      <c r="AM36" s="240" t="e" cm="1">
        <f t="array" ref="AM36">bdRateExtend($G35:$G38,L35:L38,$R35:$R38,W35:W38)</f>
        <v>#VALUE!</v>
      </c>
      <c r="AN36" s="249"/>
      <c r="AO36" s="252" t="e" cm="1">
        <f t="array" ref="AO36">bdRateExtend($G35:$G38,M35:M38,$R35:$R38,X35:X38)</f>
        <v>#VALUE!</v>
      </c>
      <c r="AP36" s="249"/>
    </row>
    <row r="37" spans="1:42" ht="17.100000000000001" customHeight="1" outlineLevel="4" x14ac:dyDescent="0.25">
      <c r="A37" s="222"/>
      <c r="B37" s="219"/>
      <c r="C37" s="229"/>
      <c r="D37" s="232"/>
      <c r="E37" s="235"/>
      <c r="F37" s="16">
        <v>47</v>
      </c>
      <c r="G37" s="34"/>
      <c r="H37" s="39"/>
      <c r="I37" s="39"/>
      <c r="J37" s="39"/>
      <c r="K37" s="39"/>
      <c r="L37" s="39"/>
      <c r="M37" s="39"/>
      <c r="N37" s="39"/>
      <c r="O37" s="39"/>
      <c r="P37" s="35"/>
      <c r="Q37" s="18"/>
      <c r="R37" s="34"/>
      <c r="S37" s="39"/>
      <c r="T37" s="39"/>
      <c r="U37" s="39"/>
      <c r="V37" s="39"/>
      <c r="W37" s="39"/>
      <c r="X37" s="39"/>
      <c r="Y37" s="39"/>
      <c r="Z37" s="39"/>
      <c r="AA37" s="35"/>
      <c r="AB37" s="50" t="e">
        <f t="shared" si="1"/>
        <v>#DIV/0!</v>
      </c>
      <c r="AC37" s="51" t="e">
        <f t="shared" si="1"/>
        <v>#DIV/0!</v>
      </c>
      <c r="AD37" s="19"/>
      <c r="AE37" s="19"/>
      <c r="AF37" s="285"/>
      <c r="AG37" s="240"/>
      <c r="AH37" s="242"/>
      <c r="AI37" s="242"/>
      <c r="AJ37" s="245"/>
      <c r="AK37" s="240"/>
      <c r="AL37" s="249"/>
      <c r="AM37" s="240"/>
      <c r="AN37" s="249"/>
      <c r="AO37" s="252"/>
      <c r="AP37" s="249"/>
    </row>
    <row r="38" spans="1:42" ht="17.100000000000001" customHeight="1" outlineLevel="4" x14ac:dyDescent="0.25">
      <c r="A38" s="222"/>
      <c r="B38" s="219"/>
      <c r="C38" s="229"/>
      <c r="D38" s="232"/>
      <c r="E38" s="235"/>
      <c r="F38" s="16">
        <v>55</v>
      </c>
      <c r="G38" s="34"/>
      <c r="H38" s="39"/>
      <c r="I38" s="39"/>
      <c r="J38" s="39"/>
      <c r="K38" s="39"/>
      <c r="L38" s="39"/>
      <c r="M38" s="39"/>
      <c r="N38" s="39"/>
      <c r="O38" s="39"/>
      <c r="P38" s="35"/>
      <c r="Q38" s="18"/>
      <c r="R38" s="34"/>
      <c r="S38" s="39"/>
      <c r="T38" s="39"/>
      <c r="U38" s="39"/>
      <c r="V38" s="39"/>
      <c r="W38" s="39"/>
      <c r="X38" s="39"/>
      <c r="Y38" s="39"/>
      <c r="Z38" s="39"/>
      <c r="AA38" s="35"/>
      <c r="AB38" s="50" t="e">
        <f t="shared" si="1"/>
        <v>#DIV/0!</v>
      </c>
      <c r="AC38" s="51" t="e">
        <f t="shared" si="1"/>
        <v>#DIV/0!</v>
      </c>
      <c r="AD38" s="19"/>
      <c r="AE38" s="19"/>
      <c r="AF38" s="285" t="s">
        <v>128</v>
      </c>
      <c r="AG38" s="240" t="e" cm="1">
        <f t="array" ref="AG38">bdRateExtend($G36:$G39,G36:G39,$R36:$R39,R36:R39)</f>
        <v>#VALUE!</v>
      </c>
      <c r="AH38" s="242"/>
      <c r="AI38" s="242"/>
      <c r="AJ38" s="245"/>
      <c r="AK38" s="240" t="e" cm="1">
        <f t="array" ref="AK38">bdRateExtend($G36:$G39,K36:K39,$R36:$R39,V36:V39)</f>
        <v>#VALUE!</v>
      </c>
      <c r="AL38" s="249"/>
      <c r="AM38" s="240" t="e" cm="1">
        <f t="array" ref="AM38">bdRateExtend($G36:$G39,L36:L39,$R36:$R39,W36:W39)</f>
        <v>#VALUE!</v>
      </c>
      <c r="AN38" s="249"/>
      <c r="AO38" s="252" t="e" cm="1">
        <f t="array" ref="AO38">bdRateExtend($G36:$G39,M36:M39,$R36:$R39,X36:X39)</f>
        <v>#VALUE!</v>
      </c>
      <c r="AP38" s="249"/>
    </row>
    <row r="39" spans="1:42" ht="17.100000000000001" customHeight="1" outlineLevel="4" thickBot="1" x14ac:dyDescent="0.3">
      <c r="A39" s="222"/>
      <c r="B39" s="220"/>
      <c r="C39" s="230"/>
      <c r="D39" s="233"/>
      <c r="E39" s="236"/>
      <c r="F39" s="9">
        <v>63</v>
      </c>
      <c r="G39" s="36"/>
      <c r="H39" s="37"/>
      <c r="I39" s="37"/>
      <c r="J39" s="37"/>
      <c r="K39" s="37"/>
      <c r="L39" s="37"/>
      <c r="M39" s="37"/>
      <c r="N39" s="37"/>
      <c r="O39" s="37"/>
      <c r="P39" s="38"/>
      <c r="Q39" s="18"/>
      <c r="R39" s="36"/>
      <c r="S39" s="37"/>
      <c r="T39" s="37"/>
      <c r="U39" s="37"/>
      <c r="V39" s="37"/>
      <c r="W39" s="37"/>
      <c r="X39" s="37"/>
      <c r="Y39" s="37"/>
      <c r="Z39" s="37"/>
      <c r="AA39" s="38"/>
      <c r="AB39" s="52" t="e">
        <f t="shared" si="1"/>
        <v>#DIV/0!</v>
      </c>
      <c r="AC39" s="53" t="e">
        <f t="shared" si="1"/>
        <v>#DIV/0!</v>
      </c>
      <c r="AD39" s="19"/>
      <c r="AE39" s="19"/>
      <c r="AF39" s="286"/>
      <c r="AG39" s="247"/>
      <c r="AH39" s="243"/>
      <c r="AI39" s="243"/>
      <c r="AJ39" s="246"/>
      <c r="AK39" s="247"/>
      <c r="AL39" s="250"/>
      <c r="AM39" s="247"/>
      <c r="AN39" s="250"/>
      <c r="AO39" s="253"/>
      <c r="AP39" s="250"/>
    </row>
    <row r="40" spans="1:42" ht="17.100000000000001" customHeight="1" outlineLevel="4" x14ac:dyDescent="0.25">
      <c r="A40" s="222"/>
      <c r="B40" s="218" t="s">
        <v>18</v>
      </c>
      <c r="C40" s="228" t="s">
        <v>35</v>
      </c>
      <c r="D40" s="231">
        <v>59.94</v>
      </c>
      <c r="E40" s="234"/>
      <c r="F40" s="7">
        <v>23</v>
      </c>
      <c r="G40" s="31"/>
      <c r="H40" s="32"/>
      <c r="I40" s="32"/>
      <c r="J40" s="32"/>
      <c r="K40" s="32"/>
      <c r="L40" s="32"/>
      <c r="M40" s="32"/>
      <c r="N40" s="32"/>
      <c r="O40" s="32"/>
      <c r="P40" s="33"/>
      <c r="Q40" s="18"/>
      <c r="R40" s="31"/>
      <c r="S40" s="32"/>
      <c r="T40" s="32"/>
      <c r="U40" s="32"/>
      <c r="V40" s="32"/>
      <c r="W40" s="32"/>
      <c r="X40" s="32"/>
      <c r="Y40" s="32"/>
      <c r="Z40" s="32"/>
      <c r="AA40" s="33"/>
      <c r="AB40" s="48" t="e">
        <f t="shared" si="1"/>
        <v>#DIV/0!</v>
      </c>
      <c r="AC40" s="49" t="e">
        <f t="shared" si="1"/>
        <v>#DIV/0!</v>
      </c>
      <c r="AD40" s="19"/>
      <c r="AE40" s="19"/>
      <c r="AF40" s="284" t="s">
        <v>126</v>
      </c>
      <c r="AG40" s="239" t="e" cm="1">
        <f t="array" ref="AG40">bdRateExtend($G40:$G43,G40:G43,$R40:$R43,R40:R43)</f>
        <v>#VALUE!</v>
      </c>
      <c r="AH40" s="241" t="e" cm="1">
        <f t="array" ref="AH40">bdRateExtend($G40:$G45,H40:H45,$R40:$R45,S40:S45)</f>
        <v>#VALUE!</v>
      </c>
      <c r="AI40" s="241" t="e" cm="1">
        <f t="array" ref="AI40">bdRateExtend($G40:$G45,I40:I45,$R40:$R45,T40:T45)</f>
        <v>#VALUE!</v>
      </c>
      <c r="AJ40" s="244" t="e" cm="1">
        <f t="array" ref="AJ40">bdRateExtend($G40:$G45,J40:J45,$R40:$R45,U40:U45)</f>
        <v>#VALUE!</v>
      </c>
      <c r="AK40" s="239" t="e" cm="1">
        <f t="array" ref="AK40">bdRateExtend($G40:$G43,K40:K43,$R40:$R43,V40:V43)</f>
        <v>#VALUE!</v>
      </c>
      <c r="AL40" s="248" t="e" cm="1">
        <f t="array" ref="AL40">bdRateExtend($G40:$G45,K40:K45,$R40:$R45,V40:V45)</f>
        <v>#VALUE!</v>
      </c>
      <c r="AM40" s="239" t="e" cm="1">
        <f t="array" ref="AM40">bdRateExtend($G40:$G43,L40:L43,$R40:$R43,W40:W43)</f>
        <v>#VALUE!</v>
      </c>
      <c r="AN40" s="248" t="e" cm="1">
        <f t="array" ref="AN40">bdRateExtend($G40:$G45,L40:L45,$R40:$R45,W40:W45)</f>
        <v>#VALUE!</v>
      </c>
      <c r="AO40" s="254" t="e" cm="1">
        <f t="array" ref="AO40">bdRateExtend($G40:$G43,M40:M43,$R40:$R43,X40:X43)</f>
        <v>#VALUE!</v>
      </c>
      <c r="AP40" s="248" t="e" cm="1">
        <f t="array" ref="AP40">bdRateExtend($G40:$G45,M40:M45,$R40:$R45,X40:X45)</f>
        <v>#VALUE!</v>
      </c>
    </row>
    <row r="41" spans="1:42" ht="17.100000000000001" customHeight="1" outlineLevel="4" x14ac:dyDescent="0.25">
      <c r="A41" s="222"/>
      <c r="B41" s="219"/>
      <c r="C41" s="229"/>
      <c r="D41" s="232"/>
      <c r="E41" s="235"/>
      <c r="F41" s="16">
        <v>31</v>
      </c>
      <c r="G41" s="34"/>
      <c r="H41" s="39"/>
      <c r="I41" s="39"/>
      <c r="J41" s="39"/>
      <c r="K41" s="39"/>
      <c r="L41" s="39"/>
      <c r="M41" s="39"/>
      <c r="N41" s="39"/>
      <c r="O41" s="39"/>
      <c r="P41" s="35"/>
      <c r="Q41" s="18"/>
      <c r="R41" s="34"/>
      <c r="S41" s="39"/>
      <c r="T41" s="39"/>
      <c r="U41" s="39"/>
      <c r="V41" s="39"/>
      <c r="W41" s="39"/>
      <c r="X41" s="39"/>
      <c r="Y41" s="39"/>
      <c r="Z41" s="39"/>
      <c r="AA41" s="35"/>
      <c r="AB41" s="50" t="e">
        <f t="shared" si="1"/>
        <v>#DIV/0!</v>
      </c>
      <c r="AC41" s="51" t="e">
        <f t="shared" si="1"/>
        <v>#DIV/0!</v>
      </c>
      <c r="AD41" s="19"/>
      <c r="AE41" s="19"/>
      <c r="AF41" s="285"/>
      <c r="AG41" s="240"/>
      <c r="AH41" s="242"/>
      <c r="AI41" s="242"/>
      <c r="AJ41" s="245"/>
      <c r="AK41" s="240"/>
      <c r="AL41" s="249"/>
      <c r="AM41" s="240"/>
      <c r="AN41" s="249"/>
      <c r="AO41" s="252"/>
      <c r="AP41" s="249"/>
    </row>
    <row r="42" spans="1:42" ht="17.100000000000001" customHeight="1" outlineLevel="4" x14ac:dyDescent="0.25">
      <c r="A42" s="222"/>
      <c r="B42" s="219"/>
      <c r="C42" s="229"/>
      <c r="D42" s="232"/>
      <c r="E42" s="235"/>
      <c r="F42" s="16">
        <v>39</v>
      </c>
      <c r="G42" s="34"/>
      <c r="H42" s="39"/>
      <c r="I42" s="39"/>
      <c r="J42" s="39"/>
      <c r="K42" s="39"/>
      <c r="L42" s="39"/>
      <c r="M42" s="39"/>
      <c r="N42" s="39"/>
      <c r="O42" s="39"/>
      <c r="P42" s="35"/>
      <c r="Q42" s="18"/>
      <c r="R42" s="34"/>
      <c r="S42" s="39"/>
      <c r="T42" s="39"/>
      <c r="U42" s="39"/>
      <c r="V42" s="39"/>
      <c r="W42" s="39"/>
      <c r="X42" s="39"/>
      <c r="Y42" s="39"/>
      <c r="Z42" s="39"/>
      <c r="AA42" s="35"/>
      <c r="AB42" s="50" t="e">
        <f t="shared" si="1"/>
        <v>#DIV/0!</v>
      </c>
      <c r="AC42" s="51" t="e">
        <f t="shared" si="1"/>
        <v>#DIV/0!</v>
      </c>
      <c r="AD42" s="19"/>
      <c r="AE42" s="19"/>
      <c r="AF42" s="285" t="s">
        <v>127</v>
      </c>
      <c r="AG42" s="240" t="e" cm="1">
        <f t="array" ref="AG42">bdRateExtend($G41:$G44,G41:G44,$R41:$R44,R41:R44)</f>
        <v>#VALUE!</v>
      </c>
      <c r="AH42" s="242"/>
      <c r="AI42" s="242"/>
      <c r="AJ42" s="245"/>
      <c r="AK42" s="240" t="e" cm="1">
        <f t="array" ref="AK42">bdRateExtend($G41:$G44,K41:K44,$R41:$R44,V41:V44)</f>
        <v>#VALUE!</v>
      </c>
      <c r="AL42" s="249"/>
      <c r="AM42" s="240" t="e" cm="1">
        <f t="array" ref="AM42">bdRateExtend($G41:$G44,L41:L44,$R41:$R44,W41:W44)</f>
        <v>#VALUE!</v>
      </c>
      <c r="AN42" s="249"/>
      <c r="AO42" s="252" t="e" cm="1">
        <f t="array" ref="AO42">bdRateExtend($G41:$G44,M41:M44,$R41:$R44,X41:X44)</f>
        <v>#VALUE!</v>
      </c>
      <c r="AP42" s="249"/>
    </row>
    <row r="43" spans="1:42" ht="17.100000000000001" customHeight="1" outlineLevel="4" x14ac:dyDescent="0.25">
      <c r="A43" s="222"/>
      <c r="B43" s="219"/>
      <c r="C43" s="229"/>
      <c r="D43" s="232"/>
      <c r="E43" s="235"/>
      <c r="F43" s="16">
        <v>47</v>
      </c>
      <c r="G43" s="34"/>
      <c r="H43" s="39"/>
      <c r="I43" s="39"/>
      <c r="J43" s="39"/>
      <c r="K43" s="39"/>
      <c r="L43" s="39"/>
      <c r="M43" s="39"/>
      <c r="N43" s="39"/>
      <c r="O43" s="39"/>
      <c r="P43" s="35"/>
      <c r="Q43" s="18"/>
      <c r="R43" s="34"/>
      <c r="S43" s="39"/>
      <c r="T43" s="39"/>
      <c r="U43" s="39"/>
      <c r="V43" s="39"/>
      <c r="W43" s="39"/>
      <c r="X43" s="39"/>
      <c r="Y43" s="39"/>
      <c r="Z43" s="39"/>
      <c r="AA43" s="35"/>
      <c r="AB43" s="50" t="e">
        <f t="shared" si="1"/>
        <v>#DIV/0!</v>
      </c>
      <c r="AC43" s="51" t="e">
        <f t="shared" si="1"/>
        <v>#DIV/0!</v>
      </c>
      <c r="AD43" s="19"/>
      <c r="AE43" s="19"/>
      <c r="AF43" s="285"/>
      <c r="AG43" s="240"/>
      <c r="AH43" s="242"/>
      <c r="AI43" s="242"/>
      <c r="AJ43" s="245"/>
      <c r="AK43" s="240"/>
      <c r="AL43" s="249"/>
      <c r="AM43" s="240"/>
      <c r="AN43" s="249"/>
      <c r="AO43" s="252"/>
      <c r="AP43" s="249"/>
    </row>
    <row r="44" spans="1:42" ht="17.100000000000001" customHeight="1" outlineLevel="4" x14ac:dyDescent="0.25">
      <c r="A44" s="222"/>
      <c r="B44" s="219"/>
      <c r="C44" s="229"/>
      <c r="D44" s="232"/>
      <c r="E44" s="235"/>
      <c r="F44" s="16">
        <v>55</v>
      </c>
      <c r="G44" s="34"/>
      <c r="H44" s="39"/>
      <c r="I44" s="39"/>
      <c r="J44" s="39"/>
      <c r="K44" s="39"/>
      <c r="L44" s="39"/>
      <c r="M44" s="39"/>
      <c r="N44" s="39"/>
      <c r="O44" s="39"/>
      <c r="P44" s="35"/>
      <c r="Q44" s="18"/>
      <c r="R44" s="34"/>
      <c r="S44" s="39"/>
      <c r="T44" s="39"/>
      <c r="U44" s="39"/>
      <c r="V44" s="39"/>
      <c r="W44" s="39"/>
      <c r="X44" s="39"/>
      <c r="Y44" s="39"/>
      <c r="Z44" s="39"/>
      <c r="AA44" s="35"/>
      <c r="AB44" s="50" t="e">
        <f t="shared" si="1"/>
        <v>#DIV/0!</v>
      </c>
      <c r="AC44" s="51" t="e">
        <f t="shared" si="1"/>
        <v>#DIV/0!</v>
      </c>
      <c r="AD44" s="19"/>
      <c r="AE44" s="19"/>
      <c r="AF44" s="285" t="s">
        <v>128</v>
      </c>
      <c r="AG44" s="240" t="e" cm="1">
        <f t="array" ref="AG44">bdRateExtend($G42:$G45,G42:G45,$R42:$R45,R42:R45)</f>
        <v>#VALUE!</v>
      </c>
      <c r="AH44" s="242"/>
      <c r="AI44" s="242"/>
      <c r="AJ44" s="245"/>
      <c r="AK44" s="240" t="e" cm="1">
        <f t="array" ref="AK44">bdRateExtend($G42:$G45,K42:K45,$R42:$R45,V42:V45)</f>
        <v>#VALUE!</v>
      </c>
      <c r="AL44" s="249"/>
      <c r="AM44" s="240" t="e" cm="1">
        <f t="array" ref="AM44">bdRateExtend($G42:$G45,L42:L45,$R42:$R45,W42:W45)</f>
        <v>#VALUE!</v>
      </c>
      <c r="AN44" s="249"/>
      <c r="AO44" s="252" t="e" cm="1">
        <f t="array" ref="AO44">bdRateExtend($G42:$G45,M42:M45,$R42:$R45,X42:X45)</f>
        <v>#VALUE!</v>
      </c>
      <c r="AP44" s="249"/>
    </row>
    <row r="45" spans="1:42" ht="17.100000000000001" customHeight="1" outlineLevel="4" thickBot="1" x14ac:dyDescent="0.3">
      <c r="A45" s="222"/>
      <c r="B45" s="220"/>
      <c r="C45" s="230"/>
      <c r="D45" s="233"/>
      <c r="E45" s="236"/>
      <c r="F45" s="9">
        <v>63</v>
      </c>
      <c r="G45" s="36"/>
      <c r="H45" s="37"/>
      <c r="I45" s="37"/>
      <c r="J45" s="37"/>
      <c r="K45" s="37"/>
      <c r="L45" s="37"/>
      <c r="M45" s="37"/>
      <c r="N45" s="37"/>
      <c r="O45" s="37"/>
      <c r="P45" s="38"/>
      <c r="Q45" s="18"/>
      <c r="R45" s="36"/>
      <c r="S45" s="37"/>
      <c r="T45" s="37"/>
      <c r="U45" s="37"/>
      <c r="V45" s="37"/>
      <c r="W45" s="37"/>
      <c r="X45" s="37"/>
      <c r="Y45" s="37"/>
      <c r="Z45" s="37"/>
      <c r="AA45" s="38"/>
      <c r="AB45" s="52" t="e">
        <f t="shared" si="1"/>
        <v>#DIV/0!</v>
      </c>
      <c r="AC45" s="53" t="e">
        <f t="shared" si="1"/>
        <v>#DIV/0!</v>
      </c>
      <c r="AD45" s="19"/>
      <c r="AE45" s="19"/>
      <c r="AF45" s="286"/>
      <c r="AG45" s="247"/>
      <c r="AH45" s="243"/>
      <c r="AI45" s="243"/>
      <c r="AJ45" s="246"/>
      <c r="AK45" s="247"/>
      <c r="AL45" s="250"/>
      <c r="AM45" s="247"/>
      <c r="AN45" s="250"/>
      <c r="AO45" s="253"/>
      <c r="AP45" s="250"/>
    </row>
    <row r="46" spans="1:42" ht="17.100000000000001" customHeight="1" outlineLevel="4" x14ac:dyDescent="0.25">
      <c r="A46" s="222"/>
      <c r="B46" s="218" t="s">
        <v>18</v>
      </c>
      <c r="C46" s="228" t="s">
        <v>36</v>
      </c>
      <c r="D46" s="231">
        <v>59.94</v>
      </c>
      <c r="E46" s="234"/>
      <c r="F46" s="7">
        <v>23</v>
      </c>
      <c r="G46" s="31"/>
      <c r="H46" s="32"/>
      <c r="I46" s="32"/>
      <c r="J46" s="32"/>
      <c r="K46" s="32"/>
      <c r="L46" s="32"/>
      <c r="M46" s="32"/>
      <c r="N46" s="32"/>
      <c r="O46" s="32"/>
      <c r="P46" s="33"/>
      <c r="Q46" s="18"/>
      <c r="R46" s="31"/>
      <c r="S46" s="32"/>
      <c r="T46" s="32"/>
      <c r="U46" s="32"/>
      <c r="V46" s="32"/>
      <c r="W46" s="32"/>
      <c r="X46" s="32"/>
      <c r="Y46" s="32"/>
      <c r="Z46" s="32"/>
      <c r="AA46" s="33"/>
      <c r="AB46" s="48" t="e">
        <f t="shared" si="1"/>
        <v>#DIV/0!</v>
      </c>
      <c r="AC46" s="49" t="e">
        <f t="shared" si="1"/>
        <v>#DIV/0!</v>
      </c>
      <c r="AD46" s="19"/>
      <c r="AE46" s="19"/>
      <c r="AF46" s="284" t="s">
        <v>126</v>
      </c>
      <c r="AG46" s="239" t="e" cm="1">
        <f t="array" ref="AG46">bdRateExtend($G46:$G49,G46:G49,$R46:$R49,R46:R49)</f>
        <v>#VALUE!</v>
      </c>
      <c r="AH46" s="241" t="e" cm="1">
        <f t="array" ref="AH46">bdRateExtend($G46:$G51,H46:H51,$R46:$R51,S46:S51)</f>
        <v>#VALUE!</v>
      </c>
      <c r="AI46" s="241" t="e" cm="1">
        <f t="array" ref="AI46">bdRateExtend($G46:$G51,I46:I51,$R46:$R51,T46:T51)</f>
        <v>#VALUE!</v>
      </c>
      <c r="AJ46" s="244" t="e" cm="1">
        <f t="array" ref="AJ46">bdRateExtend($G46:$G51,J46:J51,$R46:$R51,U46:U51)</f>
        <v>#VALUE!</v>
      </c>
      <c r="AK46" s="239" t="e" cm="1">
        <f t="array" ref="AK46">bdRateExtend($G46:$G49,K46:K49,$R46:$R49,V46:V49)</f>
        <v>#VALUE!</v>
      </c>
      <c r="AL46" s="248" t="e" cm="1">
        <f t="array" ref="AL46">bdRateExtend($G46:$G51,K46:K51,$R46:$R51,V46:V51)</f>
        <v>#VALUE!</v>
      </c>
      <c r="AM46" s="239" t="e" cm="1">
        <f t="array" ref="AM46">bdRateExtend($G46:$G49,L46:L49,$R46:$R49,W46:W49)</f>
        <v>#VALUE!</v>
      </c>
      <c r="AN46" s="248" t="e" cm="1">
        <f t="array" ref="AN46">bdRateExtend($G46:$G51,L46:L51,$R46:$R51,W46:W51)</f>
        <v>#VALUE!</v>
      </c>
      <c r="AO46" s="254" t="e" cm="1">
        <f t="array" ref="AO46">bdRateExtend($G46:$G49,M46:M49,$R46:$R49,X46:X49)</f>
        <v>#VALUE!</v>
      </c>
      <c r="AP46" s="248" t="e" cm="1">
        <f t="array" ref="AP46">bdRateExtend($G46:$G51,M46:M51,$R46:$R51,X46:X51)</f>
        <v>#VALUE!</v>
      </c>
    </row>
    <row r="47" spans="1:42" ht="17.100000000000001" customHeight="1" outlineLevel="4" x14ac:dyDescent="0.25">
      <c r="A47" s="222"/>
      <c r="B47" s="219"/>
      <c r="C47" s="229"/>
      <c r="D47" s="232"/>
      <c r="E47" s="235"/>
      <c r="F47" s="16">
        <v>31</v>
      </c>
      <c r="G47" s="34"/>
      <c r="H47" s="39"/>
      <c r="I47" s="39"/>
      <c r="J47" s="39"/>
      <c r="K47" s="39"/>
      <c r="L47" s="39"/>
      <c r="M47" s="39"/>
      <c r="N47" s="39"/>
      <c r="O47" s="39"/>
      <c r="P47" s="35"/>
      <c r="Q47" s="18"/>
      <c r="R47" s="34"/>
      <c r="S47" s="39"/>
      <c r="T47" s="39"/>
      <c r="U47" s="39"/>
      <c r="V47" s="39"/>
      <c r="W47" s="39"/>
      <c r="X47" s="39"/>
      <c r="Y47" s="39"/>
      <c r="Z47" s="39"/>
      <c r="AA47" s="35"/>
      <c r="AB47" s="50" t="e">
        <f t="shared" si="1"/>
        <v>#DIV/0!</v>
      </c>
      <c r="AC47" s="51" t="e">
        <f t="shared" si="1"/>
        <v>#DIV/0!</v>
      </c>
      <c r="AD47" s="19"/>
      <c r="AE47" s="19"/>
      <c r="AF47" s="285"/>
      <c r="AG47" s="240"/>
      <c r="AH47" s="242"/>
      <c r="AI47" s="242"/>
      <c r="AJ47" s="245"/>
      <c r="AK47" s="240"/>
      <c r="AL47" s="249"/>
      <c r="AM47" s="240"/>
      <c r="AN47" s="249"/>
      <c r="AO47" s="252"/>
      <c r="AP47" s="249"/>
    </row>
    <row r="48" spans="1:42" ht="17.100000000000001" customHeight="1" outlineLevel="4" x14ac:dyDescent="0.25">
      <c r="A48" s="222"/>
      <c r="B48" s="219"/>
      <c r="C48" s="229"/>
      <c r="D48" s="232"/>
      <c r="E48" s="235"/>
      <c r="F48" s="16">
        <v>39</v>
      </c>
      <c r="G48" s="34"/>
      <c r="H48" s="39"/>
      <c r="I48" s="39"/>
      <c r="J48" s="39"/>
      <c r="K48" s="39"/>
      <c r="L48" s="39"/>
      <c r="M48" s="39"/>
      <c r="N48" s="39"/>
      <c r="O48" s="39"/>
      <c r="P48" s="35"/>
      <c r="Q48" s="18"/>
      <c r="R48" s="34"/>
      <c r="S48" s="39"/>
      <c r="T48" s="39"/>
      <c r="U48" s="39"/>
      <c r="V48" s="39"/>
      <c r="W48" s="39"/>
      <c r="X48" s="39"/>
      <c r="Y48" s="39"/>
      <c r="Z48" s="39"/>
      <c r="AA48" s="35"/>
      <c r="AB48" s="50" t="e">
        <f t="shared" si="1"/>
        <v>#DIV/0!</v>
      </c>
      <c r="AC48" s="51" t="e">
        <f t="shared" si="1"/>
        <v>#DIV/0!</v>
      </c>
      <c r="AD48" s="19"/>
      <c r="AE48" s="19"/>
      <c r="AF48" s="285" t="s">
        <v>127</v>
      </c>
      <c r="AG48" s="240" t="e" cm="1">
        <f t="array" ref="AG48">bdRateExtend($G47:$G50,G47:G50,$R47:$R50,R47:R50)</f>
        <v>#VALUE!</v>
      </c>
      <c r="AH48" s="242"/>
      <c r="AI48" s="242"/>
      <c r="AJ48" s="245"/>
      <c r="AK48" s="240" t="e" cm="1">
        <f t="array" ref="AK48">bdRateExtend($G47:$G50,K47:K50,$R47:$R50,V47:V50)</f>
        <v>#VALUE!</v>
      </c>
      <c r="AL48" s="249"/>
      <c r="AM48" s="240" t="e" cm="1">
        <f t="array" ref="AM48">bdRateExtend($G47:$G50,L47:L50,$R47:$R50,W47:W50)</f>
        <v>#VALUE!</v>
      </c>
      <c r="AN48" s="249"/>
      <c r="AO48" s="252" t="e" cm="1">
        <f t="array" ref="AO48">bdRateExtend($G47:$G50,M47:M50,$R47:$R50,X47:X50)</f>
        <v>#VALUE!</v>
      </c>
      <c r="AP48" s="249"/>
    </row>
    <row r="49" spans="1:42" ht="17.100000000000001" customHeight="1" outlineLevel="4" x14ac:dyDescent="0.25">
      <c r="A49" s="222"/>
      <c r="B49" s="219"/>
      <c r="C49" s="229"/>
      <c r="D49" s="232"/>
      <c r="E49" s="235"/>
      <c r="F49" s="16">
        <v>47</v>
      </c>
      <c r="G49" s="34"/>
      <c r="H49" s="39"/>
      <c r="I49" s="39"/>
      <c r="J49" s="39"/>
      <c r="K49" s="39"/>
      <c r="L49" s="39"/>
      <c r="M49" s="39"/>
      <c r="N49" s="39"/>
      <c r="O49" s="39"/>
      <c r="P49" s="35"/>
      <c r="Q49" s="18"/>
      <c r="R49" s="34"/>
      <c r="S49" s="39"/>
      <c r="T49" s="39"/>
      <c r="U49" s="39"/>
      <c r="V49" s="39"/>
      <c r="W49" s="39"/>
      <c r="X49" s="39"/>
      <c r="Y49" s="39"/>
      <c r="Z49" s="39"/>
      <c r="AA49" s="35"/>
      <c r="AB49" s="50" t="e">
        <f t="shared" si="1"/>
        <v>#DIV/0!</v>
      </c>
      <c r="AC49" s="51" t="e">
        <f t="shared" si="1"/>
        <v>#DIV/0!</v>
      </c>
      <c r="AD49" s="19"/>
      <c r="AE49" s="19"/>
      <c r="AF49" s="285"/>
      <c r="AG49" s="240"/>
      <c r="AH49" s="242"/>
      <c r="AI49" s="242"/>
      <c r="AJ49" s="245"/>
      <c r="AK49" s="240"/>
      <c r="AL49" s="249"/>
      <c r="AM49" s="240"/>
      <c r="AN49" s="249"/>
      <c r="AO49" s="252"/>
      <c r="AP49" s="249"/>
    </row>
    <row r="50" spans="1:42" ht="17.100000000000001" customHeight="1" outlineLevel="4" x14ac:dyDescent="0.25">
      <c r="A50" s="222"/>
      <c r="B50" s="219"/>
      <c r="C50" s="229"/>
      <c r="D50" s="232"/>
      <c r="E50" s="235"/>
      <c r="F50" s="16">
        <v>55</v>
      </c>
      <c r="G50" s="34"/>
      <c r="H50" s="39"/>
      <c r="I50" s="39"/>
      <c r="J50" s="39"/>
      <c r="K50" s="39"/>
      <c r="L50" s="39"/>
      <c r="M50" s="39"/>
      <c r="N50" s="39"/>
      <c r="O50" s="39"/>
      <c r="P50" s="35"/>
      <c r="Q50" s="18"/>
      <c r="R50" s="34"/>
      <c r="S50" s="39"/>
      <c r="T50" s="39"/>
      <c r="U50" s="39"/>
      <c r="V50" s="39"/>
      <c r="W50" s="39"/>
      <c r="X50" s="39"/>
      <c r="Y50" s="39"/>
      <c r="Z50" s="39"/>
      <c r="AA50" s="35"/>
      <c r="AB50" s="50" t="e">
        <f t="shared" si="1"/>
        <v>#DIV/0!</v>
      </c>
      <c r="AC50" s="51" t="e">
        <f t="shared" si="1"/>
        <v>#DIV/0!</v>
      </c>
      <c r="AD50" s="19"/>
      <c r="AE50" s="19"/>
      <c r="AF50" s="285" t="s">
        <v>128</v>
      </c>
      <c r="AG50" s="240" t="e" cm="1">
        <f t="array" ref="AG50">bdRateExtend($G48:$G51,G48:G51,$R48:$R51,R48:R51)</f>
        <v>#VALUE!</v>
      </c>
      <c r="AH50" s="242"/>
      <c r="AI50" s="242"/>
      <c r="AJ50" s="245"/>
      <c r="AK50" s="240" t="e" cm="1">
        <f t="array" ref="AK50">bdRateExtend($G48:$G51,K48:K51,$R48:$R51,V48:V51)</f>
        <v>#VALUE!</v>
      </c>
      <c r="AL50" s="249"/>
      <c r="AM50" s="240" t="e" cm="1">
        <f t="array" ref="AM50">bdRateExtend($G48:$G51,L48:L51,$R48:$R51,W48:W51)</f>
        <v>#VALUE!</v>
      </c>
      <c r="AN50" s="249"/>
      <c r="AO50" s="252" t="e" cm="1">
        <f t="array" ref="AO50">bdRateExtend($G48:$G51,M48:M51,$R48:$R51,X48:X51)</f>
        <v>#VALUE!</v>
      </c>
      <c r="AP50" s="249"/>
    </row>
    <row r="51" spans="1:42" ht="17.100000000000001" customHeight="1" outlineLevel="4" thickBot="1" x14ac:dyDescent="0.3">
      <c r="A51" s="227"/>
      <c r="B51" s="220"/>
      <c r="C51" s="230"/>
      <c r="D51" s="233"/>
      <c r="E51" s="236"/>
      <c r="F51" s="9">
        <v>63</v>
      </c>
      <c r="G51" s="36"/>
      <c r="H51" s="37"/>
      <c r="I51" s="37"/>
      <c r="J51" s="37"/>
      <c r="K51" s="37"/>
      <c r="L51" s="37"/>
      <c r="M51" s="37"/>
      <c r="N51" s="37"/>
      <c r="O51" s="37"/>
      <c r="P51" s="38"/>
      <c r="Q51" s="18"/>
      <c r="R51" s="36"/>
      <c r="S51" s="37"/>
      <c r="T51" s="37"/>
      <c r="U51" s="37"/>
      <c r="V51" s="37"/>
      <c r="W51" s="37"/>
      <c r="X51" s="37"/>
      <c r="Y51" s="37"/>
      <c r="Z51" s="37"/>
      <c r="AA51" s="38"/>
      <c r="AB51" s="52" t="e">
        <f t="shared" si="1"/>
        <v>#DIV/0!</v>
      </c>
      <c r="AC51" s="53" t="e">
        <f t="shared" si="1"/>
        <v>#DIV/0!</v>
      </c>
      <c r="AD51" s="19"/>
      <c r="AE51" s="19"/>
      <c r="AF51" s="286"/>
      <c r="AG51" s="247"/>
      <c r="AH51" s="243"/>
      <c r="AI51" s="243"/>
      <c r="AJ51" s="246"/>
      <c r="AK51" s="247"/>
      <c r="AL51" s="250"/>
      <c r="AM51" s="247"/>
      <c r="AN51" s="250"/>
      <c r="AO51" s="253"/>
      <c r="AP51" s="250"/>
    </row>
    <row r="52" spans="1:42" ht="17.100000000000001" customHeight="1" outlineLevel="4" x14ac:dyDescent="0.25">
      <c r="A52" s="226" t="s">
        <v>21</v>
      </c>
      <c r="B52" s="218" t="s">
        <v>2</v>
      </c>
      <c r="C52" s="228" t="s">
        <v>37</v>
      </c>
      <c r="D52" s="231">
        <v>59.94</v>
      </c>
      <c r="E52" s="234">
        <v>10</v>
      </c>
      <c r="F52" s="7">
        <v>23</v>
      </c>
      <c r="G52" s="31"/>
      <c r="H52" s="32"/>
      <c r="I52" s="32"/>
      <c r="J52" s="32"/>
      <c r="K52" s="32"/>
      <c r="L52" s="32"/>
      <c r="M52" s="32"/>
      <c r="N52" s="32"/>
      <c r="O52" s="32"/>
      <c r="P52" s="33"/>
      <c r="Q52" s="18"/>
      <c r="R52" s="31"/>
      <c r="S52" s="32"/>
      <c r="T52" s="32"/>
      <c r="U52" s="32"/>
      <c r="V52" s="32"/>
      <c r="W52" s="32"/>
      <c r="X52" s="32"/>
      <c r="Y52" s="32"/>
      <c r="Z52" s="32"/>
      <c r="AA52" s="33"/>
      <c r="AB52" s="48" t="e">
        <f t="shared" si="1"/>
        <v>#DIV/0!</v>
      </c>
      <c r="AC52" s="49" t="e">
        <f t="shared" si="1"/>
        <v>#DIV/0!</v>
      </c>
      <c r="AD52" s="19"/>
      <c r="AE52" s="19"/>
      <c r="AF52" s="284" t="s">
        <v>126</v>
      </c>
      <c r="AG52" s="239" t="e" cm="1">
        <f t="array" ref="AG52">bdRateExtend($G52:$G55,G52:G55,$R52:$R55,R52:R55)</f>
        <v>#VALUE!</v>
      </c>
      <c r="AH52" s="241" t="e" cm="1">
        <f t="array" ref="AH52">bdRateExtend($G52:$G57,H52:H57,$R52:$R57,S52:S57)</f>
        <v>#VALUE!</v>
      </c>
      <c r="AI52" s="241" t="e" cm="1">
        <f t="array" ref="AI52">bdRateExtend($G52:$G57,I52:I57,$R52:$R57,T52:T57)</f>
        <v>#VALUE!</v>
      </c>
      <c r="AJ52" s="244" t="e" cm="1">
        <f t="array" ref="AJ52">bdRateExtend($G52:$G57,J52:J57,$R52:$R57,U52:U57)</f>
        <v>#VALUE!</v>
      </c>
      <c r="AK52" s="239" t="e" cm="1">
        <f t="array" ref="AK52">bdRateExtend($G52:$G55,K52:K55,$R52:$R55,V52:V55)</f>
        <v>#VALUE!</v>
      </c>
      <c r="AL52" s="248" t="e" cm="1">
        <f t="array" ref="AL52">bdRateExtend($G52:$G57,K52:K57,$R52:$R57,V52:V57)</f>
        <v>#VALUE!</v>
      </c>
      <c r="AM52" s="239" t="e" cm="1">
        <f t="array" ref="AM52">bdRateExtend($G52:$G55,L52:L55,$R52:$R55,W52:W55)</f>
        <v>#VALUE!</v>
      </c>
      <c r="AN52" s="248" t="e" cm="1">
        <f t="array" ref="AN52">bdRateExtend($G52:$G57,L52:L57,$R52:$R57,W52:W57)</f>
        <v>#VALUE!</v>
      </c>
      <c r="AO52" s="254" t="e" cm="1">
        <f t="array" ref="AO52">bdRateExtend($G52:$G55,M52:M55,$R52:$R55,X52:X55)</f>
        <v>#VALUE!</v>
      </c>
      <c r="AP52" s="248" t="e" cm="1">
        <f t="array" ref="AP52">bdRateExtend($G52:$G57,M52:M57,$R52:$R57,X52:X57)</f>
        <v>#VALUE!</v>
      </c>
    </row>
    <row r="53" spans="1:42" ht="17.100000000000001" customHeight="1" outlineLevel="4" x14ac:dyDescent="0.25">
      <c r="A53" s="222"/>
      <c r="B53" s="219"/>
      <c r="C53" s="229"/>
      <c r="D53" s="232"/>
      <c r="E53" s="235"/>
      <c r="F53" s="16">
        <v>31</v>
      </c>
      <c r="G53" s="34"/>
      <c r="H53" s="39"/>
      <c r="I53" s="39"/>
      <c r="J53" s="39"/>
      <c r="K53" s="39"/>
      <c r="L53" s="39"/>
      <c r="M53" s="39"/>
      <c r="N53" s="39"/>
      <c r="O53" s="39"/>
      <c r="P53" s="35"/>
      <c r="Q53" s="18"/>
      <c r="R53" s="34"/>
      <c r="S53" s="39"/>
      <c r="T53" s="39"/>
      <c r="U53" s="39"/>
      <c r="V53" s="39"/>
      <c r="W53" s="39"/>
      <c r="X53" s="39"/>
      <c r="Y53" s="39"/>
      <c r="Z53" s="39"/>
      <c r="AA53" s="35"/>
      <c r="AB53" s="50" t="e">
        <f t="shared" si="1"/>
        <v>#DIV/0!</v>
      </c>
      <c r="AC53" s="51" t="e">
        <f t="shared" si="1"/>
        <v>#DIV/0!</v>
      </c>
      <c r="AD53" s="19"/>
      <c r="AE53" s="19"/>
      <c r="AF53" s="285"/>
      <c r="AG53" s="240"/>
      <c r="AH53" s="242"/>
      <c r="AI53" s="242"/>
      <c r="AJ53" s="245"/>
      <c r="AK53" s="240"/>
      <c r="AL53" s="249"/>
      <c r="AM53" s="240"/>
      <c r="AN53" s="249"/>
      <c r="AO53" s="252"/>
      <c r="AP53" s="249"/>
    </row>
    <row r="54" spans="1:42" ht="17.100000000000001" customHeight="1" outlineLevel="4" x14ac:dyDescent="0.25">
      <c r="A54" s="222"/>
      <c r="B54" s="219"/>
      <c r="C54" s="229"/>
      <c r="D54" s="232"/>
      <c r="E54" s="235"/>
      <c r="F54" s="16">
        <v>39</v>
      </c>
      <c r="G54" s="34"/>
      <c r="H54" s="39"/>
      <c r="I54" s="39"/>
      <c r="J54" s="39"/>
      <c r="K54" s="39"/>
      <c r="L54" s="39"/>
      <c r="M54" s="39"/>
      <c r="N54" s="39"/>
      <c r="O54" s="39"/>
      <c r="P54" s="35"/>
      <c r="Q54" s="18"/>
      <c r="R54" s="34"/>
      <c r="S54" s="39"/>
      <c r="T54" s="39"/>
      <c r="U54" s="39"/>
      <c r="V54" s="39"/>
      <c r="W54" s="39"/>
      <c r="X54" s="39"/>
      <c r="Y54" s="39"/>
      <c r="Z54" s="39"/>
      <c r="AA54" s="35"/>
      <c r="AB54" s="50" t="e">
        <f t="shared" si="1"/>
        <v>#DIV/0!</v>
      </c>
      <c r="AC54" s="51" t="e">
        <f t="shared" si="1"/>
        <v>#DIV/0!</v>
      </c>
      <c r="AD54" s="19"/>
      <c r="AE54" s="19"/>
      <c r="AF54" s="285" t="s">
        <v>127</v>
      </c>
      <c r="AG54" s="240" t="e" cm="1">
        <f t="array" ref="AG54">bdRateExtend($G53:$G56,G53:G56,$R53:$R56,R53:R56)</f>
        <v>#VALUE!</v>
      </c>
      <c r="AH54" s="242"/>
      <c r="AI54" s="242"/>
      <c r="AJ54" s="245"/>
      <c r="AK54" s="240" t="e" cm="1">
        <f t="array" ref="AK54">bdRateExtend($G53:$G56,K53:K56,$R53:$R56,V53:V56)</f>
        <v>#VALUE!</v>
      </c>
      <c r="AL54" s="249"/>
      <c r="AM54" s="240" t="e" cm="1">
        <f t="array" ref="AM54">bdRateExtend($G53:$G56,L53:L56,$R53:$R56,W53:W56)</f>
        <v>#VALUE!</v>
      </c>
      <c r="AN54" s="249"/>
      <c r="AO54" s="252" t="e" cm="1">
        <f t="array" ref="AO54">bdRateExtend($G53:$G56,M53:M56,$R53:$R56,X53:X56)</f>
        <v>#VALUE!</v>
      </c>
      <c r="AP54" s="249"/>
    </row>
    <row r="55" spans="1:42" ht="17.100000000000001" customHeight="1" outlineLevel="4" x14ac:dyDescent="0.25">
      <c r="A55" s="222"/>
      <c r="B55" s="219"/>
      <c r="C55" s="229"/>
      <c r="D55" s="232"/>
      <c r="E55" s="235"/>
      <c r="F55" s="16">
        <v>47</v>
      </c>
      <c r="G55" s="34"/>
      <c r="H55" s="39"/>
      <c r="I55" s="39"/>
      <c r="J55" s="39"/>
      <c r="K55" s="39"/>
      <c r="L55" s="39"/>
      <c r="M55" s="39"/>
      <c r="N55" s="39"/>
      <c r="O55" s="39"/>
      <c r="P55" s="35"/>
      <c r="Q55" s="18"/>
      <c r="R55" s="34"/>
      <c r="S55" s="39"/>
      <c r="T55" s="39"/>
      <c r="U55" s="39"/>
      <c r="V55" s="39"/>
      <c r="W55" s="39"/>
      <c r="X55" s="39"/>
      <c r="Y55" s="39"/>
      <c r="Z55" s="39"/>
      <c r="AA55" s="35"/>
      <c r="AB55" s="50" t="e">
        <f t="shared" si="1"/>
        <v>#DIV/0!</v>
      </c>
      <c r="AC55" s="51" t="e">
        <f t="shared" si="1"/>
        <v>#DIV/0!</v>
      </c>
      <c r="AD55" s="19"/>
      <c r="AE55" s="19"/>
      <c r="AF55" s="285"/>
      <c r="AG55" s="240"/>
      <c r="AH55" s="242"/>
      <c r="AI55" s="242"/>
      <c r="AJ55" s="245"/>
      <c r="AK55" s="240"/>
      <c r="AL55" s="249"/>
      <c r="AM55" s="240"/>
      <c r="AN55" s="249"/>
      <c r="AO55" s="252"/>
      <c r="AP55" s="249"/>
    </row>
    <row r="56" spans="1:42" ht="17.100000000000001" customHeight="1" outlineLevel="4" x14ac:dyDescent="0.25">
      <c r="A56" s="222"/>
      <c r="B56" s="219"/>
      <c r="C56" s="229"/>
      <c r="D56" s="232"/>
      <c r="E56" s="235"/>
      <c r="F56" s="16">
        <v>55</v>
      </c>
      <c r="G56" s="34"/>
      <c r="H56" s="39"/>
      <c r="I56" s="39"/>
      <c r="J56" s="39"/>
      <c r="K56" s="39"/>
      <c r="L56" s="39"/>
      <c r="M56" s="39"/>
      <c r="N56" s="39"/>
      <c r="O56" s="39"/>
      <c r="P56" s="35"/>
      <c r="Q56" s="18"/>
      <c r="R56" s="34"/>
      <c r="S56" s="39"/>
      <c r="T56" s="39"/>
      <c r="U56" s="39"/>
      <c r="V56" s="39"/>
      <c r="W56" s="39"/>
      <c r="X56" s="39"/>
      <c r="Y56" s="39"/>
      <c r="Z56" s="39"/>
      <c r="AA56" s="35"/>
      <c r="AB56" s="50" t="e">
        <f t="shared" si="1"/>
        <v>#DIV/0!</v>
      </c>
      <c r="AC56" s="51" t="e">
        <f t="shared" si="1"/>
        <v>#DIV/0!</v>
      </c>
      <c r="AD56" s="19"/>
      <c r="AE56" s="19"/>
      <c r="AF56" s="285" t="s">
        <v>128</v>
      </c>
      <c r="AG56" s="240" t="e" cm="1">
        <f t="array" ref="AG56">bdRateExtend($G54:$G57,G54:G57,$R54:$R57,R54:R57)</f>
        <v>#VALUE!</v>
      </c>
      <c r="AH56" s="242"/>
      <c r="AI56" s="242"/>
      <c r="AJ56" s="245"/>
      <c r="AK56" s="240" t="e" cm="1">
        <f t="array" ref="AK56">bdRateExtend($G54:$G57,K54:K57,$R54:$R57,V54:V57)</f>
        <v>#VALUE!</v>
      </c>
      <c r="AL56" s="249"/>
      <c r="AM56" s="240" t="e" cm="1">
        <f t="array" ref="AM56">bdRateExtend($G54:$G57,L54:L57,$R54:$R57,W54:W57)</f>
        <v>#VALUE!</v>
      </c>
      <c r="AN56" s="249"/>
      <c r="AO56" s="252" t="e" cm="1">
        <f t="array" ref="AO56">bdRateExtend($G54:$G57,M54:M57,$R54:$R57,X54:X57)</f>
        <v>#VALUE!</v>
      </c>
      <c r="AP56" s="249"/>
    </row>
    <row r="57" spans="1:42" ht="17.100000000000001" customHeight="1" outlineLevel="4" thickBot="1" x14ac:dyDescent="0.3">
      <c r="A57" s="222"/>
      <c r="B57" s="220"/>
      <c r="C57" s="230"/>
      <c r="D57" s="233"/>
      <c r="E57" s="236"/>
      <c r="F57" s="9">
        <v>63</v>
      </c>
      <c r="G57" s="36"/>
      <c r="H57" s="37"/>
      <c r="I57" s="37"/>
      <c r="J57" s="37"/>
      <c r="K57" s="37"/>
      <c r="L57" s="37"/>
      <c r="M57" s="37"/>
      <c r="N57" s="37"/>
      <c r="O57" s="37"/>
      <c r="P57" s="38"/>
      <c r="Q57" s="18"/>
      <c r="R57" s="36"/>
      <c r="S57" s="37"/>
      <c r="T57" s="37"/>
      <c r="U57" s="37"/>
      <c r="V57" s="37"/>
      <c r="W57" s="37"/>
      <c r="X57" s="37"/>
      <c r="Y57" s="37"/>
      <c r="Z57" s="37"/>
      <c r="AA57" s="38"/>
      <c r="AB57" s="52" t="e">
        <f t="shared" si="1"/>
        <v>#DIV/0!</v>
      </c>
      <c r="AC57" s="53" t="e">
        <f t="shared" si="1"/>
        <v>#DIV/0!</v>
      </c>
      <c r="AD57" s="19"/>
      <c r="AE57" s="19"/>
      <c r="AF57" s="286"/>
      <c r="AG57" s="247"/>
      <c r="AH57" s="243"/>
      <c r="AI57" s="243"/>
      <c r="AJ57" s="246"/>
      <c r="AK57" s="247"/>
      <c r="AL57" s="250"/>
      <c r="AM57" s="247"/>
      <c r="AN57" s="250"/>
      <c r="AO57" s="253"/>
      <c r="AP57" s="250"/>
    </row>
    <row r="58" spans="1:42" ht="17.100000000000001" customHeight="1" outlineLevel="4" x14ac:dyDescent="0.25">
      <c r="A58" s="222"/>
      <c r="B58" s="218" t="s">
        <v>2</v>
      </c>
      <c r="C58" s="228" t="s">
        <v>38</v>
      </c>
      <c r="D58" s="231">
        <v>59.94</v>
      </c>
      <c r="E58" s="234">
        <v>10</v>
      </c>
      <c r="F58" s="7">
        <v>23</v>
      </c>
      <c r="G58" s="31"/>
      <c r="H58" s="32"/>
      <c r="I58" s="32"/>
      <c r="J58" s="32"/>
      <c r="K58" s="32"/>
      <c r="L58" s="32"/>
      <c r="M58" s="32"/>
      <c r="N58" s="32"/>
      <c r="O58" s="32"/>
      <c r="P58" s="33"/>
      <c r="Q58" s="18"/>
      <c r="R58" s="31"/>
      <c r="S58" s="32"/>
      <c r="T58" s="32"/>
      <c r="U58" s="32"/>
      <c r="V58" s="32"/>
      <c r="W58" s="32"/>
      <c r="X58" s="32"/>
      <c r="Y58" s="32"/>
      <c r="Z58" s="32"/>
      <c r="AA58" s="33"/>
      <c r="AB58" s="48" t="e">
        <f t="shared" si="1"/>
        <v>#DIV/0!</v>
      </c>
      <c r="AC58" s="49" t="e">
        <f t="shared" si="1"/>
        <v>#DIV/0!</v>
      </c>
      <c r="AD58" s="19"/>
      <c r="AE58" s="19"/>
      <c r="AF58" s="284" t="s">
        <v>126</v>
      </c>
      <c r="AG58" s="239" t="e" cm="1">
        <f t="array" ref="AG58">bdRateExtend($G58:$G61,G58:G61,$R58:$R61,R58:R61)</f>
        <v>#VALUE!</v>
      </c>
      <c r="AH58" s="241" t="e" cm="1">
        <f t="array" ref="AH58">bdRateExtend($G58:$G63,H58:H63,$R58:$R63,S58:S63)</f>
        <v>#VALUE!</v>
      </c>
      <c r="AI58" s="241" t="e" cm="1">
        <f t="array" ref="AI58">bdRateExtend($G58:$G63,I58:I63,$R58:$R63,T58:T63)</f>
        <v>#VALUE!</v>
      </c>
      <c r="AJ58" s="244" t="e" cm="1">
        <f t="array" ref="AJ58">bdRateExtend($G58:$G63,J58:J63,$R58:$R63,U58:U63)</f>
        <v>#VALUE!</v>
      </c>
      <c r="AK58" s="239" t="e" cm="1">
        <f t="array" ref="AK58">bdRateExtend($G58:$G61,K58:K61,$R58:$R61,V58:V61)</f>
        <v>#VALUE!</v>
      </c>
      <c r="AL58" s="248" t="e" cm="1">
        <f t="array" ref="AL58">bdRateExtend($G58:$G63,K58:K63,$R58:$R63,V58:V63)</f>
        <v>#VALUE!</v>
      </c>
      <c r="AM58" s="239" t="e" cm="1">
        <f t="array" ref="AM58">bdRateExtend($G58:$G61,L58:L61,$R58:$R61,W58:W61)</f>
        <v>#VALUE!</v>
      </c>
      <c r="AN58" s="248" t="e" cm="1">
        <f t="array" ref="AN58">bdRateExtend($G58:$G63,L58:L63,$R58:$R63,W58:W63)</f>
        <v>#VALUE!</v>
      </c>
      <c r="AO58" s="254" t="e" cm="1">
        <f t="array" ref="AO58">bdRateExtend($G58:$G61,M58:M61,$R58:$R61,X58:X61)</f>
        <v>#VALUE!</v>
      </c>
      <c r="AP58" s="248" t="e" cm="1">
        <f t="array" ref="AP58">bdRateExtend($G58:$G63,M58:M63,$R58:$R63,X58:X63)</f>
        <v>#VALUE!</v>
      </c>
    </row>
    <row r="59" spans="1:42" ht="17.100000000000001" customHeight="1" outlineLevel="4" x14ac:dyDescent="0.25">
      <c r="A59" s="222"/>
      <c r="B59" s="219"/>
      <c r="C59" s="229"/>
      <c r="D59" s="232"/>
      <c r="E59" s="235"/>
      <c r="F59" s="16">
        <v>31</v>
      </c>
      <c r="G59" s="34"/>
      <c r="H59" s="39"/>
      <c r="I59" s="39"/>
      <c r="J59" s="39"/>
      <c r="K59" s="39"/>
      <c r="L59" s="39"/>
      <c r="M59" s="39"/>
      <c r="N59" s="39"/>
      <c r="O59" s="39"/>
      <c r="P59" s="35"/>
      <c r="Q59" s="18"/>
      <c r="R59" s="34"/>
      <c r="S59" s="39"/>
      <c r="T59" s="39"/>
      <c r="U59" s="39"/>
      <c r="V59" s="39"/>
      <c r="W59" s="39"/>
      <c r="X59" s="39"/>
      <c r="Y59" s="39"/>
      <c r="Z59" s="39"/>
      <c r="AA59" s="35"/>
      <c r="AB59" s="50" t="e">
        <f t="shared" si="1"/>
        <v>#DIV/0!</v>
      </c>
      <c r="AC59" s="51" t="e">
        <f t="shared" si="1"/>
        <v>#DIV/0!</v>
      </c>
      <c r="AD59" s="19"/>
      <c r="AE59" s="19"/>
      <c r="AF59" s="285"/>
      <c r="AG59" s="240"/>
      <c r="AH59" s="242"/>
      <c r="AI59" s="242"/>
      <c r="AJ59" s="245"/>
      <c r="AK59" s="240"/>
      <c r="AL59" s="249"/>
      <c r="AM59" s="240"/>
      <c r="AN59" s="249"/>
      <c r="AO59" s="252"/>
      <c r="AP59" s="249"/>
    </row>
    <row r="60" spans="1:42" ht="17.100000000000001" customHeight="1" outlineLevel="4" x14ac:dyDescent="0.25">
      <c r="A60" s="222"/>
      <c r="B60" s="219"/>
      <c r="C60" s="229"/>
      <c r="D60" s="232"/>
      <c r="E60" s="235"/>
      <c r="F60" s="16">
        <v>39</v>
      </c>
      <c r="G60" s="34"/>
      <c r="H60" s="39"/>
      <c r="I60" s="39"/>
      <c r="J60" s="39"/>
      <c r="K60" s="39"/>
      <c r="L60" s="39"/>
      <c r="M60" s="39"/>
      <c r="N60" s="39"/>
      <c r="O60" s="39"/>
      <c r="P60" s="35"/>
      <c r="Q60" s="18"/>
      <c r="R60" s="34"/>
      <c r="S60" s="39"/>
      <c r="T60" s="39"/>
      <c r="U60" s="39"/>
      <c r="V60" s="39"/>
      <c r="W60" s="39"/>
      <c r="X60" s="39"/>
      <c r="Y60" s="39"/>
      <c r="Z60" s="39"/>
      <c r="AA60" s="35"/>
      <c r="AB60" s="50" t="e">
        <f t="shared" si="1"/>
        <v>#DIV/0!</v>
      </c>
      <c r="AC60" s="51" t="e">
        <f t="shared" si="1"/>
        <v>#DIV/0!</v>
      </c>
      <c r="AD60" s="19"/>
      <c r="AE60" s="19"/>
      <c r="AF60" s="285" t="s">
        <v>127</v>
      </c>
      <c r="AG60" s="240" t="e" cm="1">
        <f t="array" ref="AG60">bdRateExtend($G59:$G62,G59:G62,$R59:$R62,R59:R62)</f>
        <v>#VALUE!</v>
      </c>
      <c r="AH60" s="242"/>
      <c r="AI60" s="242"/>
      <c r="AJ60" s="245"/>
      <c r="AK60" s="240" t="e" cm="1">
        <f t="array" ref="AK60">bdRateExtend($G59:$G62,K59:K62,$R59:$R62,V59:V62)</f>
        <v>#VALUE!</v>
      </c>
      <c r="AL60" s="249"/>
      <c r="AM60" s="240" t="e" cm="1">
        <f t="array" ref="AM60">bdRateExtend($G59:$G62,L59:L62,$R59:$R62,W59:W62)</f>
        <v>#VALUE!</v>
      </c>
      <c r="AN60" s="249"/>
      <c r="AO60" s="252" t="e" cm="1">
        <f t="array" ref="AO60">bdRateExtend($G59:$G62,M59:M62,$R59:$R62,X59:X62)</f>
        <v>#VALUE!</v>
      </c>
      <c r="AP60" s="249"/>
    </row>
    <row r="61" spans="1:42" ht="17.100000000000001" customHeight="1" outlineLevel="4" x14ac:dyDescent="0.25">
      <c r="A61" s="222"/>
      <c r="B61" s="219"/>
      <c r="C61" s="229"/>
      <c r="D61" s="232"/>
      <c r="E61" s="235"/>
      <c r="F61" s="16">
        <v>47</v>
      </c>
      <c r="G61" s="34"/>
      <c r="H61" s="39"/>
      <c r="I61" s="39"/>
      <c r="J61" s="39"/>
      <c r="K61" s="39"/>
      <c r="L61" s="39"/>
      <c r="M61" s="39"/>
      <c r="N61" s="39"/>
      <c r="O61" s="39"/>
      <c r="P61" s="35"/>
      <c r="Q61" s="18"/>
      <c r="R61" s="34"/>
      <c r="S61" s="39"/>
      <c r="T61" s="39"/>
      <c r="U61" s="39"/>
      <c r="V61" s="39"/>
      <c r="W61" s="39"/>
      <c r="X61" s="39"/>
      <c r="Y61" s="39"/>
      <c r="Z61" s="39"/>
      <c r="AA61" s="35"/>
      <c r="AB61" s="50" t="e">
        <f t="shared" si="1"/>
        <v>#DIV/0!</v>
      </c>
      <c r="AC61" s="51" t="e">
        <f t="shared" si="1"/>
        <v>#DIV/0!</v>
      </c>
      <c r="AD61" s="19"/>
      <c r="AE61" s="19"/>
      <c r="AF61" s="285"/>
      <c r="AG61" s="240"/>
      <c r="AH61" s="242"/>
      <c r="AI61" s="242"/>
      <c r="AJ61" s="245"/>
      <c r="AK61" s="240"/>
      <c r="AL61" s="249"/>
      <c r="AM61" s="240"/>
      <c r="AN61" s="249"/>
      <c r="AO61" s="252"/>
      <c r="AP61" s="249"/>
    </row>
    <row r="62" spans="1:42" ht="17.100000000000001" customHeight="1" outlineLevel="4" x14ac:dyDescent="0.25">
      <c r="A62" s="222"/>
      <c r="B62" s="219"/>
      <c r="C62" s="229"/>
      <c r="D62" s="232"/>
      <c r="E62" s="235"/>
      <c r="F62" s="16">
        <v>55</v>
      </c>
      <c r="G62" s="34"/>
      <c r="H62" s="39"/>
      <c r="I62" s="39"/>
      <c r="J62" s="39"/>
      <c r="K62" s="39"/>
      <c r="L62" s="39"/>
      <c r="M62" s="39"/>
      <c r="N62" s="39"/>
      <c r="O62" s="39"/>
      <c r="P62" s="35"/>
      <c r="Q62" s="18"/>
      <c r="R62" s="34"/>
      <c r="S62" s="39"/>
      <c r="T62" s="39"/>
      <c r="U62" s="39"/>
      <c r="V62" s="39"/>
      <c r="W62" s="39"/>
      <c r="X62" s="39"/>
      <c r="Y62" s="39"/>
      <c r="Z62" s="39"/>
      <c r="AA62" s="35"/>
      <c r="AB62" s="50" t="e">
        <f t="shared" si="1"/>
        <v>#DIV/0!</v>
      </c>
      <c r="AC62" s="51" t="e">
        <f t="shared" si="1"/>
        <v>#DIV/0!</v>
      </c>
      <c r="AD62" s="19"/>
      <c r="AE62" s="19"/>
      <c r="AF62" s="285" t="s">
        <v>128</v>
      </c>
      <c r="AG62" s="240" t="e" cm="1">
        <f t="array" ref="AG62">bdRateExtend($G60:$G63,G60:G63,$R60:$R63,R60:R63)</f>
        <v>#VALUE!</v>
      </c>
      <c r="AH62" s="242"/>
      <c r="AI62" s="242"/>
      <c r="AJ62" s="245"/>
      <c r="AK62" s="240" t="e" cm="1">
        <f t="array" ref="AK62">bdRateExtend($G60:$G63,K60:K63,$R60:$R63,V60:V63)</f>
        <v>#VALUE!</v>
      </c>
      <c r="AL62" s="249"/>
      <c r="AM62" s="240" t="e" cm="1">
        <f t="array" ref="AM62">bdRateExtend($G60:$G63,L60:L63,$R60:$R63,W60:W63)</f>
        <v>#VALUE!</v>
      </c>
      <c r="AN62" s="249"/>
      <c r="AO62" s="252" t="e" cm="1">
        <f t="array" ref="AO62">bdRateExtend($G60:$G63,M60:M63,$R60:$R63,X60:X63)</f>
        <v>#VALUE!</v>
      </c>
      <c r="AP62" s="249"/>
    </row>
    <row r="63" spans="1:42" ht="17.100000000000001" customHeight="1" outlineLevel="4" thickBot="1" x14ac:dyDescent="0.3">
      <c r="A63" s="222"/>
      <c r="B63" s="220"/>
      <c r="C63" s="230"/>
      <c r="D63" s="233"/>
      <c r="E63" s="236"/>
      <c r="F63" s="9">
        <v>63</v>
      </c>
      <c r="G63" s="36"/>
      <c r="H63" s="37"/>
      <c r="I63" s="37"/>
      <c r="J63" s="37"/>
      <c r="K63" s="37"/>
      <c r="L63" s="37"/>
      <c r="M63" s="37"/>
      <c r="N63" s="37"/>
      <c r="O63" s="37"/>
      <c r="P63" s="38"/>
      <c r="Q63" s="18"/>
      <c r="R63" s="36"/>
      <c r="S63" s="37"/>
      <c r="T63" s="37"/>
      <c r="U63" s="37"/>
      <c r="V63" s="37"/>
      <c r="W63" s="37"/>
      <c r="X63" s="37"/>
      <c r="Y63" s="37"/>
      <c r="Z63" s="37"/>
      <c r="AA63" s="38"/>
      <c r="AB63" s="52" t="e">
        <f t="shared" si="1"/>
        <v>#DIV/0!</v>
      </c>
      <c r="AC63" s="53" t="e">
        <f t="shared" si="1"/>
        <v>#DIV/0!</v>
      </c>
      <c r="AD63" s="19"/>
      <c r="AE63" s="19"/>
      <c r="AF63" s="286"/>
      <c r="AG63" s="247"/>
      <c r="AH63" s="243"/>
      <c r="AI63" s="243"/>
      <c r="AJ63" s="246"/>
      <c r="AK63" s="247"/>
      <c r="AL63" s="250"/>
      <c r="AM63" s="247"/>
      <c r="AN63" s="250"/>
      <c r="AO63" s="253"/>
      <c r="AP63" s="250"/>
    </row>
    <row r="64" spans="1:42" ht="17.100000000000001" customHeight="1" outlineLevel="4" x14ac:dyDescent="0.25">
      <c r="A64" s="222"/>
      <c r="B64" s="218" t="s">
        <v>2</v>
      </c>
      <c r="C64" s="228" t="s">
        <v>39</v>
      </c>
      <c r="D64" s="231">
        <v>50</v>
      </c>
      <c r="E64" s="234" t="s">
        <v>22</v>
      </c>
      <c r="F64" s="7">
        <v>23</v>
      </c>
      <c r="G64" s="31"/>
      <c r="H64" s="32"/>
      <c r="I64" s="32"/>
      <c r="J64" s="32"/>
      <c r="K64" s="32"/>
      <c r="L64" s="32"/>
      <c r="M64" s="32"/>
      <c r="N64" s="32"/>
      <c r="O64" s="32"/>
      <c r="P64" s="33"/>
      <c r="Q64" s="18"/>
      <c r="R64" s="31"/>
      <c r="S64" s="32"/>
      <c r="T64" s="32"/>
      <c r="U64" s="32"/>
      <c r="V64" s="32"/>
      <c r="W64" s="32"/>
      <c r="X64" s="32"/>
      <c r="Y64" s="32"/>
      <c r="Z64" s="32"/>
      <c r="AA64" s="33"/>
      <c r="AB64" s="48" t="e">
        <f t="shared" si="1"/>
        <v>#DIV/0!</v>
      </c>
      <c r="AC64" s="49" t="e">
        <f t="shared" si="1"/>
        <v>#DIV/0!</v>
      </c>
      <c r="AD64" s="19"/>
      <c r="AE64" s="19"/>
      <c r="AF64" s="284" t="s">
        <v>126</v>
      </c>
      <c r="AG64" s="239" t="e" cm="1">
        <f t="array" ref="AG64">bdRateExtend($G64:$G67,G64:G67,$R64:$R67,R64:R67)</f>
        <v>#VALUE!</v>
      </c>
      <c r="AH64" s="241" t="e" cm="1">
        <f t="array" ref="AH64">bdRateExtend($G64:$G69,H64:H69,$R64:$R69,S64:S69)</f>
        <v>#VALUE!</v>
      </c>
      <c r="AI64" s="241" t="e" cm="1">
        <f t="array" ref="AI64">bdRateExtend($G64:$G69,I64:I69,$R64:$R69,T64:T69)</f>
        <v>#VALUE!</v>
      </c>
      <c r="AJ64" s="244" t="e" cm="1">
        <f t="array" ref="AJ64">bdRateExtend($G64:$G69,J64:J69,$R64:$R69,U64:U69)</f>
        <v>#VALUE!</v>
      </c>
      <c r="AK64" s="239" t="e" cm="1">
        <f t="array" ref="AK64">bdRateExtend($G64:$G67,K64:K67,$R64:$R67,V64:V67)</f>
        <v>#VALUE!</v>
      </c>
      <c r="AL64" s="248" t="e" cm="1">
        <f t="array" ref="AL64">bdRateExtend($G64:$G69,K64:K69,$R64:$R69,V64:V69)</f>
        <v>#VALUE!</v>
      </c>
      <c r="AM64" s="239" t="e" cm="1">
        <f t="array" ref="AM64">bdRateExtend($G64:$G67,L64:L67,$R64:$R67,W64:W67)</f>
        <v>#VALUE!</v>
      </c>
      <c r="AN64" s="248" t="e" cm="1">
        <f t="array" ref="AN64">bdRateExtend($G64:$G69,L64:L69,$R64:$R69,W64:W69)</f>
        <v>#VALUE!</v>
      </c>
      <c r="AO64" s="254" t="e" cm="1">
        <f t="array" ref="AO64">bdRateExtend($G64:$G67,M64:M67,$R64:$R67,X64:X67)</f>
        <v>#VALUE!</v>
      </c>
      <c r="AP64" s="248" t="e" cm="1">
        <f t="array" ref="AP64">bdRateExtend($G64:$G69,M64:M69,$R64:$R69,X64:X69)</f>
        <v>#VALUE!</v>
      </c>
    </row>
    <row r="65" spans="1:42" ht="17.100000000000001" customHeight="1" outlineLevel="4" x14ac:dyDescent="0.25">
      <c r="A65" s="222"/>
      <c r="B65" s="219"/>
      <c r="C65" s="229"/>
      <c r="D65" s="232"/>
      <c r="E65" s="235"/>
      <c r="F65" s="16">
        <v>31</v>
      </c>
      <c r="G65" s="34"/>
      <c r="H65" s="39"/>
      <c r="I65" s="39"/>
      <c r="J65" s="39"/>
      <c r="K65" s="39"/>
      <c r="L65" s="39"/>
      <c r="M65" s="39"/>
      <c r="N65" s="39"/>
      <c r="O65" s="39"/>
      <c r="P65" s="35"/>
      <c r="Q65" s="18"/>
      <c r="R65" s="34"/>
      <c r="S65" s="39"/>
      <c r="T65" s="39"/>
      <c r="U65" s="39"/>
      <c r="V65" s="39"/>
      <c r="W65" s="39"/>
      <c r="X65" s="39"/>
      <c r="Y65" s="39"/>
      <c r="Z65" s="39"/>
      <c r="AA65" s="35"/>
      <c r="AB65" s="50" t="e">
        <f t="shared" si="1"/>
        <v>#DIV/0!</v>
      </c>
      <c r="AC65" s="51" t="e">
        <f t="shared" si="1"/>
        <v>#DIV/0!</v>
      </c>
      <c r="AD65" s="19"/>
      <c r="AE65" s="19"/>
      <c r="AF65" s="285"/>
      <c r="AG65" s="240"/>
      <c r="AH65" s="242"/>
      <c r="AI65" s="242"/>
      <c r="AJ65" s="245"/>
      <c r="AK65" s="240"/>
      <c r="AL65" s="249"/>
      <c r="AM65" s="240"/>
      <c r="AN65" s="249"/>
      <c r="AO65" s="252"/>
      <c r="AP65" s="249"/>
    </row>
    <row r="66" spans="1:42" ht="17.100000000000001" customHeight="1" outlineLevel="4" x14ac:dyDescent="0.25">
      <c r="A66" s="222"/>
      <c r="B66" s="219"/>
      <c r="C66" s="229"/>
      <c r="D66" s="232"/>
      <c r="E66" s="235"/>
      <c r="F66" s="16">
        <v>39</v>
      </c>
      <c r="G66" s="34"/>
      <c r="H66" s="39"/>
      <c r="I66" s="39"/>
      <c r="J66" s="39"/>
      <c r="K66" s="39"/>
      <c r="L66" s="39"/>
      <c r="M66" s="39"/>
      <c r="N66" s="39"/>
      <c r="O66" s="39"/>
      <c r="P66" s="35"/>
      <c r="Q66" s="18"/>
      <c r="R66" s="34"/>
      <c r="S66" s="39"/>
      <c r="T66" s="39"/>
      <c r="U66" s="39"/>
      <c r="V66" s="39"/>
      <c r="W66" s="39"/>
      <c r="X66" s="39"/>
      <c r="Y66" s="39"/>
      <c r="Z66" s="39"/>
      <c r="AA66" s="35"/>
      <c r="AB66" s="50" t="e">
        <f t="shared" si="1"/>
        <v>#DIV/0!</v>
      </c>
      <c r="AC66" s="51" t="e">
        <f t="shared" si="1"/>
        <v>#DIV/0!</v>
      </c>
      <c r="AD66" s="19"/>
      <c r="AE66" s="19"/>
      <c r="AF66" s="285" t="s">
        <v>127</v>
      </c>
      <c r="AG66" s="240" t="e" cm="1">
        <f t="array" ref="AG66">bdRateExtend($G65:$G68,G65:G68,$R65:$R68,R65:R68)</f>
        <v>#VALUE!</v>
      </c>
      <c r="AH66" s="242"/>
      <c r="AI66" s="242"/>
      <c r="AJ66" s="245"/>
      <c r="AK66" s="240" t="e" cm="1">
        <f t="array" ref="AK66">bdRateExtend($G65:$G68,K65:K68,$R65:$R68,V65:V68)</f>
        <v>#VALUE!</v>
      </c>
      <c r="AL66" s="249"/>
      <c r="AM66" s="240" t="e" cm="1">
        <f t="array" ref="AM66">bdRateExtend($G65:$G68,L65:L68,$R65:$R68,W65:W68)</f>
        <v>#VALUE!</v>
      </c>
      <c r="AN66" s="249"/>
      <c r="AO66" s="252" t="e" cm="1">
        <f t="array" ref="AO66">bdRateExtend($G65:$G68,M65:M68,$R65:$R68,X65:X68)</f>
        <v>#VALUE!</v>
      </c>
      <c r="AP66" s="249"/>
    </row>
    <row r="67" spans="1:42" ht="17.100000000000001" customHeight="1" outlineLevel="4" x14ac:dyDescent="0.25">
      <c r="A67" s="222"/>
      <c r="B67" s="219"/>
      <c r="C67" s="229"/>
      <c r="D67" s="232"/>
      <c r="E67" s="235"/>
      <c r="F67" s="16">
        <v>47</v>
      </c>
      <c r="G67" s="34"/>
      <c r="H67" s="39"/>
      <c r="I67" s="39"/>
      <c r="J67" s="39"/>
      <c r="K67" s="39"/>
      <c r="L67" s="39"/>
      <c r="M67" s="39"/>
      <c r="N67" s="39"/>
      <c r="O67" s="39"/>
      <c r="P67" s="35"/>
      <c r="Q67" s="18"/>
      <c r="R67" s="34"/>
      <c r="S67" s="39"/>
      <c r="T67" s="39"/>
      <c r="U67" s="39"/>
      <c r="V67" s="39"/>
      <c r="W67" s="39"/>
      <c r="X67" s="39"/>
      <c r="Y67" s="39"/>
      <c r="Z67" s="39"/>
      <c r="AA67" s="35"/>
      <c r="AB67" s="50" t="e">
        <f t="shared" si="1"/>
        <v>#DIV/0!</v>
      </c>
      <c r="AC67" s="51" t="e">
        <f t="shared" si="1"/>
        <v>#DIV/0!</v>
      </c>
      <c r="AD67" s="19"/>
      <c r="AE67" s="19"/>
      <c r="AF67" s="285"/>
      <c r="AG67" s="240"/>
      <c r="AH67" s="242"/>
      <c r="AI67" s="242"/>
      <c r="AJ67" s="245"/>
      <c r="AK67" s="240"/>
      <c r="AL67" s="249"/>
      <c r="AM67" s="240"/>
      <c r="AN67" s="249"/>
      <c r="AO67" s="252"/>
      <c r="AP67" s="249"/>
    </row>
    <row r="68" spans="1:42" ht="17.100000000000001" customHeight="1" outlineLevel="4" x14ac:dyDescent="0.25">
      <c r="A68" s="222"/>
      <c r="B68" s="219"/>
      <c r="C68" s="229"/>
      <c r="D68" s="232"/>
      <c r="E68" s="235"/>
      <c r="F68" s="16">
        <v>55</v>
      </c>
      <c r="G68" s="34"/>
      <c r="H68" s="39"/>
      <c r="I68" s="39"/>
      <c r="J68" s="39"/>
      <c r="K68" s="39"/>
      <c r="L68" s="39"/>
      <c r="M68" s="39"/>
      <c r="N68" s="39"/>
      <c r="O68" s="39"/>
      <c r="P68" s="35"/>
      <c r="Q68" s="18"/>
      <c r="R68" s="34"/>
      <c r="S68" s="39"/>
      <c r="T68" s="39"/>
      <c r="U68" s="39"/>
      <c r="V68" s="39"/>
      <c r="W68" s="39"/>
      <c r="X68" s="39"/>
      <c r="Y68" s="39"/>
      <c r="Z68" s="39"/>
      <c r="AA68" s="35"/>
      <c r="AB68" s="50" t="e">
        <f t="shared" si="1"/>
        <v>#DIV/0!</v>
      </c>
      <c r="AC68" s="51" t="e">
        <f t="shared" si="1"/>
        <v>#DIV/0!</v>
      </c>
      <c r="AD68" s="19"/>
      <c r="AE68" s="19"/>
      <c r="AF68" s="285" t="s">
        <v>128</v>
      </c>
      <c r="AG68" s="240" t="e" cm="1">
        <f t="array" ref="AG68">bdRateExtend($G66:$G69,G66:G69,$R66:$R69,R66:R69)</f>
        <v>#VALUE!</v>
      </c>
      <c r="AH68" s="242"/>
      <c r="AI68" s="242"/>
      <c r="AJ68" s="245"/>
      <c r="AK68" s="240" t="e" cm="1">
        <f t="array" ref="AK68">bdRateExtend($G66:$G69,K66:K69,$R66:$R69,V66:V69)</f>
        <v>#VALUE!</v>
      </c>
      <c r="AL68" s="249"/>
      <c r="AM68" s="240" t="e" cm="1">
        <f t="array" ref="AM68">bdRateExtend($G66:$G69,L66:L69,$R66:$R69,W66:W69)</f>
        <v>#VALUE!</v>
      </c>
      <c r="AN68" s="249"/>
      <c r="AO68" s="252" t="e" cm="1">
        <f t="array" ref="AO68">bdRateExtend($G66:$G69,M66:M69,$R66:$R69,X66:X69)</f>
        <v>#VALUE!</v>
      </c>
      <c r="AP68" s="249"/>
    </row>
    <row r="69" spans="1:42" ht="17.100000000000001" customHeight="1" outlineLevel="4" thickBot="1" x14ac:dyDescent="0.3">
      <c r="A69" s="222"/>
      <c r="B69" s="220"/>
      <c r="C69" s="230"/>
      <c r="D69" s="233"/>
      <c r="E69" s="236"/>
      <c r="F69" s="9">
        <v>63</v>
      </c>
      <c r="G69" s="36"/>
      <c r="H69" s="37"/>
      <c r="I69" s="37"/>
      <c r="J69" s="37"/>
      <c r="K69" s="37"/>
      <c r="L69" s="37"/>
      <c r="M69" s="37"/>
      <c r="N69" s="37"/>
      <c r="O69" s="37"/>
      <c r="P69" s="38"/>
      <c r="Q69" s="18"/>
      <c r="R69" s="36"/>
      <c r="S69" s="37"/>
      <c r="T69" s="37"/>
      <c r="U69" s="37"/>
      <c r="V69" s="37"/>
      <c r="W69" s="37"/>
      <c r="X69" s="37"/>
      <c r="Y69" s="37"/>
      <c r="Z69" s="37"/>
      <c r="AA69" s="38"/>
      <c r="AB69" s="52" t="e">
        <f t="shared" si="1"/>
        <v>#DIV/0!</v>
      </c>
      <c r="AC69" s="53" t="e">
        <f t="shared" si="1"/>
        <v>#DIV/0!</v>
      </c>
      <c r="AD69" s="19"/>
      <c r="AE69" s="19"/>
      <c r="AF69" s="286"/>
      <c r="AG69" s="247"/>
      <c r="AH69" s="243"/>
      <c r="AI69" s="243"/>
      <c r="AJ69" s="246"/>
      <c r="AK69" s="247"/>
      <c r="AL69" s="250"/>
      <c r="AM69" s="247"/>
      <c r="AN69" s="250"/>
      <c r="AO69" s="253"/>
      <c r="AP69" s="250"/>
    </row>
    <row r="70" spans="1:42" ht="17.100000000000001" customHeight="1" outlineLevel="4" x14ac:dyDescent="0.25">
      <c r="A70" s="222"/>
      <c r="B70" s="218" t="s">
        <v>2</v>
      </c>
      <c r="C70" s="228" t="s">
        <v>40</v>
      </c>
      <c r="D70" s="231">
        <v>29.97</v>
      </c>
      <c r="E70" s="234">
        <v>10</v>
      </c>
      <c r="F70" s="7">
        <v>23</v>
      </c>
      <c r="G70" s="31"/>
      <c r="H70" s="32"/>
      <c r="I70" s="32"/>
      <c r="J70" s="32"/>
      <c r="K70" s="32"/>
      <c r="L70" s="32"/>
      <c r="M70" s="32"/>
      <c r="N70" s="32"/>
      <c r="O70" s="32"/>
      <c r="P70" s="33"/>
      <c r="Q70" s="18"/>
      <c r="R70" s="31"/>
      <c r="S70" s="32"/>
      <c r="T70" s="32"/>
      <c r="U70" s="32"/>
      <c r="V70" s="32"/>
      <c r="W70" s="32"/>
      <c r="X70" s="32"/>
      <c r="Y70" s="32"/>
      <c r="Z70" s="32"/>
      <c r="AA70" s="33"/>
      <c r="AB70" s="48" t="e">
        <f t="shared" si="1"/>
        <v>#DIV/0!</v>
      </c>
      <c r="AC70" s="49" t="e">
        <f t="shared" si="1"/>
        <v>#DIV/0!</v>
      </c>
      <c r="AD70" s="19"/>
      <c r="AE70" s="19"/>
      <c r="AF70" s="284" t="s">
        <v>126</v>
      </c>
      <c r="AG70" s="239" t="e" cm="1">
        <f t="array" ref="AG70">bdRateExtend($G70:$G73,G70:G73,$R70:$R73,R70:R73)</f>
        <v>#VALUE!</v>
      </c>
      <c r="AH70" s="241" t="e" cm="1">
        <f t="array" ref="AH70">bdRateExtend($G70:$G75,H70:H75,$R70:$R75,S70:S75)</f>
        <v>#VALUE!</v>
      </c>
      <c r="AI70" s="241" t="e" cm="1">
        <f t="array" ref="AI70">bdRateExtend($G70:$G75,I70:I75,$R70:$R75,T70:T75)</f>
        <v>#VALUE!</v>
      </c>
      <c r="AJ70" s="244" t="e" cm="1">
        <f t="array" ref="AJ70">bdRateExtend($G70:$G75,J70:J75,$R70:$R75,U70:U75)</f>
        <v>#VALUE!</v>
      </c>
      <c r="AK70" s="239" t="e" cm="1">
        <f t="array" ref="AK70">bdRateExtend($G70:$G73,K70:K73,$R70:$R73,V70:V73)</f>
        <v>#VALUE!</v>
      </c>
      <c r="AL70" s="248" t="e" cm="1">
        <f t="array" ref="AL70">bdRateExtend($G70:$G75,K70:K75,$R70:$R75,V70:V75)</f>
        <v>#VALUE!</v>
      </c>
      <c r="AM70" s="239" t="e" cm="1">
        <f t="array" ref="AM70">bdRateExtend($G70:$G73,L70:L73,$R70:$R73,W70:W73)</f>
        <v>#VALUE!</v>
      </c>
      <c r="AN70" s="248" t="e" cm="1">
        <f t="array" ref="AN70">bdRateExtend($G70:$G75,L70:L75,$R70:$R75,W70:W75)</f>
        <v>#VALUE!</v>
      </c>
      <c r="AO70" s="254" t="e" cm="1">
        <f t="array" ref="AO70">bdRateExtend($G70:$G73,M70:M73,$R70:$R73,X70:X73)</f>
        <v>#VALUE!</v>
      </c>
      <c r="AP70" s="248" t="e" cm="1">
        <f t="array" ref="AP70">bdRateExtend($G70:$G75,M70:M75,$R70:$R75,X70:X75)</f>
        <v>#VALUE!</v>
      </c>
    </row>
    <row r="71" spans="1:42" ht="17.100000000000001" customHeight="1" outlineLevel="4" x14ac:dyDescent="0.25">
      <c r="A71" s="222"/>
      <c r="B71" s="219"/>
      <c r="C71" s="229"/>
      <c r="D71" s="232"/>
      <c r="E71" s="235"/>
      <c r="F71" s="16">
        <v>31</v>
      </c>
      <c r="G71" s="34"/>
      <c r="H71" s="39"/>
      <c r="I71" s="39"/>
      <c r="J71" s="39"/>
      <c r="K71" s="39"/>
      <c r="L71" s="39"/>
      <c r="M71" s="39"/>
      <c r="N71" s="39"/>
      <c r="O71" s="39"/>
      <c r="P71" s="35"/>
      <c r="Q71" s="18"/>
      <c r="R71" s="34"/>
      <c r="S71" s="39"/>
      <c r="T71" s="39"/>
      <c r="U71" s="39"/>
      <c r="V71" s="39"/>
      <c r="W71" s="39"/>
      <c r="X71" s="39"/>
      <c r="Y71" s="39"/>
      <c r="Z71" s="39"/>
      <c r="AA71" s="35"/>
      <c r="AB71" s="50" t="e">
        <f t="shared" si="1"/>
        <v>#DIV/0!</v>
      </c>
      <c r="AC71" s="51" t="e">
        <f t="shared" si="1"/>
        <v>#DIV/0!</v>
      </c>
      <c r="AD71" s="19"/>
      <c r="AE71" s="19"/>
      <c r="AF71" s="285"/>
      <c r="AG71" s="240"/>
      <c r="AH71" s="242"/>
      <c r="AI71" s="242"/>
      <c r="AJ71" s="245"/>
      <c r="AK71" s="240"/>
      <c r="AL71" s="249"/>
      <c r="AM71" s="240"/>
      <c r="AN71" s="249"/>
      <c r="AO71" s="252"/>
      <c r="AP71" s="249"/>
    </row>
    <row r="72" spans="1:42" ht="17.100000000000001" customHeight="1" outlineLevel="4" x14ac:dyDescent="0.25">
      <c r="A72" s="222"/>
      <c r="B72" s="219"/>
      <c r="C72" s="229"/>
      <c r="D72" s="232"/>
      <c r="E72" s="235"/>
      <c r="F72" s="16">
        <v>39</v>
      </c>
      <c r="G72" s="34"/>
      <c r="H72" s="39"/>
      <c r="I72" s="39"/>
      <c r="J72" s="39"/>
      <c r="K72" s="39"/>
      <c r="L72" s="39"/>
      <c r="M72" s="39"/>
      <c r="N72" s="39"/>
      <c r="O72" s="39"/>
      <c r="P72" s="35"/>
      <c r="Q72" s="18"/>
      <c r="R72" s="34"/>
      <c r="S72" s="39"/>
      <c r="T72" s="39"/>
      <c r="U72" s="39"/>
      <c r="V72" s="39"/>
      <c r="W72" s="39"/>
      <c r="X72" s="39"/>
      <c r="Y72" s="39"/>
      <c r="Z72" s="39"/>
      <c r="AA72" s="35"/>
      <c r="AB72" s="50" t="e">
        <f t="shared" si="1"/>
        <v>#DIV/0!</v>
      </c>
      <c r="AC72" s="51" t="e">
        <f t="shared" si="1"/>
        <v>#DIV/0!</v>
      </c>
      <c r="AD72" s="19"/>
      <c r="AE72" s="19"/>
      <c r="AF72" s="285" t="s">
        <v>127</v>
      </c>
      <c r="AG72" s="240" t="e" cm="1">
        <f t="array" ref="AG72">bdRateExtend($G71:$G74,G71:G74,$R71:$R74,R71:R74)</f>
        <v>#VALUE!</v>
      </c>
      <c r="AH72" s="242"/>
      <c r="AI72" s="242"/>
      <c r="AJ72" s="245"/>
      <c r="AK72" s="240" t="e" cm="1">
        <f t="array" ref="AK72">bdRateExtend($G71:$G74,K71:K74,$R71:$R74,V71:V74)</f>
        <v>#VALUE!</v>
      </c>
      <c r="AL72" s="249"/>
      <c r="AM72" s="240" t="e" cm="1">
        <f t="array" ref="AM72">bdRateExtend($G71:$G74,L71:L74,$R71:$R74,W71:W74)</f>
        <v>#VALUE!</v>
      </c>
      <c r="AN72" s="249"/>
      <c r="AO72" s="252" t="e" cm="1">
        <f t="array" ref="AO72">bdRateExtend($G71:$G74,M71:M74,$R71:$R74,X71:X74)</f>
        <v>#VALUE!</v>
      </c>
      <c r="AP72" s="249"/>
    </row>
    <row r="73" spans="1:42" ht="17.100000000000001" customHeight="1" outlineLevel="4" x14ac:dyDescent="0.25">
      <c r="A73" s="222"/>
      <c r="B73" s="219"/>
      <c r="C73" s="229"/>
      <c r="D73" s="232"/>
      <c r="E73" s="235"/>
      <c r="F73" s="16">
        <v>47</v>
      </c>
      <c r="G73" s="34"/>
      <c r="H73" s="39"/>
      <c r="I73" s="39"/>
      <c r="J73" s="39"/>
      <c r="K73" s="39"/>
      <c r="L73" s="39"/>
      <c r="M73" s="39"/>
      <c r="N73" s="39"/>
      <c r="O73" s="39"/>
      <c r="P73" s="35"/>
      <c r="Q73" s="18"/>
      <c r="R73" s="34"/>
      <c r="S73" s="39"/>
      <c r="T73" s="39"/>
      <c r="U73" s="39"/>
      <c r="V73" s="39"/>
      <c r="W73" s="39"/>
      <c r="X73" s="39"/>
      <c r="Y73" s="39"/>
      <c r="Z73" s="39"/>
      <c r="AA73" s="35"/>
      <c r="AB73" s="50" t="e">
        <f t="shared" si="1"/>
        <v>#DIV/0!</v>
      </c>
      <c r="AC73" s="51" t="e">
        <f t="shared" si="1"/>
        <v>#DIV/0!</v>
      </c>
      <c r="AD73" s="19"/>
      <c r="AE73" s="19"/>
      <c r="AF73" s="285"/>
      <c r="AG73" s="240"/>
      <c r="AH73" s="242"/>
      <c r="AI73" s="242"/>
      <c r="AJ73" s="245"/>
      <c r="AK73" s="240"/>
      <c r="AL73" s="249"/>
      <c r="AM73" s="240"/>
      <c r="AN73" s="249"/>
      <c r="AO73" s="252"/>
      <c r="AP73" s="249"/>
    </row>
    <row r="74" spans="1:42" ht="17.100000000000001" customHeight="1" outlineLevel="4" x14ac:dyDescent="0.25">
      <c r="A74" s="222"/>
      <c r="B74" s="219"/>
      <c r="C74" s="229"/>
      <c r="D74" s="232"/>
      <c r="E74" s="235"/>
      <c r="F74" s="16">
        <v>55</v>
      </c>
      <c r="G74" s="34"/>
      <c r="H74" s="39"/>
      <c r="I74" s="39"/>
      <c r="J74" s="39"/>
      <c r="K74" s="39"/>
      <c r="L74" s="39"/>
      <c r="M74" s="39"/>
      <c r="N74" s="39"/>
      <c r="O74" s="39"/>
      <c r="P74" s="35"/>
      <c r="Q74" s="18"/>
      <c r="R74" s="34"/>
      <c r="S74" s="39"/>
      <c r="T74" s="39"/>
      <c r="U74" s="39"/>
      <c r="V74" s="39"/>
      <c r="W74" s="39"/>
      <c r="X74" s="39"/>
      <c r="Y74" s="39"/>
      <c r="Z74" s="39"/>
      <c r="AA74" s="35"/>
      <c r="AB74" s="50" t="e">
        <f t="shared" ref="AB74:AB105" si="2">Y74/N74</f>
        <v>#DIV/0!</v>
      </c>
      <c r="AC74" s="51" t="e">
        <f t="shared" ref="AC74:AC105" si="3">Z74/O74</f>
        <v>#DIV/0!</v>
      </c>
      <c r="AD74" s="19"/>
      <c r="AE74" s="19"/>
      <c r="AF74" s="285" t="s">
        <v>128</v>
      </c>
      <c r="AG74" s="240" t="e" cm="1">
        <f t="array" ref="AG74">bdRateExtend($G72:$G75,G72:G75,$R72:$R75,R72:R75)</f>
        <v>#VALUE!</v>
      </c>
      <c r="AH74" s="242"/>
      <c r="AI74" s="242"/>
      <c r="AJ74" s="245"/>
      <c r="AK74" s="240" t="e" cm="1">
        <f t="array" ref="AK74">bdRateExtend($G72:$G75,K72:K75,$R72:$R75,V72:V75)</f>
        <v>#VALUE!</v>
      </c>
      <c r="AL74" s="249"/>
      <c r="AM74" s="240" t="e" cm="1">
        <f t="array" ref="AM74">bdRateExtend($G72:$G75,L72:L75,$R72:$R75,W72:W75)</f>
        <v>#VALUE!</v>
      </c>
      <c r="AN74" s="249"/>
      <c r="AO74" s="252" t="e" cm="1">
        <f t="array" ref="AO74">bdRateExtend($G72:$G75,M72:M75,$R72:$R75,X72:X75)</f>
        <v>#VALUE!</v>
      </c>
      <c r="AP74" s="249"/>
    </row>
    <row r="75" spans="1:42" ht="17.100000000000001" customHeight="1" outlineLevel="4" thickBot="1" x14ac:dyDescent="0.3">
      <c r="A75" s="222"/>
      <c r="B75" s="220"/>
      <c r="C75" s="230"/>
      <c r="D75" s="233"/>
      <c r="E75" s="236"/>
      <c r="F75" s="9">
        <v>63</v>
      </c>
      <c r="G75" s="36"/>
      <c r="H75" s="37"/>
      <c r="I75" s="37"/>
      <c r="J75" s="37"/>
      <c r="K75" s="37"/>
      <c r="L75" s="37"/>
      <c r="M75" s="37"/>
      <c r="N75" s="37"/>
      <c r="O75" s="37"/>
      <c r="P75" s="38"/>
      <c r="Q75" s="18"/>
      <c r="R75" s="36"/>
      <c r="S75" s="37"/>
      <c r="T75" s="37"/>
      <c r="U75" s="37"/>
      <c r="V75" s="37"/>
      <c r="W75" s="37"/>
      <c r="X75" s="37"/>
      <c r="Y75" s="37"/>
      <c r="Z75" s="37"/>
      <c r="AA75" s="38"/>
      <c r="AB75" s="52" t="e">
        <f t="shared" si="2"/>
        <v>#DIV/0!</v>
      </c>
      <c r="AC75" s="53" t="e">
        <f t="shared" si="3"/>
        <v>#DIV/0!</v>
      </c>
      <c r="AD75" s="19"/>
      <c r="AE75" s="19"/>
      <c r="AF75" s="286"/>
      <c r="AG75" s="247"/>
      <c r="AH75" s="243"/>
      <c r="AI75" s="243"/>
      <c r="AJ75" s="246"/>
      <c r="AK75" s="247"/>
      <c r="AL75" s="250"/>
      <c r="AM75" s="247"/>
      <c r="AN75" s="250"/>
      <c r="AO75" s="253"/>
      <c r="AP75" s="250"/>
    </row>
    <row r="76" spans="1:42" ht="17.100000000000001" customHeight="1" outlineLevel="4" x14ac:dyDescent="0.25">
      <c r="A76" s="222"/>
      <c r="B76" s="218" t="s">
        <v>2</v>
      </c>
      <c r="C76" s="228" t="s">
        <v>41</v>
      </c>
      <c r="D76" s="231">
        <v>59.94</v>
      </c>
      <c r="E76" s="234">
        <v>10</v>
      </c>
      <c r="F76" s="7">
        <v>23</v>
      </c>
      <c r="G76" s="31"/>
      <c r="H76" s="32"/>
      <c r="I76" s="32"/>
      <c r="J76" s="32"/>
      <c r="K76" s="32"/>
      <c r="L76" s="32"/>
      <c r="M76" s="32"/>
      <c r="N76" s="32"/>
      <c r="O76" s="32"/>
      <c r="P76" s="33"/>
      <c r="Q76" s="18"/>
      <c r="R76" s="31"/>
      <c r="S76" s="32"/>
      <c r="T76" s="32"/>
      <c r="U76" s="32"/>
      <c r="V76" s="32"/>
      <c r="W76" s="32"/>
      <c r="X76" s="32"/>
      <c r="Y76" s="32"/>
      <c r="Z76" s="32"/>
      <c r="AA76" s="33"/>
      <c r="AB76" s="48" t="e">
        <f t="shared" si="2"/>
        <v>#DIV/0!</v>
      </c>
      <c r="AC76" s="49" t="e">
        <f t="shared" si="3"/>
        <v>#DIV/0!</v>
      </c>
      <c r="AD76" s="19"/>
      <c r="AE76" s="19"/>
      <c r="AF76" s="284" t="s">
        <v>126</v>
      </c>
      <c r="AG76" s="239" t="e" cm="1">
        <f t="array" ref="AG76">bdRateExtend($G76:$G79,G76:G79,$R76:$R79,R76:R79)</f>
        <v>#VALUE!</v>
      </c>
      <c r="AH76" s="241" t="e" cm="1">
        <f t="array" ref="AH76">bdRateExtend($G76:$G81,H76:H81,$R76:$R81,S76:S81)</f>
        <v>#VALUE!</v>
      </c>
      <c r="AI76" s="241" t="e" cm="1">
        <f t="array" ref="AI76">bdRateExtend($G76:$G81,I76:I81,$R76:$R81,T76:T81)</f>
        <v>#VALUE!</v>
      </c>
      <c r="AJ76" s="244" t="e" cm="1">
        <f t="array" ref="AJ76">bdRateExtend($G76:$G81,J76:J81,$R76:$R81,U76:U81)</f>
        <v>#VALUE!</v>
      </c>
      <c r="AK76" s="239" t="e" cm="1">
        <f t="array" ref="AK76">bdRateExtend($G76:$G79,K76:K79,$R76:$R79,V76:V79)</f>
        <v>#VALUE!</v>
      </c>
      <c r="AL76" s="248" t="e" cm="1">
        <f t="array" ref="AL76">bdRateExtend($G76:$G81,K76:K81,$R76:$R81,V76:V81)</f>
        <v>#VALUE!</v>
      </c>
      <c r="AM76" s="239" t="e" cm="1">
        <f t="array" ref="AM76">bdRateExtend($G76:$G79,L76:L79,$R76:$R79,W76:W79)</f>
        <v>#VALUE!</v>
      </c>
      <c r="AN76" s="248" t="e" cm="1">
        <f t="array" ref="AN76">bdRateExtend($G76:$G81,L76:L81,$R76:$R81,W76:W81)</f>
        <v>#VALUE!</v>
      </c>
      <c r="AO76" s="254" t="e" cm="1">
        <f t="array" ref="AO76">bdRateExtend($G76:$G79,M76:M79,$R76:$R79,X76:X79)</f>
        <v>#VALUE!</v>
      </c>
      <c r="AP76" s="248" t="e" cm="1">
        <f t="array" ref="AP76">bdRateExtend($G76:$G81,M76:M81,$R76:$R81,X76:X81)</f>
        <v>#VALUE!</v>
      </c>
    </row>
    <row r="77" spans="1:42" ht="17.100000000000001" customHeight="1" outlineLevel="4" x14ac:dyDescent="0.25">
      <c r="A77" s="222"/>
      <c r="B77" s="219"/>
      <c r="C77" s="229"/>
      <c r="D77" s="232"/>
      <c r="E77" s="235"/>
      <c r="F77" s="16">
        <v>31</v>
      </c>
      <c r="G77" s="34"/>
      <c r="H77" s="39"/>
      <c r="I77" s="39"/>
      <c r="J77" s="39"/>
      <c r="K77" s="39"/>
      <c r="L77" s="39"/>
      <c r="M77" s="39"/>
      <c r="N77" s="39"/>
      <c r="O77" s="39"/>
      <c r="P77" s="35"/>
      <c r="Q77" s="18"/>
      <c r="R77" s="34"/>
      <c r="S77" s="39"/>
      <c r="T77" s="39"/>
      <c r="U77" s="39"/>
      <c r="V77" s="39"/>
      <c r="W77" s="39"/>
      <c r="X77" s="39"/>
      <c r="Y77" s="39"/>
      <c r="Z77" s="39"/>
      <c r="AA77" s="35"/>
      <c r="AB77" s="50" t="e">
        <f t="shared" si="2"/>
        <v>#DIV/0!</v>
      </c>
      <c r="AC77" s="51" t="e">
        <f t="shared" si="3"/>
        <v>#DIV/0!</v>
      </c>
      <c r="AD77" s="19"/>
      <c r="AE77" s="19"/>
      <c r="AF77" s="285"/>
      <c r="AG77" s="240"/>
      <c r="AH77" s="242"/>
      <c r="AI77" s="242"/>
      <c r="AJ77" s="245"/>
      <c r="AK77" s="240"/>
      <c r="AL77" s="249"/>
      <c r="AM77" s="240"/>
      <c r="AN77" s="249"/>
      <c r="AO77" s="252"/>
      <c r="AP77" s="249"/>
    </row>
    <row r="78" spans="1:42" ht="17.100000000000001" customHeight="1" outlineLevel="4" x14ac:dyDescent="0.25">
      <c r="A78" s="222"/>
      <c r="B78" s="219"/>
      <c r="C78" s="229"/>
      <c r="D78" s="232"/>
      <c r="E78" s="235"/>
      <c r="F78" s="16">
        <v>39</v>
      </c>
      <c r="G78" s="34"/>
      <c r="H78" s="39"/>
      <c r="I78" s="39"/>
      <c r="J78" s="39"/>
      <c r="K78" s="39"/>
      <c r="L78" s="39"/>
      <c r="M78" s="39"/>
      <c r="N78" s="39"/>
      <c r="O78" s="39"/>
      <c r="P78" s="35"/>
      <c r="Q78" s="18"/>
      <c r="R78" s="34"/>
      <c r="S78" s="39"/>
      <c r="T78" s="39"/>
      <c r="U78" s="39"/>
      <c r="V78" s="39"/>
      <c r="W78" s="39"/>
      <c r="X78" s="39"/>
      <c r="Y78" s="39"/>
      <c r="Z78" s="39"/>
      <c r="AA78" s="35"/>
      <c r="AB78" s="50" t="e">
        <f t="shared" si="2"/>
        <v>#DIV/0!</v>
      </c>
      <c r="AC78" s="51" t="e">
        <f t="shared" si="3"/>
        <v>#DIV/0!</v>
      </c>
      <c r="AD78" s="19"/>
      <c r="AE78" s="19"/>
      <c r="AF78" s="285" t="s">
        <v>127</v>
      </c>
      <c r="AG78" s="240" t="e" cm="1">
        <f t="array" ref="AG78">bdRateExtend($G77:$G80,G77:G80,$R77:$R80,R77:R80)</f>
        <v>#VALUE!</v>
      </c>
      <c r="AH78" s="242"/>
      <c r="AI78" s="242"/>
      <c r="AJ78" s="245"/>
      <c r="AK78" s="240" t="e" cm="1">
        <f t="array" ref="AK78">bdRateExtend($G77:$G80,K77:K80,$R77:$R80,V77:V80)</f>
        <v>#VALUE!</v>
      </c>
      <c r="AL78" s="249"/>
      <c r="AM78" s="240" t="e" cm="1">
        <f t="array" ref="AM78">bdRateExtend($G77:$G80,L77:L80,$R77:$R80,W77:W80)</f>
        <v>#VALUE!</v>
      </c>
      <c r="AN78" s="249"/>
      <c r="AO78" s="252" t="e" cm="1">
        <f t="array" ref="AO78">bdRateExtend($G77:$G80,M77:M80,$R77:$R80,X77:X80)</f>
        <v>#VALUE!</v>
      </c>
      <c r="AP78" s="249"/>
    </row>
    <row r="79" spans="1:42" ht="17.100000000000001" customHeight="1" outlineLevel="4" x14ac:dyDescent="0.25">
      <c r="A79" s="222"/>
      <c r="B79" s="219"/>
      <c r="C79" s="229"/>
      <c r="D79" s="232"/>
      <c r="E79" s="235"/>
      <c r="F79" s="16">
        <v>47</v>
      </c>
      <c r="G79" s="34"/>
      <c r="H79" s="39"/>
      <c r="I79" s="39"/>
      <c r="J79" s="39"/>
      <c r="K79" s="39"/>
      <c r="L79" s="39"/>
      <c r="M79" s="39"/>
      <c r="N79" s="39"/>
      <c r="O79" s="39"/>
      <c r="P79" s="35"/>
      <c r="Q79" s="18"/>
      <c r="R79" s="34"/>
      <c r="S79" s="39"/>
      <c r="T79" s="39"/>
      <c r="U79" s="39"/>
      <c r="V79" s="39"/>
      <c r="W79" s="39"/>
      <c r="X79" s="39"/>
      <c r="Y79" s="39"/>
      <c r="Z79" s="39"/>
      <c r="AA79" s="35"/>
      <c r="AB79" s="50" t="e">
        <f t="shared" si="2"/>
        <v>#DIV/0!</v>
      </c>
      <c r="AC79" s="51" t="e">
        <f t="shared" si="3"/>
        <v>#DIV/0!</v>
      </c>
      <c r="AD79" s="19"/>
      <c r="AE79" s="19"/>
      <c r="AF79" s="285"/>
      <c r="AG79" s="240"/>
      <c r="AH79" s="242"/>
      <c r="AI79" s="242"/>
      <c r="AJ79" s="245"/>
      <c r="AK79" s="240"/>
      <c r="AL79" s="249"/>
      <c r="AM79" s="240"/>
      <c r="AN79" s="249"/>
      <c r="AO79" s="252"/>
      <c r="AP79" s="249"/>
    </row>
    <row r="80" spans="1:42" ht="17.100000000000001" customHeight="1" outlineLevel="4" x14ac:dyDescent="0.25">
      <c r="A80" s="222"/>
      <c r="B80" s="219"/>
      <c r="C80" s="229"/>
      <c r="D80" s="232"/>
      <c r="E80" s="235"/>
      <c r="F80" s="16">
        <v>55</v>
      </c>
      <c r="G80" s="34"/>
      <c r="H80" s="39"/>
      <c r="I80" s="39"/>
      <c r="J80" s="39"/>
      <c r="K80" s="39"/>
      <c r="L80" s="39"/>
      <c r="M80" s="39"/>
      <c r="N80" s="39"/>
      <c r="O80" s="39"/>
      <c r="P80" s="35"/>
      <c r="Q80" s="18"/>
      <c r="R80" s="34"/>
      <c r="S80" s="39"/>
      <c r="T80" s="39"/>
      <c r="U80" s="39"/>
      <c r="V80" s="39"/>
      <c r="W80" s="39"/>
      <c r="X80" s="39"/>
      <c r="Y80" s="39"/>
      <c r="Z80" s="39"/>
      <c r="AA80" s="35"/>
      <c r="AB80" s="50" t="e">
        <f t="shared" si="2"/>
        <v>#DIV/0!</v>
      </c>
      <c r="AC80" s="51" t="e">
        <f t="shared" si="3"/>
        <v>#DIV/0!</v>
      </c>
      <c r="AD80" s="19"/>
      <c r="AE80" s="19"/>
      <c r="AF80" s="285" t="s">
        <v>128</v>
      </c>
      <c r="AG80" s="240" t="e" cm="1">
        <f t="array" ref="AG80">bdRateExtend($G78:$G81,G78:G81,$R78:$R81,R78:R81)</f>
        <v>#VALUE!</v>
      </c>
      <c r="AH80" s="242"/>
      <c r="AI80" s="242"/>
      <c r="AJ80" s="245"/>
      <c r="AK80" s="240" t="e" cm="1">
        <f t="array" ref="AK80">bdRateExtend($G78:$G81,K78:K81,$R78:$R81,V78:V81)</f>
        <v>#VALUE!</v>
      </c>
      <c r="AL80" s="249"/>
      <c r="AM80" s="240" t="e" cm="1">
        <f t="array" ref="AM80">bdRateExtend($G78:$G81,L78:L81,$R78:$R81,W78:W81)</f>
        <v>#VALUE!</v>
      </c>
      <c r="AN80" s="249"/>
      <c r="AO80" s="252" t="e" cm="1">
        <f t="array" ref="AO80">bdRateExtend($G78:$G81,M78:M81,$R78:$R81,X78:X81)</f>
        <v>#VALUE!</v>
      </c>
      <c r="AP80" s="249"/>
    </row>
    <row r="81" spans="1:42" ht="17.100000000000001" customHeight="1" outlineLevel="4" thickBot="1" x14ac:dyDescent="0.3">
      <c r="A81" s="222"/>
      <c r="B81" s="220"/>
      <c r="C81" s="230"/>
      <c r="D81" s="233"/>
      <c r="E81" s="236"/>
      <c r="F81" s="9">
        <v>63</v>
      </c>
      <c r="G81" s="36"/>
      <c r="H81" s="37"/>
      <c r="I81" s="37"/>
      <c r="J81" s="37"/>
      <c r="K81" s="37"/>
      <c r="L81" s="37"/>
      <c r="M81" s="37"/>
      <c r="N81" s="37"/>
      <c r="O81" s="37"/>
      <c r="P81" s="38"/>
      <c r="Q81" s="18"/>
      <c r="R81" s="36"/>
      <c r="S81" s="37"/>
      <c r="T81" s="37"/>
      <c r="U81" s="37"/>
      <c r="V81" s="37"/>
      <c r="W81" s="37"/>
      <c r="X81" s="37"/>
      <c r="Y81" s="37"/>
      <c r="Z81" s="37"/>
      <c r="AA81" s="38"/>
      <c r="AB81" s="52" t="e">
        <f t="shared" si="2"/>
        <v>#DIV/0!</v>
      </c>
      <c r="AC81" s="53" t="e">
        <f t="shared" si="3"/>
        <v>#DIV/0!</v>
      </c>
      <c r="AD81" s="19"/>
      <c r="AE81" s="19"/>
      <c r="AF81" s="286"/>
      <c r="AG81" s="247"/>
      <c r="AH81" s="243"/>
      <c r="AI81" s="243"/>
      <c r="AJ81" s="246"/>
      <c r="AK81" s="247"/>
      <c r="AL81" s="250"/>
      <c r="AM81" s="247"/>
      <c r="AN81" s="250"/>
      <c r="AO81" s="253"/>
      <c r="AP81" s="250"/>
    </row>
    <row r="82" spans="1:42" ht="17.100000000000001" customHeight="1" outlineLevel="4" x14ac:dyDescent="0.25">
      <c r="A82" s="222"/>
      <c r="B82" s="218" t="s">
        <v>2</v>
      </c>
      <c r="C82" s="228" t="s">
        <v>42</v>
      </c>
      <c r="D82" s="231">
        <v>59.94</v>
      </c>
      <c r="E82" s="234">
        <v>10</v>
      </c>
      <c r="F82" s="7">
        <v>23</v>
      </c>
      <c r="G82" s="31"/>
      <c r="H82" s="32"/>
      <c r="I82" s="32"/>
      <c r="J82" s="32"/>
      <c r="K82" s="32"/>
      <c r="L82" s="32"/>
      <c r="M82" s="32"/>
      <c r="N82" s="32"/>
      <c r="O82" s="32"/>
      <c r="P82" s="33"/>
      <c r="Q82" s="18"/>
      <c r="R82" s="31"/>
      <c r="S82" s="32"/>
      <c r="T82" s="32"/>
      <c r="U82" s="32"/>
      <c r="V82" s="32"/>
      <c r="W82" s="32"/>
      <c r="X82" s="32"/>
      <c r="Y82" s="32"/>
      <c r="Z82" s="32"/>
      <c r="AA82" s="33"/>
      <c r="AB82" s="48" t="e">
        <f t="shared" si="2"/>
        <v>#DIV/0!</v>
      </c>
      <c r="AC82" s="49" t="e">
        <f t="shared" si="3"/>
        <v>#DIV/0!</v>
      </c>
      <c r="AD82" s="19"/>
      <c r="AE82" s="19"/>
      <c r="AF82" s="284" t="s">
        <v>126</v>
      </c>
      <c r="AG82" s="239" t="e" cm="1">
        <f t="array" ref="AG82">bdRateExtend($G82:$G85,G82:G85,$R82:$R85,R82:R85)</f>
        <v>#VALUE!</v>
      </c>
      <c r="AH82" s="241" t="e" cm="1">
        <f t="array" ref="AH82">bdRateExtend($G82:$G87,H82:H87,$R82:$R87,S82:S87)</f>
        <v>#VALUE!</v>
      </c>
      <c r="AI82" s="241" t="e" cm="1">
        <f t="array" ref="AI82">bdRateExtend($G82:$G87,I82:I87,$R82:$R87,T82:T87)</f>
        <v>#VALUE!</v>
      </c>
      <c r="AJ82" s="244" t="e" cm="1">
        <f t="array" ref="AJ82">bdRateExtend($G82:$G87,J82:J87,$R82:$R87,U82:U87)</f>
        <v>#VALUE!</v>
      </c>
      <c r="AK82" s="239" t="e" cm="1">
        <f t="array" ref="AK82">bdRateExtend($G82:$G85,K82:K85,$R82:$R85,V82:V85)</f>
        <v>#VALUE!</v>
      </c>
      <c r="AL82" s="248" t="e" cm="1">
        <f t="array" ref="AL82">bdRateExtend($G82:$G87,K82:K87,$R82:$R87,V82:V87)</f>
        <v>#VALUE!</v>
      </c>
      <c r="AM82" s="239" t="e" cm="1">
        <f t="array" ref="AM82">bdRateExtend($G82:$G85,L82:L85,$R82:$R85,W82:W85)</f>
        <v>#VALUE!</v>
      </c>
      <c r="AN82" s="248" t="e" cm="1">
        <f t="array" ref="AN82">bdRateExtend($G82:$G87,L82:L87,$R82:$R87,W82:W87)</f>
        <v>#VALUE!</v>
      </c>
      <c r="AO82" s="254" t="e" cm="1">
        <f t="array" ref="AO82">bdRateExtend($G82:$G85,M82:M85,$R82:$R85,X82:X85)</f>
        <v>#VALUE!</v>
      </c>
      <c r="AP82" s="248" t="e" cm="1">
        <f t="array" ref="AP82">bdRateExtend($G82:$G87,M82:M87,$R82:$R87,X82:X87)</f>
        <v>#VALUE!</v>
      </c>
    </row>
    <row r="83" spans="1:42" ht="17.100000000000001" customHeight="1" outlineLevel="4" x14ac:dyDescent="0.25">
      <c r="A83" s="222"/>
      <c r="B83" s="219"/>
      <c r="C83" s="229"/>
      <c r="D83" s="232"/>
      <c r="E83" s="235"/>
      <c r="F83" s="16">
        <v>31</v>
      </c>
      <c r="G83" s="34"/>
      <c r="H83" s="39"/>
      <c r="I83" s="39"/>
      <c r="J83" s="39"/>
      <c r="K83" s="39"/>
      <c r="L83" s="39"/>
      <c r="M83" s="39"/>
      <c r="N83" s="39"/>
      <c r="O83" s="39"/>
      <c r="P83" s="35"/>
      <c r="Q83" s="18"/>
      <c r="R83" s="34"/>
      <c r="S83" s="39"/>
      <c r="T83" s="39"/>
      <c r="U83" s="39"/>
      <c r="V83" s="39"/>
      <c r="W83" s="39"/>
      <c r="X83" s="39"/>
      <c r="Y83" s="39"/>
      <c r="Z83" s="39"/>
      <c r="AA83" s="35"/>
      <c r="AB83" s="50" t="e">
        <f t="shared" si="2"/>
        <v>#DIV/0!</v>
      </c>
      <c r="AC83" s="51" t="e">
        <f t="shared" si="3"/>
        <v>#DIV/0!</v>
      </c>
      <c r="AD83" s="19"/>
      <c r="AE83" s="19"/>
      <c r="AF83" s="285"/>
      <c r="AG83" s="240"/>
      <c r="AH83" s="242"/>
      <c r="AI83" s="242"/>
      <c r="AJ83" s="245"/>
      <c r="AK83" s="240"/>
      <c r="AL83" s="249"/>
      <c r="AM83" s="240"/>
      <c r="AN83" s="249"/>
      <c r="AO83" s="252"/>
      <c r="AP83" s="249"/>
    </row>
    <row r="84" spans="1:42" ht="17.100000000000001" customHeight="1" outlineLevel="4" x14ac:dyDescent="0.25">
      <c r="A84" s="222"/>
      <c r="B84" s="219"/>
      <c r="C84" s="229"/>
      <c r="D84" s="232"/>
      <c r="E84" s="235"/>
      <c r="F84" s="16">
        <v>39</v>
      </c>
      <c r="G84" s="34"/>
      <c r="H84" s="39"/>
      <c r="I84" s="39"/>
      <c r="J84" s="39"/>
      <c r="K84" s="39"/>
      <c r="L84" s="39"/>
      <c r="M84" s="39"/>
      <c r="N84" s="39"/>
      <c r="O84" s="39"/>
      <c r="P84" s="35"/>
      <c r="Q84" s="18"/>
      <c r="R84" s="34"/>
      <c r="S84" s="39"/>
      <c r="T84" s="39"/>
      <c r="U84" s="39"/>
      <c r="V84" s="39"/>
      <c r="W84" s="39"/>
      <c r="X84" s="39"/>
      <c r="Y84" s="39"/>
      <c r="Z84" s="39"/>
      <c r="AA84" s="35"/>
      <c r="AB84" s="50" t="e">
        <f t="shared" si="2"/>
        <v>#DIV/0!</v>
      </c>
      <c r="AC84" s="51" t="e">
        <f t="shared" si="3"/>
        <v>#DIV/0!</v>
      </c>
      <c r="AD84" s="19"/>
      <c r="AE84" s="19"/>
      <c r="AF84" s="285" t="s">
        <v>127</v>
      </c>
      <c r="AG84" s="240" t="e" cm="1">
        <f t="array" ref="AG84">bdRateExtend($G83:$G86,G83:G86,$R83:$R86,R83:R86)</f>
        <v>#VALUE!</v>
      </c>
      <c r="AH84" s="242"/>
      <c r="AI84" s="242"/>
      <c r="AJ84" s="245"/>
      <c r="AK84" s="240" t="e" cm="1">
        <f t="array" ref="AK84">bdRateExtend($G83:$G86,K83:K86,$R83:$R86,V83:V86)</f>
        <v>#VALUE!</v>
      </c>
      <c r="AL84" s="249"/>
      <c r="AM84" s="240" t="e" cm="1">
        <f t="array" ref="AM84">bdRateExtend($G83:$G86,L83:L86,$R83:$R86,W83:W86)</f>
        <v>#VALUE!</v>
      </c>
      <c r="AN84" s="249"/>
      <c r="AO84" s="252" t="e" cm="1">
        <f t="array" ref="AO84">bdRateExtend($G83:$G86,M83:M86,$R83:$R86,X83:X86)</f>
        <v>#VALUE!</v>
      </c>
      <c r="AP84" s="249"/>
    </row>
    <row r="85" spans="1:42" ht="17.100000000000001" customHeight="1" outlineLevel="4" x14ac:dyDescent="0.25">
      <c r="A85" s="222"/>
      <c r="B85" s="219"/>
      <c r="C85" s="229"/>
      <c r="D85" s="232"/>
      <c r="E85" s="235"/>
      <c r="F85" s="16">
        <v>47</v>
      </c>
      <c r="G85" s="34"/>
      <c r="H85" s="39"/>
      <c r="I85" s="39"/>
      <c r="J85" s="39"/>
      <c r="K85" s="39"/>
      <c r="L85" s="39"/>
      <c r="M85" s="39"/>
      <c r="N85" s="39"/>
      <c r="O85" s="39"/>
      <c r="P85" s="35"/>
      <c r="Q85" s="18"/>
      <c r="R85" s="34"/>
      <c r="S85" s="39"/>
      <c r="T85" s="39"/>
      <c r="U85" s="39"/>
      <c r="V85" s="39"/>
      <c r="W85" s="39"/>
      <c r="X85" s="39"/>
      <c r="Y85" s="39"/>
      <c r="Z85" s="39"/>
      <c r="AA85" s="35"/>
      <c r="AB85" s="50" t="e">
        <f t="shared" si="2"/>
        <v>#DIV/0!</v>
      </c>
      <c r="AC85" s="51" t="e">
        <f t="shared" si="3"/>
        <v>#DIV/0!</v>
      </c>
      <c r="AD85" s="19"/>
      <c r="AE85" s="19"/>
      <c r="AF85" s="285"/>
      <c r="AG85" s="240"/>
      <c r="AH85" s="242"/>
      <c r="AI85" s="242"/>
      <c r="AJ85" s="245"/>
      <c r="AK85" s="240"/>
      <c r="AL85" s="249"/>
      <c r="AM85" s="240"/>
      <c r="AN85" s="249"/>
      <c r="AO85" s="252"/>
      <c r="AP85" s="249"/>
    </row>
    <row r="86" spans="1:42" ht="17.100000000000001" customHeight="1" outlineLevel="4" x14ac:dyDescent="0.25">
      <c r="A86" s="222"/>
      <c r="B86" s="219"/>
      <c r="C86" s="229"/>
      <c r="D86" s="232"/>
      <c r="E86" s="235"/>
      <c r="F86" s="16">
        <v>55</v>
      </c>
      <c r="G86" s="34"/>
      <c r="H86" s="39"/>
      <c r="I86" s="39"/>
      <c r="J86" s="39"/>
      <c r="K86" s="39"/>
      <c r="L86" s="39"/>
      <c r="M86" s="39"/>
      <c r="N86" s="39"/>
      <c r="O86" s="39"/>
      <c r="P86" s="35"/>
      <c r="Q86" s="18"/>
      <c r="R86" s="34"/>
      <c r="S86" s="39"/>
      <c r="T86" s="39"/>
      <c r="U86" s="39"/>
      <c r="V86" s="39"/>
      <c r="W86" s="39"/>
      <c r="X86" s="39"/>
      <c r="Y86" s="39"/>
      <c r="Z86" s="39"/>
      <c r="AA86" s="35"/>
      <c r="AB86" s="50" t="e">
        <f t="shared" si="2"/>
        <v>#DIV/0!</v>
      </c>
      <c r="AC86" s="51" t="e">
        <f t="shared" si="3"/>
        <v>#DIV/0!</v>
      </c>
      <c r="AD86" s="19"/>
      <c r="AE86" s="19"/>
      <c r="AF86" s="285" t="s">
        <v>128</v>
      </c>
      <c r="AG86" s="240" t="e" cm="1">
        <f t="array" ref="AG86">bdRateExtend($G84:$G87,G84:G87,$R84:$R87,R84:R87)</f>
        <v>#VALUE!</v>
      </c>
      <c r="AH86" s="242"/>
      <c r="AI86" s="242"/>
      <c r="AJ86" s="245"/>
      <c r="AK86" s="240" t="e" cm="1">
        <f t="array" ref="AK86">bdRateExtend($G84:$G87,K84:K87,$R84:$R87,V84:V87)</f>
        <v>#VALUE!</v>
      </c>
      <c r="AL86" s="249"/>
      <c r="AM86" s="240" t="e" cm="1">
        <f t="array" ref="AM86">bdRateExtend($G84:$G87,L84:L87,$R84:$R87,W84:W87)</f>
        <v>#VALUE!</v>
      </c>
      <c r="AN86" s="249"/>
      <c r="AO86" s="252" t="e" cm="1">
        <f t="array" ref="AO86">bdRateExtend($G84:$G87,M84:M87,$R84:$R87,X84:X87)</f>
        <v>#VALUE!</v>
      </c>
      <c r="AP86" s="249"/>
    </row>
    <row r="87" spans="1:42" ht="17.100000000000001" customHeight="1" outlineLevel="4" thickBot="1" x14ac:dyDescent="0.3">
      <c r="A87" s="222"/>
      <c r="B87" s="220"/>
      <c r="C87" s="230"/>
      <c r="D87" s="233"/>
      <c r="E87" s="236"/>
      <c r="F87" s="9">
        <v>63</v>
      </c>
      <c r="G87" s="36"/>
      <c r="H87" s="37"/>
      <c r="I87" s="37"/>
      <c r="J87" s="37"/>
      <c r="K87" s="37"/>
      <c r="L87" s="37"/>
      <c r="M87" s="37"/>
      <c r="N87" s="37"/>
      <c r="O87" s="37"/>
      <c r="P87" s="38"/>
      <c r="Q87" s="18"/>
      <c r="R87" s="36"/>
      <c r="S87" s="37"/>
      <c r="T87" s="37"/>
      <c r="U87" s="37"/>
      <c r="V87" s="37"/>
      <c r="W87" s="37"/>
      <c r="X87" s="37"/>
      <c r="Y87" s="37"/>
      <c r="Z87" s="37"/>
      <c r="AA87" s="38"/>
      <c r="AB87" s="52" t="e">
        <f t="shared" si="2"/>
        <v>#DIV/0!</v>
      </c>
      <c r="AC87" s="53" t="e">
        <f t="shared" si="3"/>
        <v>#DIV/0!</v>
      </c>
      <c r="AD87" s="19"/>
      <c r="AE87" s="19"/>
      <c r="AF87" s="286"/>
      <c r="AG87" s="247"/>
      <c r="AH87" s="243"/>
      <c r="AI87" s="243"/>
      <c r="AJ87" s="246"/>
      <c r="AK87" s="247"/>
      <c r="AL87" s="250"/>
      <c r="AM87" s="247"/>
      <c r="AN87" s="250"/>
      <c r="AO87" s="253"/>
      <c r="AP87" s="250"/>
    </row>
    <row r="88" spans="1:42" ht="17.100000000000001" customHeight="1" outlineLevel="4" x14ac:dyDescent="0.25">
      <c r="A88" s="222"/>
      <c r="B88" s="218" t="s">
        <v>2</v>
      </c>
      <c r="C88" s="228" t="s">
        <v>43</v>
      </c>
      <c r="D88" s="231">
        <v>50</v>
      </c>
      <c r="E88" s="234" t="s">
        <v>23</v>
      </c>
      <c r="F88" s="7">
        <v>23</v>
      </c>
      <c r="G88" s="31"/>
      <c r="H88" s="32"/>
      <c r="I88" s="32"/>
      <c r="J88" s="32"/>
      <c r="K88" s="32"/>
      <c r="L88" s="32"/>
      <c r="M88" s="32"/>
      <c r="N88" s="32"/>
      <c r="O88" s="32"/>
      <c r="P88" s="33"/>
      <c r="Q88" s="18"/>
      <c r="R88" s="31"/>
      <c r="S88" s="32"/>
      <c r="T88" s="32"/>
      <c r="U88" s="32"/>
      <c r="V88" s="32"/>
      <c r="W88" s="32"/>
      <c r="X88" s="32"/>
      <c r="Y88" s="32"/>
      <c r="Z88" s="32"/>
      <c r="AA88" s="33"/>
      <c r="AB88" s="48" t="e">
        <f t="shared" si="2"/>
        <v>#DIV/0!</v>
      </c>
      <c r="AC88" s="49" t="e">
        <f t="shared" si="3"/>
        <v>#DIV/0!</v>
      </c>
      <c r="AD88" s="19"/>
      <c r="AE88" s="19"/>
      <c r="AF88" s="284" t="s">
        <v>126</v>
      </c>
      <c r="AG88" s="239" t="e" cm="1">
        <f t="array" ref="AG88">bdRateExtend($G88:$G91,G88:G91,$R88:$R91,R88:R91)</f>
        <v>#VALUE!</v>
      </c>
      <c r="AH88" s="241" t="e" cm="1">
        <f t="array" ref="AH88">bdRateExtend($G88:$G93,H88:H93,$R88:$R93,S88:S93)</f>
        <v>#VALUE!</v>
      </c>
      <c r="AI88" s="241" t="e" cm="1">
        <f t="array" ref="AI88">bdRateExtend($G88:$G93,I88:I93,$R88:$R93,T88:T93)</f>
        <v>#VALUE!</v>
      </c>
      <c r="AJ88" s="244" t="e" cm="1">
        <f t="array" ref="AJ88">bdRateExtend($G88:$G93,J88:J93,$R88:$R93,U88:U93)</f>
        <v>#VALUE!</v>
      </c>
      <c r="AK88" s="239" t="e" cm="1">
        <f t="array" ref="AK88">bdRateExtend($G88:$G91,K88:K91,$R88:$R91,V88:V91)</f>
        <v>#VALUE!</v>
      </c>
      <c r="AL88" s="248" t="e" cm="1">
        <f t="array" ref="AL88">bdRateExtend($G88:$G93,K88:K93,$R88:$R93,V88:V93)</f>
        <v>#VALUE!</v>
      </c>
      <c r="AM88" s="239" t="e" cm="1">
        <f t="array" ref="AM88">bdRateExtend($G88:$G91,L88:L91,$R88:$R91,W88:W91)</f>
        <v>#VALUE!</v>
      </c>
      <c r="AN88" s="248" t="e" cm="1">
        <f t="array" ref="AN88">bdRateExtend($G88:$G93,L88:L93,$R88:$R93,W88:W93)</f>
        <v>#VALUE!</v>
      </c>
      <c r="AO88" s="254" t="e" cm="1">
        <f t="array" ref="AO88">bdRateExtend($G88:$G91,M88:M91,$R88:$R91,X88:X91)</f>
        <v>#VALUE!</v>
      </c>
      <c r="AP88" s="248" t="e" cm="1">
        <f t="array" ref="AP88">bdRateExtend($G88:$G93,M88:M93,$R88:$R93,X88:X93)</f>
        <v>#VALUE!</v>
      </c>
    </row>
    <row r="89" spans="1:42" ht="17.100000000000001" customHeight="1" outlineLevel="4" x14ac:dyDescent="0.25">
      <c r="A89" s="222"/>
      <c r="B89" s="219"/>
      <c r="C89" s="229"/>
      <c r="D89" s="232"/>
      <c r="E89" s="235"/>
      <c r="F89" s="16">
        <v>31</v>
      </c>
      <c r="G89" s="34"/>
      <c r="H89" s="39"/>
      <c r="I89" s="39"/>
      <c r="J89" s="39"/>
      <c r="K89" s="39"/>
      <c r="L89" s="39"/>
      <c r="M89" s="39"/>
      <c r="N89" s="39"/>
      <c r="O89" s="39"/>
      <c r="P89" s="35"/>
      <c r="Q89" s="18"/>
      <c r="R89" s="34"/>
      <c r="S89" s="39"/>
      <c r="T89" s="39"/>
      <c r="U89" s="39"/>
      <c r="V89" s="39"/>
      <c r="W89" s="39"/>
      <c r="X89" s="39"/>
      <c r="Y89" s="39"/>
      <c r="Z89" s="39"/>
      <c r="AA89" s="35"/>
      <c r="AB89" s="50" t="e">
        <f t="shared" si="2"/>
        <v>#DIV/0!</v>
      </c>
      <c r="AC89" s="51" t="e">
        <f t="shared" si="3"/>
        <v>#DIV/0!</v>
      </c>
      <c r="AD89" s="19"/>
      <c r="AE89" s="19"/>
      <c r="AF89" s="285"/>
      <c r="AG89" s="240"/>
      <c r="AH89" s="242"/>
      <c r="AI89" s="242"/>
      <c r="AJ89" s="245"/>
      <c r="AK89" s="240"/>
      <c r="AL89" s="249"/>
      <c r="AM89" s="240"/>
      <c r="AN89" s="249"/>
      <c r="AO89" s="252"/>
      <c r="AP89" s="249"/>
    </row>
    <row r="90" spans="1:42" ht="17.100000000000001" customHeight="1" outlineLevel="4" x14ac:dyDescent="0.25">
      <c r="A90" s="222"/>
      <c r="B90" s="219"/>
      <c r="C90" s="229"/>
      <c r="D90" s="232"/>
      <c r="E90" s="235"/>
      <c r="F90" s="16">
        <v>39</v>
      </c>
      <c r="G90" s="34"/>
      <c r="H90" s="39"/>
      <c r="I90" s="39"/>
      <c r="J90" s="39"/>
      <c r="K90" s="39"/>
      <c r="L90" s="39"/>
      <c r="M90" s="39"/>
      <c r="N90" s="39"/>
      <c r="O90" s="39"/>
      <c r="P90" s="35"/>
      <c r="Q90" s="18"/>
      <c r="R90" s="34"/>
      <c r="S90" s="39"/>
      <c r="T90" s="39"/>
      <c r="U90" s="39"/>
      <c r="V90" s="39"/>
      <c r="W90" s="39"/>
      <c r="X90" s="39"/>
      <c r="Y90" s="39"/>
      <c r="Z90" s="39"/>
      <c r="AA90" s="35"/>
      <c r="AB90" s="50" t="e">
        <f t="shared" si="2"/>
        <v>#DIV/0!</v>
      </c>
      <c r="AC90" s="51" t="e">
        <f t="shared" si="3"/>
        <v>#DIV/0!</v>
      </c>
      <c r="AD90" s="19"/>
      <c r="AE90" s="19"/>
      <c r="AF90" s="285" t="s">
        <v>127</v>
      </c>
      <c r="AG90" s="240" t="e" cm="1">
        <f t="array" ref="AG90">bdRateExtend($G89:$G92,G89:G92,$R89:$R92,R89:R92)</f>
        <v>#VALUE!</v>
      </c>
      <c r="AH90" s="242"/>
      <c r="AI90" s="242"/>
      <c r="AJ90" s="245"/>
      <c r="AK90" s="240" t="e" cm="1">
        <f t="array" ref="AK90">bdRateExtend($G89:$G92,K89:K92,$R89:$R92,V89:V92)</f>
        <v>#VALUE!</v>
      </c>
      <c r="AL90" s="249"/>
      <c r="AM90" s="240" t="e" cm="1">
        <f t="array" ref="AM90">bdRateExtend($G89:$G92,L89:L92,$R89:$R92,W89:W92)</f>
        <v>#VALUE!</v>
      </c>
      <c r="AN90" s="249"/>
      <c r="AO90" s="252" t="e" cm="1">
        <f t="array" ref="AO90">bdRateExtend($G89:$G92,M89:M92,$R89:$R92,X89:X92)</f>
        <v>#VALUE!</v>
      </c>
      <c r="AP90" s="249"/>
    </row>
    <row r="91" spans="1:42" ht="17.100000000000001" customHeight="1" outlineLevel="4" x14ac:dyDescent="0.25">
      <c r="A91" s="222"/>
      <c r="B91" s="219"/>
      <c r="C91" s="229"/>
      <c r="D91" s="232"/>
      <c r="E91" s="235"/>
      <c r="F91" s="16">
        <v>47</v>
      </c>
      <c r="G91" s="34"/>
      <c r="H91" s="39"/>
      <c r="I91" s="39"/>
      <c r="J91" s="39"/>
      <c r="K91" s="39"/>
      <c r="L91" s="39"/>
      <c r="M91" s="39"/>
      <c r="N91" s="39"/>
      <c r="O91" s="39"/>
      <c r="P91" s="35"/>
      <c r="Q91" s="18"/>
      <c r="R91" s="34"/>
      <c r="S91" s="39"/>
      <c r="T91" s="39"/>
      <c r="U91" s="39"/>
      <c r="V91" s="39"/>
      <c r="W91" s="39"/>
      <c r="X91" s="39"/>
      <c r="Y91" s="39"/>
      <c r="Z91" s="39"/>
      <c r="AA91" s="35"/>
      <c r="AB91" s="50" t="e">
        <f t="shared" si="2"/>
        <v>#DIV/0!</v>
      </c>
      <c r="AC91" s="51" t="e">
        <f t="shared" si="3"/>
        <v>#DIV/0!</v>
      </c>
      <c r="AD91" s="19"/>
      <c r="AE91" s="19"/>
      <c r="AF91" s="285"/>
      <c r="AG91" s="240"/>
      <c r="AH91" s="242"/>
      <c r="AI91" s="242"/>
      <c r="AJ91" s="245"/>
      <c r="AK91" s="240"/>
      <c r="AL91" s="249"/>
      <c r="AM91" s="240"/>
      <c r="AN91" s="249"/>
      <c r="AO91" s="252"/>
      <c r="AP91" s="249"/>
    </row>
    <row r="92" spans="1:42" ht="17.100000000000001" customHeight="1" outlineLevel="4" x14ac:dyDescent="0.25">
      <c r="A92" s="222"/>
      <c r="B92" s="219"/>
      <c r="C92" s="229"/>
      <c r="D92" s="232"/>
      <c r="E92" s="235"/>
      <c r="F92" s="16">
        <v>55</v>
      </c>
      <c r="G92" s="34"/>
      <c r="H92" s="39"/>
      <c r="I92" s="39"/>
      <c r="J92" s="39"/>
      <c r="K92" s="39"/>
      <c r="L92" s="39"/>
      <c r="M92" s="39"/>
      <c r="N92" s="39"/>
      <c r="O92" s="39"/>
      <c r="P92" s="35"/>
      <c r="Q92" s="18"/>
      <c r="R92" s="34"/>
      <c r="S92" s="39"/>
      <c r="T92" s="39"/>
      <c r="U92" s="39"/>
      <c r="V92" s="39"/>
      <c r="W92" s="39"/>
      <c r="X92" s="39"/>
      <c r="Y92" s="39"/>
      <c r="Z92" s="39"/>
      <c r="AA92" s="35"/>
      <c r="AB92" s="50" t="e">
        <f t="shared" si="2"/>
        <v>#DIV/0!</v>
      </c>
      <c r="AC92" s="51" t="e">
        <f t="shared" si="3"/>
        <v>#DIV/0!</v>
      </c>
      <c r="AD92" s="19"/>
      <c r="AE92" s="19"/>
      <c r="AF92" s="285" t="s">
        <v>128</v>
      </c>
      <c r="AG92" s="240" t="e" cm="1">
        <f t="array" ref="AG92">bdRateExtend($G90:$G93,G90:G93,$R90:$R93,R90:R93)</f>
        <v>#VALUE!</v>
      </c>
      <c r="AH92" s="242"/>
      <c r="AI92" s="242"/>
      <c r="AJ92" s="245"/>
      <c r="AK92" s="240" t="e" cm="1">
        <f t="array" ref="AK92">bdRateExtend($G90:$G93,K90:K93,$R90:$R93,V90:V93)</f>
        <v>#VALUE!</v>
      </c>
      <c r="AL92" s="249"/>
      <c r="AM92" s="240" t="e" cm="1">
        <f t="array" ref="AM92">bdRateExtend($G90:$G93,L90:L93,$R90:$R93,W90:W93)</f>
        <v>#VALUE!</v>
      </c>
      <c r="AN92" s="249"/>
      <c r="AO92" s="252" t="e" cm="1">
        <f t="array" ref="AO92">bdRateExtend($G90:$G93,M90:M93,$R90:$R93,X90:X93)</f>
        <v>#VALUE!</v>
      </c>
      <c r="AP92" s="249"/>
    </row>
    <row r="93" spans="1:42" ht="17.100000000000001" customHeight="1" outlineLevel="4" thickBot="1" x14ac:dyDescent="0.3">
      <c r="A93" s="222"/>
      <c r="B93" s="220"/>
      <c r="C93" s="230"/>
      <c r="D93" s="233"/>
      <c r="E93" s="236"/>
      <c r="F93" s="9">
        <v>63</v>
      </c>
      <c r="G93" s="36"/>
      <c r="H93" s="37"/>
      <c r="I93" s="37"/>
      <c r="J93" s="37"/>
      <c r="K93" s="37"/>
      <c r="L93" s="37"/>
      <c r="M93" s="37"/>
      <c r="N93" s="37"/>
      <c r="O93" s="37"/>
      <c r="P93" s="38"/>
      <c r="Q93" s="18"/>
      <c r="R93" s="36"/>
      <c r="S93" s="37"/>
      <c r="T93" s="37"/>
      <c r="U93" s="37"/>
      <c r="V93" s="37"/>
      <c r="W93" s="37"/>
      <c r="X93" s="37"/>
      <c r="Y93" s="37"/>
      <c r="Z93" s="37"/>
      <c r="AA93" s="38"/>
      <c r="AB93" s="52" t="e">
        <f t="shared" si="2"/>
        <v>#DIV/0!</v>
      </c>
      <c r="AC93" s="53" t="e">
        <f t="shared" si="3"/>
        <v>#DIV/0!</v>
      </c>
      <c r="AD93" s="19"/>
      <c r="AE93" s="19"/>
      <c r="AF93" s="286"/>
      <c r="AG93" s="247"/>
      <c r="AH93" s="243"/>
      <c r="AI93" s="243"/>
      <c r="AJ93" s="246"/>
      <c r="AK93" s="247"/>
      <c r="AL93" s="250"/>
      <c r="AM93" s="247"/>
      <c r="AN93" s="250"/>
      <c r="AO93" s="253"/>
      <c r="AP93" s="250"/>
    </row>
    <row r="94" spans="1:42" ht="17.100000000000001" customHeight="1" outlineLevel="4" x14ac:dyDescent="0.25">
      <c r="A94" s="222"/>
      <c r="B94" s="218" t="s">
        <v>2</v>
      </c>
      <c r="C94" s="228" t="s">
        <v>44</v>
      </c>
      <c r="D94" s="231">
        <v>25</v>
      </c>
      <c r="E94" s="234" t="s">
        <v>23</v>
      </c>
      <c r="F94" s="7">
        <v>23</v>
      </c>
      <c r="G94" s="31"/>
      <c r="H94" s="32"/>
      <c r="I94" s="32"/>
      <c r="J94" s="32"/>
      <c r="K94" s="32"/>
      <c r="L94" s="32"/>
      <c r="M94" s="32"/>
      <c r="N94" s="32"/>
      <c r="O94" s="32"/>
      <c r="P94" s="33"/>
      <c r="Q94" s="18"/>
      <c r="R94" s="31"/>
      <c r="S94" s="32"/>
      <c r="T94" s="32"/>
      <c r="U94" s="32"/>
      <c r="V94" s="32"/>
      <c r="W94" s="32"/>
      <c r="X94" s="32"/>
      <c r="Y94" s="32"/>
      <c r="Z94" s="32"/>
      <c r="AA94" s="33"/>
      <c r="AB94" s="48" t="e">
        <f t="shared" si="2"/>
        <v>#DIV/0!</v>
      </c>
      <c r="AC94" s="49" t="e">
        <f t="shared" si="3"/>
        <v>#DIV/0!</v>
      </c>
      <c r="AD94" s="19"/>
      <c r="AE94" s="19"/>
      <c r="AF94" s="284" t="s">
        <v>126</v>
      </c>
      <c r="AG94" s="239" t="e" cm="1">
        <f t="array" ref="AG94">bdRateExtend($G94:$G97,G94:G97,$R94:$R97,R94:R97)</f>
        <v>#VALUE!</v>
      </c>
      <c r="AH94" s="241" t="e" cm="1">
        <f t="array" ref="AH94">bdRateExtend($G94:$G99,H94:H99,$R94:$R99,S94:S99)</f>
        <v>#VALUE!</v>
      </c>
      <c r="AI94" s="241" t="e" cm="1">
        <f t="array" ref="AI94">bdRateExtend($G94:$G99,I94:I99,$R94:$R99,T94:T99)</f>
        <v>#VALUE!</v>
      </c>
      <c r="AJ94" s="244" t="e" cm="1">
        <f t="array" ref="AJ94">bdRateExtend($G94:$G99,J94:J99,$R94:$R99,U94:U99)</f>
        <v>#VALUE!</v>
      </c>
      <c r="AK94" s="239" t="e" cm="1">
        <f t="array" ref="AK94">bdRateExtend($G94:$G97,K94:K97,$R94:$R97,V94:V97)</f>
        <v>#VALUE!</v>
      </c>
      <c r="AL94" s="248" t="e" cm="1">
        <f t="array" ref="AL94">bdRateExtend($G94:$G99,K94:K99,$R94:$R99,V94:V99)</f>
        <v>#VALUE!</v>
      </c>
      <c r="AM94" s="239" t="e" cm="1">
        <f t="array" ref="AM94">bdRateExtend($G94:$G97,L94:L97,$R94:$R97,W94:W97)</f>
        <v>#VALUE!</v>
      </c>
      <c r="AN94" s="248" t="e" cm="1">
        <f t="array" ref="AN94">bdRateExtend($G94:$G99,L94:L99,$R94:$R99,W94:W99)</f>
        <v>#VALUE!</v>
      </c>
      <c r="AO94" s="254" t="e" cm="1">
        <f t="array" ref="AO94">bdRateExtend($G94:$G97,M94:M97,$R94:$R97,X94:X97)</f>
        <v>#VALUE!</v>
      </c>
      <c r="AP94" s="248" t="e" cm="1">
        <f t="array" ref="AP94">bdRateExtend($G94:$G99,M94:M99,$R94:$R99,X94:X99)</f>
        <v>#VALUE!</v>
      </c>
    </row>
    <row r="95" spans="1:42" ht="17.100000000000001" customHeight="1" outlineLevel="4" x14ac:dyDescent="0.25">
      <c r="A95" s="222"/>
      <c r="B95" s="219"/>
      <c r="C95" s="229"/>
      <c r="D95" s="232"/>
      <c r="E95" s="235"/>
      <c r="F95" s="16">
        <v>31</v>
      </c>
      <c r="G95" s="34"/>
      <c r="H95" s="39"/>
      <c r="I95" s="39"/>
      <c r="J95" s="39"/>
      <c r="K95" s="39"/>
      <c r="L95" s="39"/>
      <c r="M95" s="39"/>
      <c r="N95" s="39"/>
      <c r="O95" s="39"/>
      <c r="P95" s="35"/>
      <c r="Q95" s="18"/>
      <c r="R95" s="34"/>
      <c r="S95" s="39"/>
      <c r="T95" s="39"/>
      <c r="U95" s="39"/>
      <c r="V95" s="39"/>
      <c r="W95" s="39"/>
      <c r="X95" s="39"/>
      <c r="Y95" s="39"/>
      <c r="Z95" s="39"/>
      <c r="AA95" s="35"/>
      <c r="AB95" s="50" t="e">
        <f t="shared" si="2"/>
        <v>#DIV/0!</v>
      </c>
      <c r="AC95" s="51" t="e">
        <f t="shared" si="3"/>
        <v>#DIV/0!</v>
      </c>
      <c r="AD95" s="19"/>
      <c r="AE95" s="19"/>
      <c r="AF95" s="285"/>
      <c r="AG95" s="240"/>
      <c r="AH95" s="242"/>
      <c r="AI95" s="242"/>
      <c r="AJ95" s="245"/>
      <c r="AK95" s="240"/>
      <c r="AL95" s="249"/>
      <c r="AM95" s="240"/>
      <c r="AN95" s="249"/>
      <c r="AO95" s="252"/>
      <c r="AP95" s="249"/>
    </row>
    <row r="96" spans="1:42" ht="17.100000000000001" customHeight="1" outlineLevel="4" x14ac:dyDescent="0.25">
      <c r="A96" s="222"/>
      <c r="B96" s="219"/>
      <c r="C96" s="229"/>
      <c r="D96" s="232"/>
      <c r="E96" s="235"/>
      <c r="F96" s="16">
        <v>39</v>
      </c>
      <c r="G96" s="34"/>
      <c r="H96" s="39"/>
      <c r="I96" s="39"/>
      <c r="J96" s="39"/>
      <c r="K96" s="39"/>
      <c r="L96" s="39"/>
      <c r="M96" s="39"/>
      <c r="N96" s="39"/>
      <c r="O96" s="39"/>
      <c r="P96" s="35"/>
      <c r="Q96" s="18"/>
      <c r="R96" s="34"/>
      <c r="S96" s="39"/>
      <c r="T96" s="39"/>
      <c r="U96" s="39"/>
      <c r="V96" s="39"/>
      <c r="W96" s="39"/>
      <c r="X96" s="39"/>
      <c r="Y96" s="39"/>
      <c r="Z96" s="39"/>
      <c r="AA96" s="35"/>
      <c r="AB96" s="50" t="e">
        <f t="shared" si="2"/>
        <v>#DIV/0!</v>
      </c>
      <c r="AC96" s="51" t="e">
        <f t="shared" si="3"/>
        <v>#DIV/0!</v>
      </c>
      <c r="AD96" s="19"/>
      <c r="AE96" s="19"/>
      <c r="AF96" s="285" t="s">
        <v>127</v>
      </c>
      <c r="AG96" s="240" t="e" cm="1">
        <f t="array" ref="AG96">bdRateExtend($G95:$G98,G95:G98,$R95:$R98,R95:R98)</f>
        <v>#VALUE!</v>
      </c>
      <c r="AH96" s="242"/>
      <c r="AI96" s="242"/>
      <c r="AJ96" s="245"/>
      <c r="AK96" s="240" t="e" cm="1">
        <f t="array" ref="AK96">bdRateExtend($G95:$G98,K95:K98,$R95:$R98,V95:V98)</f>
        <v>#VALUE!</v>
      </c>
      <c r="AL96" s="249"/>
      <c r="AM96" s="240" t="e" cm="1">
        <f t="array" ref="AM96">bdRateExtend($G95:$G98,L95:L98,$R95:$R98,W95:W98)</f>
        <v>#VALUE!</v>
      </c>
      <c r="AN96" s="249"/>
      <c r="AO96" s="252" t="e" cm="1">
        <f t="array" ref="AO96">bdRateExtend($G95:$G98,M95:M98,$R95:$R98,X95:X98)</f>
        <v>#VALUE!</v>
      </c>
      <c r="AP96" s="249"/>
    </row>
    <row r="97" spans="1:42" ht="17.100000000000001" customHeight="1" outlineLevel="4" x14ac:dyDescent="0.25">
      <c r="A97" s="222"/>
      <c r="B97" s="219"/>
      <c r="C97" s="229"/>
      <c r="D97" s="232"/>
      <c r="E97" s="235"/>
      <c r="F97" s="16">
        <v>47</v>
      </c>
      <c r="G97" s="34"/>
      <c r="H97" s="39"/>
      <c r="I97" s="39"/>
      <c r="J97" s="39"/>
      <c r="K97" s="39"/>
      <c r="L97" s="39"/>
      <c r="M97" s="39"/>
      <c r="N97" s="39"/>
      <c r="O97" s="39"/>
      <c r="P97" s="35"/>
      <c r="Q97" s="18"/>
      <c r="R97" s="34"/>
      <c r="S97" s="39"/>
      <c r="T97" s="39"/>
      <c r="U97" s="39"/>
      <c r="V97" s="39"/>
      <c r="W97" s="39"/>
      <c r="X97" s="39"/>
      <c r="Y97" s="39"/>
      <c r="Z97" s="39"/>
      <c r="AA97" s="35"/>
      <c r="AB97" s="50" t="e">
        <f t="shared" si="2"/>
        <v>#DIV/0!</v>
      </c>
      <c r="AC97" s="51" t="e">
        <f t="shared" si="3"/>
        <v>#DIV/0!</v>
      </c>
      <c r="AD97" s="19"/>
      <c r="AE97" s="19"/>
      <c r="AF97" s="285"/>
      <c r="AG97" s="240"/>
      <c r="AH97" s="242"/>
      <c r="AI97" s="242"/>
      <c r="AJ97" s="245"/>
      <c r="AK97" s="240"/>
      <c r="AL97" s="249"/>
      <c r="AM97" s="240"/>
      <c r="AN97" s="249"/>
      <c r="AO97" s="252"/>
      <c r="AP97" s="249"/>
    </row>
    <row r="98" spans="1:42" ht="17.100000000000001" customHeight="1" outlineLevel="4" x14ac:dyDescent="0.25">
      <c r="A98" s="222"/>
      <c r="B98" s="219"/>
      <c r="C98" s="229"/>
      <c r="D98" s="232"/>
      <c r="E98" s="235"/>
      <c r="F98" s="16">
        <v>55</v>
      </c>
      <c r="G98" s="34"/>
      <c r="H98" s="39"/>
      <c r="I98" s="39"/>
      <c r="J98" s="39"/>
      <c r="K98" s="39"/>
      <c r="L98" s="39"/>
      <c r="M98" s="39"/>
      <c r="N98" s="39"/>
      <c r="O98" s="39"/>
      <c r="P98" s="35"/>
      <c r="Q98" s="18"/>
      <c r="R98" s="34"/>
      <c r="S98" s="39"/>
      <c r="T98" s="39"/>
      <c r="U98" s="39"/>
      <c r="V98" s="39"/>
      <c r="W98" s="39"/>
      <c r="X98" s="39"/>
      <c r="Y98" s="39"/>
      <c r="Z98" s="39"/>
      <c r="AA98" s="35"/>
      <c r="AB98" s="50" t="e">
        <f t="shared" si="2"/>
        <v>#DIV/0!</v>
      </c>
      <c r="AC98" s="51" t="e">
        <f t="shared" si="3"/>
        <v>#DIV/0!</v>
      </c>
      <c r="AD98" s="19"/>
      <c r="AE98" s="19"/>
      <c r="AF98" s="285" t="s">
        <v>128</v>
      </c>
      <c r="AG98" s="240" t="e" cm="1">
        <f t="array" ref="AG98">bdRateExtend($G96:$G99,G96:G99,$R96:$R99,R96:R99)</f>
        <v>#VALUE!</v>
      </c>
      <c r="AH98" s="242"/>
      <c r="AI98" s="242"/>
      <c r="AJ98" s="245"/>
      <c r="AK98" s="240" t="e" cm="1">
        <f t="array" ref="AK98">bdRateExtend($G96:$G99,K96:K99,$R96:$R99,V96:V99)</f>
        <v>#VALUE!</v>
      </c>
      <c r="AL98" s="249"/>
      <c r="AM98" s="240" t="e" cm="1">
        <f t="array" ref="AM98">bdRateExtend($G96:$G99,L96:L99,$R96:$R99,W96:W99)</f>
        <v>#VALUE!</v>
      </c>
      <c r="AN98" s="249"/>
      <c r="AO98" s="252" t="e" cm="1">
        <f t="array" ref="AO98">bdRateExtend($G96:$G99,M96:M99,$R96:$R99,X96:X99)</f>
        <v>#VALUE!</v>
      </c>
      <c r="AP98" s="249"/>
    </row>
    <row r="99" spans="1:42" ht="17.100000000000001" customHeight="1" outlineLevel="4" thickBot="1" x14ac:dyDescent="0.3">
      <c r="A99" s="222"/>
      <c r="B99" s="220"/>
      <c r="C99" s="230"/>
      <c r="D99" s="233"/>
      <c r="E99" s="236"/>
      <c r="F99" s="9">
        <v>63</v>
      </c>
      <c r="G99" s="36"/>
      <c r="H99" s="37"/>
      <c r="I99" s="37"/>
      <c r="J99" s="37"/>
      <c r="K99" s="37"/>
      <c r="L99" s="37"/>
      <c r="M99" s="37"/>
      <c r="N99" s="37"/>
      <c r="O99" s="37"/>
      <c r="P99" s="38"/>
      <c r="Q99" s="18"/>
      <c r="R99" s="36"/>
      <c r="S99" s="37"/>
      <c r="T99" s="37"/>
      <c r="U99" s="37"/>
      <c r="V99" s="37"/>
      <c r="W99" s="37"/>
      <c r="X99" s="37"/>
      <c r="Y99" s="37"/>
      <c r="Z99" s="37"/>
      <c r="AA99" s="38"/>
      <c r="AB99" s="52" t="e">
        <f t="shared" si="2"/>
        <v>#DIV/0!</v>
      </c>
      <c r="AC99" s="53" t="e">
        <f t="shared" si="3"/>
        <v>#DIV/0!</v>
      </c>
      <c r="AD99" s="19"/>
      <c r="AE99" s="19"/>
      <c r="AF99" s="286"/>
      <c r="AG99" s="247"/>
      <c r="AH99" s="243"/>
      <c r="AI99" s="243"/>
      <c r="AJ99" s="246"/>
      <c r="AK99" s="247"/>
      <c r="AL99" s="250"/>
      <c r="AM99" s="247"/>
      <c r="AN99" s="250"/>
      <c r="AO99" s="253"/>
      <c r="AP99" s="250"/>
    </row>
    <row r="100" spans="1:42" ht="17.100000000000001" customHeight="1" outlineLevel="4" x14ac:dyDescent="0.25">
      <c r="A100" s="222"/>
      <c r="B100" s="218" t="s">
        <v>2</v>
      </c>
      <c r="C100" s="228" t="s">
        <v>45</v>
      </c>
      <c r="D100" s="231">
        <v>59.94</v>
      </c>
      <c r="E100" s="234">
        <v>10</v>
      </c>
      <c r="F100" s="7">
        <v>23</v>
      </c>
      <c r="G100" s="31"/>
      <c r="H100" s="32"/>
      <c r="I100" s="32"/>
      <c r="J100" s="32"/>
      <c r="K100" s="32"/>
      <c r="L100" s="32"/>
      <c r="M100" s="32"/>
      <c r="N100" s="32"/>
      <c r="O100" s="32"/>
      <c r="P100" s="33"/>
      <c r="Q100" s="18"/>
      <c r="R100" s="31"/>
      <c r="S100" s="32"/>
      <c r="T100" s="32"/>
      <c r="U100" s="32"/>
      <c r="V100" s="32"/>
      <c r="W100" s="32"/>
      <c r="X100" s="32"/>
      <c r="Y100" s="32"/>
      <c r="Z100" s="32"/>
      <c r="AA100" s="33"/>
      <c r="AB100" s="48" t="e">
        <f t="shared" si="2"/>
        <v>#DIV/0!</v>
      </c>
      <c r="AC100" s="49" t="e">
        <f t="shared" si="3"/>
        <v>#DIV/0!</v>
      </c>
      <c r="AD100" s="19"/>
      <c r="AE100" s="19"/>
      <c r="AF100" s="284" t="s">
        <v>126</v>
      </c>
      <c r="AG100" s="239" t="e" cm="1">
        <f t="array" ref="AG100">bdRateExtend($G100:$G103,G100:G103,$R100:$R103,R100:R103)</f>
        <v>#VALUE!</v>
      </c>
      <c r="AH100" s="241" t="e" cm="1">
        <f t="array" ref="AH100">bdRateExtend($G100:$G105,H100:H105,$R100:$R105,S100:S105)</f>
        <v>#VALUE!</v>
      </c>
      <c r="AI100" s="241" t="e" cm="1">
        <f t="array" ref="AI100">bdRateExtend($G100:$G105,I100:I105,$R100:$R105,T100:T105)</f>
        <v>#VALUE!</v>
      </c>
      <c r="AJ100" s="244" t="e" cm="1">
        <f t="array" ref="AJ100">bdRateExtend($G100:$G105,J100:J105,$R100:$R105,U100:U105)</f>
        <v>#VALUE!</v>
      </c>
      <c r="AK100" s="239" t="e" cm="1">
        <f t="array" ref="AK100">bdRateExtend($G100:$G103,K100:K103,$R100:$R103,V100:V103)</f>
        <v>#VALUE!</v>
      </c>
      <c r="AL100" s="248" t="e" cm="1">
        <f t="array" ref="AL100">bdRateExtend($G100:$G105,K100:K105,$R100:$R105,V100:V105)</f>
        <v>#VALUE!</v>
      </c>
      <c r="AM100" s="239" t="e" cm="1">
        <f t="array" ref="AM100">bdRateExtend($G100:$G103,L100:L103,$R100:$R103,W100:W103)</f>
        <v>#VALUE!</v>
      </c>
      <c r="AN100" s="248" t="e" cm="1">
        <f t="array" ref="AN100">bdRateExtend($G100:$G105,L100:L105,$R100:$R105,W100:W105)</f>
        <v>#VALUE!</v>
      </c>
      <c r="AO100" s="254" t="e" cm="1">
        <f t="array" ref="AO100">bdRateExtend($G100:$G103,M100:M103,$R100:$R103,X100:X103)</f>
        <v>#VALUE!</v>
      </c>
      <c r="AP100" s="248" t="e" cm="1">
        <f t="array" ref="AP100">bdRateExtend($G100:$G105,M100:M105,$R100:$R105,X100:X105)</f>
        <v>#VALUE!</v>
      </c>
    </row>
    <row r="101" spans="1:42" ht="17.100000000000001" customHeight="1" outlineLevel="4" x14ac:dyDescent="0.25">
      <c r="A101" s="222"/>
      <c r="B101" s="219"/>
      <c r="C101" s="229"/>
      <c r="D101" s="232"/>
      <c r="E101" s="235"/>
      <c r="F101" s="16">
        <v>31</v>
      </c>
      <c r="G101" s="34"/>
      <c r="H101" s="39"/>
      <c r="I101" s="39"/>
      <c r="J101" s="39"/>
      <c r="K101" s="39"/>
      <c r="L101" s="39"/>
      <c r="M101" s="39"/>
      <c r="N101" s="39"/>
      <c r="O101" s="39"/>
      <c r="P101" s="35"/>
      <c r="Q101" s="18"/>
      <c r="R101" s="34"/>
      <c r="S101" s="39"/>
      <c r="T101" s="39"/>
      <c r="U101" s="39"/>
      <c r="V101" s="39"/>
      <c r="W101" s="39"/>
      <c r="X101" s="39"/>
      <c r="Y101" s="39"/>
      <c r="Z101" s="39"/>
      <c r="AA101" s="35"/>
      <c r="AB101" s="50" t="e">
        <f t="shared" si="2"/>
        <v>#DIV/0!</v>
      </c>
      <c r="AC101" s="51" t="e">
        <f t="shared" si="3"/>
        <v>#DIV/0!</v>
      </c>
      <c r="AD101" s="19"/>
      <c r="AE101" s="19"/>
      <c r="AF101" s="285"/>
      <c r="AG101" s="240"/>
      <c r="AH101" s="242"/>
      <c r="AI101" s="242"/>
      <c r="AJ101" s="245"/>
      <c r="AK101" s="240"/>
      <c r="AL101" s="249"/>
      <c r="AM101" s="240"/>
      <c r="AN101" s="249"/>
      <c r="AO101" s="252"/>
      <c r="AP101" s="249"/>
    </row>
    <row r="102" spans="1:42" ht="17.100000000000001" customHeight="1" outlineLevel="4" x14ac:dyDescent="0.25">
      <c r="A102" s="222"/>
      <c r="B102" s="219"/>
      <c r="C102" s="229"/>
      <c r="D102" s="232"/>
      <c r="E102" s="235"/>
      <c r="F102" s="16">
        <v>39</v>
      </c>
      <c r="G102" s="34"/>
      <c r="H102" s="39"/>
      <c r="I102" s="39"/>
      <c r="J102" s="39"/>
      <c r="K102" s="39"/>
      <c r="L102" s="39"/>
      <c r="M102" s="39"/>
      <c r="N102" s="39"/>
      <c r="O102" s="39"/>
      <c r="P102" s="35"/>
      <c r="Q102" s="18"/>
      <c r="R102" s="34"/>
      <c r="S102" s="39"/>
      <c r="T102" s="39"/>
      <c r="U102" s="39"/>
      <c r="V102" s="39"/>
      <c r="W102" s="39"/>
      <c r="X102" s="39"/>
      <c r="Y102" s="39"/>
      <c r="Z102" s="39"/>
      <c r="AA102" s="35"/>
      <c r="AB102" s="50" t="e">
        <f t="shared" si="2"/>
        <v>#DIV/0!</v>
      </c>
      <c r="AC102" s="51" t="e">
        <f t="shared" si="3"/>
        <v>#DIV/0!</v>
      </c>
      <c r="AD102" s="19"/>
      <c r="AE102" s="19"/>
      <c r="AF102" s="285" t="s">
        <v>127</v>
      </c>
      <c r="AG102" s="240" t="e" cm="1">
        <f t="array" ref="AG102">bdRateExtend($G101:$G104,G101:G104,$R101:$R104,R101:R104)</f>
        <v>#VALUE!</v>
      </c>
      <c r="AH102" s="242"/>
      <c r="AI102" s="242"/>
      <c r="AJ102" s="245"/>
      <c r="AK102" s="240" t="e" cm="1">
        <f t="array" ref="AK102">bdRateExtend($G101:$G104,K101:K104,$R101:$R104,V101:V104)</f>
        <v>#VALUE!</v>
      </c>
      <c r="AL102" s="249"/>
      <c r="AM102" s="240" t="e" cm="1">
        <f t="array" ref="AM102">bdRateExtend($G101:$G104,L101:L104,$R101:$R104,W101:W104)</f>
        <v>#VALUE!</v>
      </c>
      <c r="AN102" s="249"/>
      <c r="AO102" s="252" t="e" cm="1">
        <f t="array" ref="AO102">bdRateExtend($G101:$G104,M101:M104,$R101:$R104,X101:X104)</f>
        <v>#VALUE!</v>
      </c>
      <c r="AP102" s="249"/>
    </row>
    <row r="103" spans="1:42" ht="17.100000000000001" customHeight="1" outlineLevel="4" x14ac:dyDescent="0.25">
      <c r="A103" s="222"/>
      <c r="B103" s="219"/>
      <c r="C103" s="229"/>
      <c r="D103" s="232"/>
      <c r="E103" s="235"/>
      <c r="F103" s="16">
        <v>47</v>
      </c>
      <c r="G103" s="34"/>
      <c r="H103" s="39"/>
      <c r="I103" s="39"/>
      <c r="J103" s="39"/>
      <c r="K103" s="39"/>
      <c r="L103" s="39"/>
      <c r="M103" s="39"/>
      <c r="N103" s="39"/>
      <c r="O103" s="39"/>
      <c r="P103" s="35"/>
      <c r="Q103" s="18"/>
      <c r="R103" s="34"/>
      <c r="S103" s="39"/>
      <c r="T103" s="39"/>
      <c r="U103" s="39"/>
      <c r="V103" s="39"/>
      <c r="W103" s="39"/>
      <c r="X103" s="39"/>
      <c r="Y103" s="39"/>
      <c r="Z103" s="39"/>
      <c r="AA103" s="35"/>
      <c r="AB103" s="50" t="e">
        <f t="shared" si="2"/>
        <v>#DIV/0!</v>
      </c>
      <c r="AC103" s="51" t="e">
        <f t="shared" si="3"/>
        <v>#DIV/0!</v>
      </c>
      <c r="AD103" s="19"/>
      <c r="AE103" s="19"/>
      <c r="AF103" s="285"/>
      <c r="AG103" s="240"/>
      <c r="AH103" s="242"/>
      <c r="AI103" s="242"/>
      <c r="AJ103" s="245"/>
      <c r="AK103" s="240"/>
      <c r="AL103" s="249"/>
      <c r="AM103" s="240"/>
      <c r="AN103" s="249"/>
      <c r="AO103" s="252"/>
      <c r="AP103" s="249"/>
    </row>
    <row r="104" spans="1:42" ht="17.100000000000001" customHeight="1" outlineLevel="4" x14ac:dyDescent="0.25">
      <c r="A104" s="222"/>
      <c r="B104" s="219"/>
      <c r="C104" s="229"/>
      <c r="D104" s="232"/>
      <c r="E104" s="235"/>
      <c r="F104" s="16">
        <v>55</v>
      </c>
      <c r="G104" s="34"/>
      <c r="H104" s="39"/>
      <c r="I104" s="39"/>
      <c r="J104" s="39"/>
      <c r="K104" s="39"/>
      <c r="L104" s="39"/>
      <c r="M104" s="39"/>
      <c r="N104" s="39"/>
      <c r="O104" s="39"/>
      <c r="P104" s="35"/>
      <c r="Q104" s="18"/>
      <c r="R104" s="34"/>
      <c r="S104" s="39"/>
      <c r="T104" s="39"/>
      <c r="U104" s="39"/>
      <c r="V104" s="39"/>
      <c r="W104" s="39"/>
      <c r="X104" s="39"/>
      <c r="Y104" s="39"/>
      <c r="Z104" s="39"/>
      <c r="AA104" s="35"/>
      <c r="AB104" s="50" t="e">
        <f t="shared" si="2"/>
        <v>#DIV/0!</v>
      </c>
      <c r="AC104" s="51" t="e">
        <f t="shared" si="3"/>
        <v>#DIV/0!</v>
      </c>
      <c r="AD104" s="19"/>
      <c r="AE104" s="19"/>
      <c r="AF104" s="285" t="s">
        <v>128</v>
      </c>
      <c r="AG104" s="240" t="e" cm="1">
        <f t="array" ref="AG104">bdRateExtend($G102:$G105,G102:G105,$R102:$R105,R102:R105)</f>
        <v>#VALUE!</v>
      </c>
      <c r="AH104" s="242"/>
      <c r="AI104" s="242"/>
      <c r="AJ104" s="245"/>
      <c r="AK104" s="240" t="e" cm="1">
        <f t="array" ref="AK104">bdRateExtend($G102:$G105,K102:K105,$R102:$R105,V102:V105)</f>
        <v>#VALUE!</v>
      </c>
      <c r="AL104" s="249"/>
      <c r="AM104" s="240" t="e" cm="1">
        <f t="array" ref="AM104">bdRateExtend($G102:$G105,L102:L105,$R102:$R105,W102:W105)</f>
        <v>#VALUE!</v>
      </c>
      <c r="AN104" s="249"/>
      <c r="AO104" s="252" t="e" cm="1">
        <f t="array" ref="AO104">bdRateExtend($G102:$G105,M102:M105,$R102:$R105,X102:X105)</f>
        <v>#VALUE!</v>
      </c>
      <c r="AP104" s="249"/>
    </row>
    <row r="105" spans="1:42" ht="17.100000000000001" customHeight="1" outlineLevel="4" thickBot="1" x14ac:dyDescent="0.3">
      <c r="A105" s="222"/>
      <c r="B105" s="220"/>
      <c r="C105" s="230"/>
      <c r="D105" s="233"/>
      <c r="E105" s="236"/>
      <c r="F105" s="9">
        <v>63</v>
      </c>
      <c r="G105" s="36"/>
      <c r="H105" s="37"/>
      <c r="I105" s="37"/>
      <c r="J105" s="37"/>
      <c r="K105" s="37"/>
      <c r="L105" s="37"/>
      <c r="M105" s="37"/>
      <c r="N105" s="37"/>
      <c r="O105" s="37"/>
      <c r="P105" s="38"/>
      <c r="Q105" s="18"/>
      <c r="R105" s="36"/>
      <c r="S105" s="37"/>
      <c r="T105" s="37"/>
      <c r="U105" s="37"/>
      <c r="V105" s="37"/>
      <c r="W105" s="37"/>
      <c r="X105" s="37"/>
      <c r="Y105" s="37"/>
      <c r="Z105" s="37"/>
      <c r="AA105" s="38"/>
      <c r="AB105" s="52" t="e">
        <f t="shared" si="2"/>
        <v>#DIV/0!</v>
      </c>
      <c r="AC105" s="53" t="e">
        <f t="shared" si="3"/>
        <v>#DIV/0!</v>
      </c>
      <c r="AD105" s="19"/>
      <c r="AE105" s="19"/>
      <c r="AF105" s="286"/>
      <c r="AG105" s="247"/>
      <c r="AH105" s="243"/>
      <c r="AI105" s="243"/>
      <c r="AJ105" s="246"/>
      <c r="AK105" s="247"/>
      <c r="AL105" s="250"/>
      <c r="AM105" s="247"/>
      <c r="AN105" s="250"/>
      <c r="AO105" s="253"/>
      <c r="AP105" s="250"/>
    </row>
    <row r="106" spans="1:42" ht="17.100000000000001" customHeight="1" outlineLevel="4" x14ac:dyDescent="0.25">
      <c r="A106" s="222"/>
      <c r="B106" s="218" t="s">
        <v>2</v>
      </c>
      <c r="C106" s="228" t="s">
        <v>46</v>
      </c>
      <c r="D106" s="231">
        <v>25</v>
      </c>
      <c r="E106" s="234" t="s">
        <v>23</v>
      </c>
      <c r="F106" s="7">
        <v>23</v>
      </c>
      <c r="G106" s="31"/>
      <c r="H106" s="32"/>
      <c r="I106" s="32"/>
      <c r="J106" s="32"/>
      <c r="K106" s="32"/>
      <c r="L106" s="32"/>
      <c r="M106" s="32"/>
      <c r="N106" s="32"/>
      <c r="O106" s="32"/>
      <c r="P106" s="33"/>
      <c r="Q106" s="18"/>
      <c r="R106" s="31"/>
      <c r="S106" s="32"/>
      <c r="T106" s="32"/>
      <c r="U106" s="32"/>
      <c r="V106" s="32"/>
      <c r="W106" s="32"/>
      <c r="X106" s="32"/>
      <c r="Y106" s="32"/>
      <c r="Z106" s="32"/>
      <c r="AA106" s="33"/>
      <c r="AB106" s="48" t="e">
        <f t="shared" ref="AB106:AB137" si="4">Y106/N106</f>
        <v>#DIV/0!</v>
      </c>
      <c r="AC106" s="49" t="e">
        <f t="shared" ref="AC106:AC137" si="5">Z106/O106</f>
        <v>#DIV/0!</v>
      </c>
      <c r="AD106" s="19"/>
      <c r="AE106" s="19"/>
      <c r="AF106" s="284" t="s">
        <v>126</v>
      </c>
      <c r="AG106" s="239" t="e" cm="1">
        <f t="array" ref="AG106">bdRateExtend($G106:$G109,G106:G109,$R106:$R109,R106:R109)</f>
        <v>#VALUE!</v>
      </c>
      <c r="AH106" s="241" t="e" cm="1">
        <f t="array" ref="AH106">bdRateExtend($G106:$G111,H106:H111,$R106:$R111,S106:S111)</f>
        <v>#VALUE!</v>
      </c>
      <c r="AI106" s="241" t="e" cm="1">
        <f t="array" ref="AI106">bdRateExtend($G106:$G111,I106:I111,$R106:$R111,T106:T111)</f>
        <v>#VALUE!</v>
      </c>
      <c r="AJ106" s="244" t="e" cm="1">
        <f t="array" ref="AJ106">bdRateExtend($G106:$G111,J106:J111,$R106:$R111,U106:U111)</f>
        <v>#VALUE!</v>
      </c>
      <c r="AK106" s="239" t="e" cm="1">
        <f t="array" ref="AK106">bdRateExtend($G106:$G109,K106:K109,$R106:$R109,V106:V109)</f>
        <v>#VALUE!</v>
      </c>
      <c r="AL106" s="248" t="e" cm="1">
        <f t="array" ref="AL106">bdRateExtend($G106:$G111,K106:K111,$R106:$R111,V106:V111)</f>
        <v>#VALUE!</v>
      </c>
      <c r="AM106" s="239" t="e" cm="1">
        <f t="array" ref="AM106">bdRateExtend($G106:$G109,L106:L109,$R106:$R109,W106:W109)</f>
        <v>#VALUE!</v>
      </c>
      <c r="AN106" s="248" t="e" cm="1">
        <f t="array" ref="AN106">bdRateExtend($G106:$G111,L106:L111,$R106:$R111,W106:W111)</f>
        <v>#VALUE!</v>
      </c>
      <c r="AO106" s="254" t="e" cm="1">
        <f t="array" ref="AO106">bdRateExtend($G106:$G109,M106:M109,$R106:$R109,X106:X109)</f>
        <v>#VALUE!</v>
      </c>
      <c r="AP106" s="248" t="e" cm="1">
        <f t="array" ref="AP106">bdRateExtend($G106:$G111,M106:M111,$R106:$R111,X106:X111)</f>
        <v>#VALUE!</v>
      </c>
    </row>
    <row r="107" spans="1:42" ht="17.100000000000001" customHeight="1" outlineLevel="4" x14ac:dyDescent="0.25">
      <c r="A107" s="222"/>
      <c r="B107" s="219"/>
      <c r="C107" s="229"/>
      <c r="D107" s="232"/>
      <c r="E107" s="235"/>
      <c r="F107" s="16">
        <v>31</v>
      </c>
      <c r="G107" s="34"/>
      <c r="H107" s="39"/>
      <c r="I107" s="39"/>
      <c r="J107" s="39"/>
      <c r="K107" s="39"/>
      <c r="L107" s="39"/>
      <c r="M107" s="39"/>
      <c r="N107" s="39"/>
      <c r="O107" s="39"/>
      <c r="P107" s="35"/>
      <c r="Q107" s="18"/>
      <c r="R107" s="34"/>
      <c r="S107" s="39"/>
      <c r="T107" s="39"/>
      <c r="U107" s="39"/>
      <c r="V107" s="39"/>
      <c r="W107" s="39"/>
      <c r="X107" s="39"/>
      <c r="Y107" s="39"/>
      <c r="Z107" s="39"/>
      <c r="AA107" s="35"/>
      <c r="AB107" s="50" t="e">
        <f t="shared" si="4"/>
        <v>#DIV/0!</v>
      </c>
      <c r="AC107" s="51" t="e">
        <f t="shared" si="5"/>
        <v>#DIV/0!</v>
      </c>
      <c r="AD107" s="19"/>
      <c r="AE107" s="19"/>
      <c r="AF107" s="285"/>
      <c r="AG107" s="240"/>
      <c r="AH107" s="242"/>
      <c r="AI107" s="242"/>
      <c r="AJ107" s="245"/>
      <c r="AK107" s="240"/>
      <c r="AL107" s="249"/>
      <c r="AM107" s="240"/>
      <c r="AN107" s="249"/>
      <c r="AO107" s="252"/>
      <c r="AP107" s="249"/>
    </row>
    <row r="108" spans="1:42" ht="17.100000000000001" customHeight="1" outlineLevel="4" x14ac:dyDescent="0.25">
      <c r="A108" s="222"/>
      <c r="B108" s="219"/>
      <c r="C108" s="229"/>
      <c r="D108" s="232"/>
      <c r="E108" s="235"/>
      <c r="F108" s="16">
        <v>39</v>
      </c>
      <c r="G108" s="34"/>
      <c r="H108" s="39"/>
      <c r="I108" s="39"/>
      <c r="J108" s="39"/>
      <c r="K108" s="39"/>
      <c r="L108" s="39"/>
      <c r="M108" s="39"/>
      <c r="N108" s="39"/>
      <c r="O108" s="39"/>
      <c r="P108" s="35"/>
      <c r="Q108" s="18"/>
      <c r="R108" s="34"/>
      <c r="S108" s="39"/>
      <c r="T108" s="39"/>
      <c r="U108" s="39"/>
      <c r="V108" s="39"/>
      <c r="W108" s="39"/>
      <c r="X108" s="39"/>
      <c r="Y108" s="39"/>
      <c r="Z108" s="39"/>
      <c r="AA108" s="35"/>
      <c r="AB108" s="50" t="e">
        <f t="shared" si="4"/>
        <v>#DIV/0!</v>
      </c>
      <c r="AC108" s="51" t="e">
        <f t="shared" si="5"/>
        <v>#DIV/0!</v>
      </c>
      <c r="AD108" s="19"/>
      <c r="AE108" s="19"/>
      <c r="AF108" s="285" t="s">
        <v>127</v>
      </c>
      <c r="AG108" s="240" t="e" cm="1">
        <f t="array" ref="AG108">bdRateExtend($G107:$G110,G107:G110,$R107:$R110,R107:R110)</f>
        <v>#VALUE!</v>
      </c>
      <c r="AH108" s="242"/>
      <c r="AI108" s="242"/>
      <c r="AJ108" s="245"/>
      <c r="AK108" s="240" t="e" cm="1">
        <f t="array" ref="AK108">bdRateExtend($G107:$G110,K107:K110,$R107:$R110,V107:V110)</f>
        <v>#VALUE!</v>
      </c>
      <c r="AL108" s="249"/>
      <c r="AM108" s="240" t="e" cm="1">
        <f t="array" ref="AM108">bdRateExtend($G107:$G110,L107:L110,$R107:$R110,W107:W110)</f>
        <v>#VALUE!</v>
      </c>
      <c r="AN108" s="249"/>
      <c r="AO108" s="252" t="e" cm="1">
        <f t="array" ref="AO108">bdRateExtend($G107:$G110,M107:M110,$R107:$R110,X107:X110)</f>
        <v>#VALUE!</v>
      </c>
      <c r="AP108" s="249"/>
    </row>
    <row r="109" spans="1:42" ht="17.100000000000001" customHeight="1" outlineLevel="4" x14ac:dyDescent="0.25">
      <c r="A109" s="222"/>
      <c r="B109" s="219"/>
      <c r="C109" s="229"/>
      <c r="D109" s="232"/>
      <c r="E109" s="235"/>
      <c r="F109" s="16">
        <v>47</v>
      </c>
      <c r="G109" s="34"/>
      <c r="H109" s="39"/>
      <c r="I109" s="39"/>
      <c r="J109" s="39"/>
      <c r="K109" s="39"/>
      <c r="L109" s="39"/>
      <c r="M109" s="39"/>
      <c r="N109" s="39"/>
      <c r="O109" s="39"/>
      <c r="P109" s="35"/>
      <c r="Q109" s="18"/>
      <c r="R109" s="34"/>
      <c r="S109" s="39"/>
      <c r="T109" s="39"/>
      <c r="U109" s="39"/>
      <c r="V109" s="39"/>
      <c r="W109" s="39"/>
      <c r="X109" s="39"/>
      <c r="Y109" s="39"/>
      <c r="Z109" s="39"/>
      <c r="AA109" s="35"/>
      <c r="AB109" s="50" t="e">
        <f t="shared" si="4"/>
        <v>#DIV/0!</v>
      </c>
      <c r="AC109" s="51" t="e">
        <f t="shared" si="5"/>
        <v>#DIV/0!</v>
      </c>
      <c r="AD109" s="19"/>
      <c r="AE109" s="19"/>
      <c r="AF109" s="285"/>
      <c r="AG109" s="240"/>
      <c r="AH109" s="242"/>
      <c r="AI109" s="242"/>
      <c r="AJ109" s="245"/>
      <c r="AK109" s="240"/>
      <c r="AL109" s="249"/>
      <c r="AM109" s="240"/>
      <c r="AN109" s="249"/>
      <c r="AO109" s="252"/>
      <c r="AP109" s="249"/>
    </row>
    <row r="110" spans="1:42" ht="17.100000000000001" customHeight="1" outlineLevel="4" x14ac:dyDescent="0.25">
      <c r="A110" s="222"/>
      <c r="B110" s="219"/>
      <c r="C110" s="229"/>
      <c r="D110" s="232"/>
      <c r="E110" s="235"/>
      <c r="F110" s="16">
        <v>55</v>
      </c>
      <c r="G110" s="34"/>
      <c r="H110" s="39"/>
      <c r="I110" s="39"/>
      <c r="J110" s="39"/>
      <c r="K110" s="39"/>
      <c r="L110" s="39"/>
      <c r="M110" s="39"/>
      <c r="N110" s="39"/>
      <c r="O110" s="39"/>
      <c r="P110" s="35"/>
      <c r="Q110" s="18"/>
      <c r="R110" s="34"/>
      <c r="S110" s="39"/>
      <c r="T110" s="39"/>
      <c r="U110" s="39"/>
      <c r="V110" s="39"/>
      <c r="W110" s="39"/>
      <c r="X110" s="39"/>
      <c r="Y110" s="39"/>
      <c r="Z110" s="39"/>
      <c r="AA110" s="35"/>
      <c r="AB110" s="50" t="e">
        <f t="shared" si="4"/>
        <v>#DIV/0!</v>
      </c>
      <c r="AC110" s="51" t="e">
        <f t="shared" si="5"/>
        <v>#DIV/0!</v>
      </c>
      <c r="AD110" s="19"/>
      <c r="AE110" s="19"/>
      <c r="AF110" s="285" t="s">
        <v>128</v>
      </c>
      <c r="AG110" s="240" t="e" cm="1">
        <f t="array" ref="AG110">bdRateExtend($G108:$G111,G108:G111,$R108:$R111,R108:R111)</f>
        <v>#VALUE!</v>
      </c>
      <c r="AH110" s="242"/>
      <c r="AI110" s="242"/>
      <c r="AJ110" s="245"/>
      <c r="AK110" s="240" t="e" cm="1">
        <f t="array" ref="AK110">bdRateExtend($G108:$G111,K108:K111,$R108:$R111,V108:V111)</f>
        <v>#VALUE!</v>
      </c>
      <c r="AL110" s="249"/>
      <c r="AM110" s="240" t="e" cm="1">
        <f t="array" ref="AM110">bdRateExtend($G108:$G111,L108:L111,$R108:$R111,W108:W111)</f>
        <v>#VALUE!</v>
      </c>
      <c r="AN110" s="249"/>
      <c r="AO110" s="252" t="e" cm="1">
        <f t="array" ref="AO110">bdRateExtend($G108:$G111,M108:M111,$R108:$R111,X108:X111)</f>
        <v>#VALUE!</v>
      </c>
      <c r="AP110" s="249"/>
    </row>
    <row r="111" spans="1:42" ht="17.100000000000001" customHeight="1" outlineLevel="4" thickBot="1" x14ac:dyDescent="0.3">
      <c r="A111" s="222"/>
      <c r="B111" s="220"/>
      <c r="C111" s="230"/>
      <c r="D111" s="233"/>
      <c r="E111" s="236"/>
      <c r="F111" s="9">
        <v>63</v>
      </c>
      <c r="G111" s="36"/>
      <c r="H111" s="37"/>
      <c r="I111" s="37"/>
      <c r="J111" s="37"/>
      <c r="K111" s="37"/>
      <c r="L111" s="37"/>
      <c r="M111" s="37"/>
      <c r="N111" s="37"/>
      <c r="O111" s="37"/>
      <c r="P111" s="38"/>
      <c r="Q111" s="18"/>
      <c r="R111" s="36"/>
      <c r="S111" s="37"/>
      <c r="T111" s="37"/>
      <c r="U111" s="37"/>
      <c r="V111" s="37"/>
      <c r="W111" s="37"/>
      <c r="X111" s="37"/>
      <c r="Y111" s="37"/>
      <c r="Z111" s="37"/>
      <c r="AA111" s="38"/>
      <c r="AB111" s="52" t="e">
        <f t="shared" si="4"/>
        <v>#DIV/0!</v>
      </c>
      <c r="AC111" s="53" t="e">
        <f t="shared" si="5"/>
        <v>#DIV/0!</v>
      </c>
      <c r="AD111" s="19"/>
      <c r="AE111" s="19"/>
      <c r="AF111" s="286"/>
      <c r="AG111" s="247"/>
      <c r="AH111" s="243"/>
      <c r="AI111" s="243"/>
      <c r="AJ111" s="246"/>
      <c r="AK111" s="247"/>
      <c r="AL111" s="250"/>
      <c r="AM111" s="247"/>
      <c r="AN111" s="250"/>
      <c r="AO111" s="253"/>
      <c r="AP111" s="250"/>
    </row>
    <row r="112" spans="1:42" ht="17.100000000000001" customHeight="1" outlineLevel="4" x14ac:dyDescent="0.25">
      <c r="A112" s="222"/>
      <c r="B112" s="218" t="s">
        <v>2</v>
      </c>
      <c r="C112" s="228" t="s">
        <v>47</v>
      </c>
      <c r="D112" s="231">
        <v>29.97</v>
      </c>
      <c r="E112" s="234" t="s">
        <v>23</v>
      </c>
      <c r="F112" s="7">
        <v>23</v>
      </c>
      <c r="G112" s="31"/>
      <c r="H112" s="32"/>
      <c r="I112" s="32"/>
      <c r="J112" s="32"/>
      <c r="K112" s="32"/>
      <c r="L112" s="32"/>
      <c r="M112" s="32"/>
      <c r="N112" s="32"/>
      <c r="O112" s="32"/>
      <c r="P112" s="33"/>
      <c r="Q112" s="18"/>
      <c r="R112" s="31"/>
      <c r="S112" s="32"/>
      <c r="T112" s="32"/>
      <c r="U112" s="32"/>
      <c r="V112" s="32"/>
      <c r="W112" s="32"/>
      <c r="X112" s="32"/>
      <c r="Y112" s="32"/>
      <c r="Z112" s="32"/>
      <c r="AA112" s="33"/>
      <c r="AB112" s="48" t="e">
        <f t="shared" si="4"/>
        <v>#DIV/0!</v>
      </c>
      <c r="AC112" s="49" t="e">
        <f t="shared" si="5"/>
        <v>#DIV/0!</v>
      </c>
      <c r="AD112" s="19"/>
      <c r="AE112" s="19"/>
      <c r="AF112" s="284" t="s">
        <v>126</v>
      </c>
      <c r="AG112" s="239" t="e" cm="1">
        <f t="array" ref="AG112">bdRateExtend($G112:$G115,G112:G115,$R112:$R115,R112:R115)</f>
        <v>#VALUE!</v>
      </c>
      <c r="AH112" s="241" t="e" cm="1">
        <f t="array" ref="AH112">bdRateExtend($G112:$G117,H112:H117,$R112:$R117,S112:S117)</f>
        <v>#VALUE!</v>
      </c>
      <c r="AI112" s="241" t="e" cm="1">
        <f t="array" ref="AI112">bdRateExtend($G112:$G117,I112:I117,$R112:$R117,T112:T117)</f>
        <v>#VALUE!</v>
      </c>
      <c r="AJ112" s="244" t="e" cm="1">
        <f t="array" ref="AJ112">bdRateExtend($G112:$G117,J112:J117,$R112:$R117,U112:U117)</f>
        <v>#VALUE!</v>
      </c>
      <c r="AK112" s="239" t="e" cm="1">
        <f t="array" ref="AK112">bdRateExtend($G112:$G115,K112:K115,$R112:$R115,V112:V115)</f>
        <v>#VALUE!</v>
      </c>
      <c r="AL112" s="248" t="e" cm="1">
        <f t="array" ref="AL112">bdRateExtend($G112:$G117,K112:K117,$R112:$R117,V112:V117)</f>
        <v>#VALUE!</v>
      </c>
      <c r="AM112" s="239" t="e" cm="1">
        <f t="array" ref="AM112">bdRateExtend($G112:$G115,L112:L115,$R112:$R115,W112:W115)</f>
        <v>#VALUE!</v>
      </c>
      <c r="AN112" s="248" t="e" cm="1">
        <f t="array" ref="AN112">bdRateExtend($G112:$G117,L112:L117,$R112:$R117,W112:W117)</f>
        <v>#VALUE!</v>
      </c>
      <c r="AO112" s="254" t="e" cm="1">
        <f t="array" ref="AO112">bdRateExtend($G112:$G115,M112:M115,$R112:$R115,X112:X115)</f>
        <v>#VALUE!</v>
      </c>
      <c r="AP112" s="248" t="e" cm="1">
        <f t="array" ref="AP112">bdRateExtend($G112:$G117,M112:M117,$R112:$R117,X112:X117)</f>
        <v>#VALUE!</v>
      </c>
    </row>
    <row r="113" spans="1:42" ht="17.100000000000001" customHeight="1" outlineLevel="4" x14ac:dyDescent="0.25">
      <c r="A113" s="222"/>
      <c r="B113" s="219"/>
      <c r="C113" s="229"/>
      <c r="D113" s="232"/>
      <c r="E113" s="235"/>
      <c r="F113" s="16">
        <v>31</v>
      </c>
      <c r="G113" s="34"/>
      <c r="H113" s="39"/>
      <c r="I113" s="39"/>
      <c r="J113" s="39"/>
      <c r="K113" s="39"/>
      <c r="L113" s="39"/>
      <c r="M113" s="39"/>
      <c r="N113" s="39"/>
      <c r="O113" s="39"/>
      <c r="P113" s="35"/>
      <c r="Q113" s="18"/>
      <c r="R113" s="34"/>
      <c r="S113" s="39"/>
      <c r="T113" s="39"/>
      <c r="U113" s="39"/>
      <c r="V113" s="39"/>
      <c r="W113" s="39"/>
      <c r="X113" s="39"/>
      <c r="Y113" s="39"/>
      <c r="Z113" s="39"/>
      <c r="AA113" s="35"/>
      <c r="AB113" s="50" t="e">
        <f t="shared" si="4"/>
        <v>#DIV/0!</v>
      </c>
      <c r="AC113" s="51" t="e">
        <f t="shared" si="5"/>
        <v>#DIV/0!</v>
      </c>
      <c r="AD113" s="19"/>
      <c r="AE113" s="19"/>
      <c r="AF113" s="285"/>
      <c r="AG113" s="240"/>
      <c r="AH113" s="242"/>
      <c r="AI113" s="242"/>
      <c r="AJ113" s="245"/>
      <c r="AK113" s="240"/>
      <c r="AL113" s="249"/>
      <c r="AM113" s="240"/>
      <c r="AN113" s="249"/>
      <c r="AO113" s="252"/>
      <c r="AP113" s="249"/>
    </row>
    <row r="114" spans="1:42" ht="17.100000000000001" customHeight="1" outlineLevel="4" x14ac:dyDescent="0.25">
      <c r="A114" s="222"/>
      <c r="B114" s="219"/>
      <c r="C114" s="229"/>
      <c r="D114" s="232"/>
      <c r="E114" s="235"/>
      <c r="F114" s="16">
        <v>39</v>
      </c>
      <c r="G114" s="34"/>
      <c r="H114" s="39"/>
      <c r="I114" s="39"/>
      <c r="J114" s="39"/>
      <c r="K114" s="39"/>
      <c r="L114" s="39"/>
      <c r="M114" s="39"/>
      <c r="N114" s="39"/>
      <c r="O114" s="39"/>
      <c r="P114" s="35"/>
      <c r="Q114" s="18"/>
      <c r="R114" s="34"/>
      <c r="S114" s="39"/>
      <c r="T114" s="39"/>
      <c r="U114" s="39"/>
      <c r="V114" s="39"/>
      <c r="W114" s="39"/>
      <c r="X114" s="39"/>
      <c r="Y114" s="39"/>
      <c r="Z114" s="39"/>
      <c r="AA114" s="35"/>
      <c r="AB114" s="50" t="e">
        <f t="shared" si="4"/>
        <v>#DIV/0!</v>
      </c>
      <c r="AC114" s="51" t="e">
        <f t="shared" si="5"/>
        <v>#DIV/0!</v>
      </c>
      <c r="AD114" s="19"/>
      <c r="AE114" s="19"/>
      <c r="AF114" s="285" t="s">
        <v>127</v>
      </c>
      <c r="AG114" s="240" t="e" cm="1">
        <f t="array" ref="AG114">bdRateExtend($G113:$G116,G113:G116,$R113:$R116,R113:R116)</f>
        <v>#VALUE!</v>
      </c>
      <c r="AH114" s="242"/>
      <c r="AI114" s="242"/>
      <c r="AJ114" s="245"/>
      <c r="AK114" s="240" t="e" cm="1">
        <f t="array" ref="AK114">bdRateExtend($G113:$G116,K113:K116,$R113:$R116,V113:V116)</f>
        <v>#VALUE!</v>
      </c>
      <c r="AL114" s="249"/>
      <c r="AM114" s="240" t="e" cm="1">
        <f t="array" ref="AM114">bdRateExtend($G113:$G116,L113:L116,$R113:$R116,W113:W116)</f>
        <v>#VALUE!</v>
      </c>
      <c r="AN114" s="249"/>
      <c r="AO114" s="252" t="e" cm="1">
        <f t="array" ref="AO114">bdRateExtend($G113:$G116,M113:M116,$R113:$R116,X113:X116)</f>
        <v>#VALUE!</v>
      </c>
      <c r="AP114" s="249"/>
    </row>
    <row r="115" spans="1:42" ht="17.100000000000001" customHeight="1" outlineLevel="4" x14ac:dyDescent="0.25">
      <c r="A115" s="222"/>
      <c r="B115" s="219"/>
      <c r="C115" s="229"/>
      <c r="D115" s="232"/>
      <c r="E115" s="235"/>
      <c r="F115" s="16">
        <v>47</v>
      </c>
      <c r="G115" s="34"/>
      <c r="H115" s="39"/>
      <c r="I115" s="39"/>
      <c r="J115" s="39"/>
      <c r="K115" s="39"/>
      <c r="L115" s="39"/>
      <c r="M115" s="39"/>
      <c r="N115" s="39"/>
      <c r="O115" s="39"/>
      <c r="P115" s="35"/>
      <c r="Q115" s="18"/>
      <c r="R115" s="34"/>
      <c r="S115" s="39"/>
      <c r="T115" s="39"/>
      <c r="U115" s="39"/>
      <c r="V115" s="39"/>
      <c r="W115" s="39"/>
      <c r="X115" s="39"/>
      <c r="Y115" s="39"/>
      <c r="Z115" s="39"/>
      <c r="AA115" s="35"/>
      <c r="AB115" s="50" t="e">
        <f t="shared" si="4"/>
        <v>#DIV/0!</v>
      </c>
      <c r="AC115" s="51" t="e">
        <f t="shared" si="5"/>
        <v>#DIV/0!</v>
      </c>
      <c r="AD115" s="19"/>
      <c r="AE115" s="19"/>
      <c r="AF115" s="285"/>
      <c r="AG115" s="240"/>
      <c r="AH115" s="242"/>
      <c r="AI115" s="242"/>
      <c r="AJ115" s="245"/>
      <c r="AK115" s="240"/>
      <c r="AL115" s="249"/>
      <c r="AM115" s="240"/>
      <c r="AN115" s="249"/>
      <c r="AO115" s="252"/>
      <c r="AP115" s="249"/>
    </row>
    <row r="116" spans="1:42" ht="17.100000000000001" customHeight="1" outlineLevel="4" x14ac:dyDescent="0.25">
      <c r="A116" s="222"/>
      <c r="B116" s="219"/>
      <c r="C116" s="229"/>
      <c r="D116" s="232"/>
      <c r="E116" s="235"/>
      <c r="F116" s="16">
        <v>55</v>
      </c>
      <c r="G116" s="34"/>
      <c r="H116" s="39"/>
      <c r="I116" s="39"/>
      <c r="J116" s="39"/>
      <c r="K116" s="39"/>
      <c r="L116" s="39"/>
      <c r="M116" s="39"/>
      <c r="N116" s="39"/>
      <c r="O116" s="39"/>
      <c r="P116" s="35"/>
      <c r="Q116" s="18"/>
      <c r="R116" s="34"/>
      <c r="S116" s="39"/>
      <c r="T116" s="39"/>
      <c r="U116" s="39"/>
      <c r="V116" s="39"/>
      <c r="W116" s="39"/>
      <c r="X116" s="39"/>
      <c r="Y116" s="39"/>
      <c r="Z116" s="39"/>
      <c r="AA116" s="35"/>
      <c r="AB116" s="50" t="e">
        <f t="shared" si="4"/>
        <v>#DIV/0!</v>
      </c>
      <c r="AC116" s="51" t="e">
        <f t="shared" si="5"/>
        <v>#DIV/0!</v>
      </c>
      <c r="AD116" s="19"/>
      <c r="AE116" s="19"/>
      <c r="AF116" s="285" t="s">
        <v>128</v>
      </c>
      <c r="AG116" s="240" t="e" cm="1">
        <f t="array" ref="AG116">bdRateExtend($G114:$G117,G114:G117,$R114:$R117,R114:R117)</f>
        <v>#VALUE!</v>
      </c>
      <c r="AH116" s="242"/>
      <c r="AI116" s="242"/>
      <c r="AJ116" s="245"/>
      <c r="AK116" s="240" t="e" cm="1">
        <f t="array" ref="AK116">bdRateExtend($G114:$G117,K114:K117,$R114:$R117,V114:V117)</f>
        <v>#VALUE!</v>
      </c>
      <c r="AL116" s="249"/>
      <c r="AM116" s="240" t="e" cm="1">
        <f t="array" ref="AM116">bdRateExtend($G114:$G117,L114:L117,$R114:$R117,W114:W117)</f>
        <v>#VALUE!</v>
      </c>
      <c r="AN116" s="249"/>
      <c r="AO116" s="252" t="e" cm="1">
        <f t="array" ref="AO116">bdRateExtend($G114:$G117,M114:M117,$R114:$R117,X114:X117)</f>
        <v>#VALUE!</v>
      </c>
      <c r="AP116" s="249"/>
    </row>
    <row r="117" spans="1:42" ht="17.100000000000001" customHeight="1" outlineLevel="4" thickBot="1" x14ac:dyDescent="0.3">
      <c r="A117" s="222"/>
      <c r="B117" s="220"/>
      <c r="C117" s="230"/>
      <c r="D117" s="233"/>
      <c r="E117" s="236"/>
      <c r="F117" s="9">
        <v>63</v>
      </c>
      <c r="G117" s="36"/>
      <c r="H117" s="37"/>
      <c r="I117" s="37"/>
      <c r="J117" s="37"/>
      <c r="K117" s="37"/>
      <c r="L117" s="37"/>
      <c r="M117" s="37"/>
      <c r="N117" s="37"/>
      <c r="O117" s="37"/>
      <c r="P117" s="38"/>
      <c r="Q117" s="18"/>
      <c r="R117" s="36"/>
      <c r="S117" s="37"/>
      <c r="T117" s="37"/>
      <c r="U117" s="37"/>
      <c r="V117" s="37"/>
      <c r="W117" s="37"/>
      <c r="X117" s="37"/>
      <c r="Y117" s="37"/>
      <c r="Z117" s="37"/>
      <c r="AA117" s="38"/>
      <c r="AB117" s="52" t="e">
        <f t="shared" si="4"/>
        <v>#DIV/0!</v>
      </c>
      <c r="AC117" s="53" t="e">
        <f t="shared" si="5"/>
        <v>#DIV/0!</v>
      </c>
      <c r="AD117" s="19"/>
      <c r="AE117" s="19"/>
      <c r="AF117" s="286"/>
      <c r="AG117" s="247"/>
      <c r="AH117" s="243"/>
      <c r="AI117" s="243"/>
      <c r="AJ117" s="246"/>
      <c r="AK117" s="247"/>
      <c r="AL117" s="250"/>
      <c r="AM117" s="247"/>
      <c r="AN117" s="250"/>
      <c r="AO117" s="253"/>
      <c r="AP117" s="250"/>
    </row>
    <row r="118" spans="1:42" ht="17.100000000000001" customHeight="1" outlineLevel="4" x14ac:dyDescent="0.25">
      <c r="A118" s="222"/>
      <c r="B118" s="218" t="s">
        <v>2</v>
      </c>
      <c r="C118" s="228" t="s">
        <v>48</v>
      </c>
      <c r="D118" s="231">
        <v>30</v>
      </c>
      <c r="E118" s="234" t="s">
        <v>23</v>
      </c>
      <c r="F118" s="7">
        <v>23</v>
      </c>
      <c r="G118" s="31"/>
      <c r="H118" s="32"/>
      <c r="I118" s="32"/>
      <c r="J118" s="32"/>
      <c r="K118" s="32"/>
      <c r="L118" s="32"/>
      <c r="M118" s="32"/>
      <c r="N118" s="32"/>
      <c r="O118" s="32"/>
      <c r="P118" s="33"/>
      <c r="Q118" s="18"/>
      <c r="R118" s="31"/>
      <c r="S118" s="32"/>
      <c r="T118" s="32"/>
      <c r="U118" s="32"/>
      <c r="V118" s="32"/>
      <c r="W118" s="32"/>
      <c r="X118" s="32"/>
      <c r="Y118" s="32"/>
      <c r="Z118" s="32"/>
      <c r="AA118" s="33"/>
      <c r="AB118" s="48" t="e">
        <f t="shared" si="4"/>
        <v>#DIV/0!</v>
      </c>
      <c r="AC118" s="49" t="e">
        <f t="shared" si="5"/>
        <v>#DIV/0!</v>
      </c>
      <c r="AD118" s="19"/>
      <c r="AE118" s="19"/>
      <c r="AF118" s="284" t="s">
        <v>126</v>
      </c>
      <c r="AG118" s="239" t="e" cm="1">
        <f t="array" ref="AG118">bdRateExtend($G118:$G121,G118:G121,$R118:$R121,R118:R121)</f>
        <v>#VALUE!</v>
      </c>
      <c r="AH118" s="241" t="e" cm="1">
        <f t="array" ref="AH118">bdRateExtend($G118:$G123,H118:H123,$R118:$R123,S118:S123)</f>
        <v>#VALUE!</v>
      </c>
      <c r="AI118" s="241" t="e" cm="1">
        <f t="array" ref="AI118">bdRateExtend($G118:$G123,I118:I123,$R118:$R123,T118:T123)</f>
        <v>#VALUE!</v>
      </c>
      <c r="AJ118" s="244" t="e" cm="1">
        <f t="array" ref="AJ118">bdRateExtend($G118:$G123,J118:J123,$R118:$R123,U118:U123)</f>
        <v>#VALUE!</v>
      </c>
      <c r="AK118" s="239" t="e" cm="1">
        <f t="array" ref="AK118">bdRateExtend($G118:$G121,K118:K121,$R118:$R121,V118:V121)</f>
        <v>#VALUE!</v>
      </c>
      <c r="AL118" s="248" t="e" cm="1">
        <f t="array" ref="AL118">bdRateExtend($G118:$G123,K118:K123,$R118:$R123,V118:V123)</f>
        <v>#VALUE!</v>
      </c>
      <c r="AM118" s="239" t="e" cm="1">
        <f t="array" ref="AM118">bdRateExtend($G118:$G121,L118:L121,$R118:$R121,W118:W121)</f>
        <v>#VALUE!</v>
      </c>
      <c r="AN118" s="248" t="e" cm="1">
        <f t="array" ref="AN118">bdRateExtend($G118:$G123,L118:L123,$R118:$R123,W118:W123)</f>
        <v>#VALUE!</v>
      </c>
      <c r="AO118" s="254" t="e" cm="1">
        <f t="array" ref="AO118">bdRateExtend($G118:$G121,M118:M121,$R118:$R121,X118:X121)</f>
        <v>#VALUE!</v>
      </c>
      <c r="AP118" s="248" t="e" cm="1">
        <f t="array" ref="AP118">bdRateExtend($G118:$G123,M118:M123,$R118:$R123,X118:X123)</f>
        <v>#VALUE!</v>
      </c>
    </row>
    <row r="119" spans="1:42" ht="17.100000000000001" customHeight="1" outlineLevel="4" x14ac:dyDescent="0.25">
      <c r="A119" s="222"/>
      <c r="B119" s="219"/>
      <c r="C119" s="229"/>
      <c r="D119" s="232"/>
      <c r="E119" s="235"/>
      <c r="F119" s="16">
        <v>31</v>
      </c>
      <c r="G119" s="34"/>
      <c r="H119" s="39"/>
      <c r="I119" s="39"/>
      <c r="J119" s="39"/>
      <c r="K119" s="39"/>
      <c r="L119" s="39"/>
      <c r="M119" s="39"/>
      <c r="N119" s="39"/>
      <c r="O119" s="39"/>
      <c r="P119" s="35"/>
      <c r="Q119" s="18"/>
      <c r="R119" s="34"/>
      <c r="S119" s="39"/>
      <c r="T119" s="39"/>
      <c r="U119" s="39"/>
      <c r="V119" s="39"/>
      <c r="W119" s="39"/>
      <c r="X119" s="39"/>
      <c r="Y119" s="39"/>
      <c r="Z119" s="39"/>
      <c r="AA119" s="35"/>
      <c r="AB119" s="50" t="e">
        <f t="shared" si="4"/>
        <v>#DIV/0!</v>
      </c>
      <c r="AC119" s="51" t="e">
        <f t="shared" si="5"/>
        <v>#DIV/0!</v>
      </c>
      <c r="AD119" s="19"/>
      <c r="AE119" s="19"/>
      <c r="AF119" s="285"/>
      <c r="AG119" s="240"/>
      <c r="AH119" s="242"/>
      <c r="AI119" s="242"/>
      <c r="AJ119" s="245"/>
      <c r="AK119" s="240"/>
      <c r="AL119" s="249"/>
      <c r="AM119" s="240"/>
      <c r="AN119" s="249"/>
      <c r="AO119" s="252"/>
      <c r="AP119" s="249"/>
    </row>
    <row r="120" spans="1:42" ht="17.100000000000001" customHeight="1" outlineLevel="4" x14ac:dyDescent="0.25">
      <c r="A120" s="222"/>
      <c r="B120" s="219"/>
      <c r="C120" s="229"/>
      <c r="D120" s="232"/>
      <c r="E120" s="235"/>
      <c r="F120" s="16">
        <v>39</v>
      </c>
      <c r="G120" s="34"/>
      <c r="H120" s="39"/>
      <c r="I120" s="39"/>
      <c r="J120" s="39"/>
      <c r="K120" s="39"/>
      <c r="L120" s="39"/>
      <c r="M120" s="39"/>
      <c r="N120" s="39"/>
      <c r="O120" s="39"/>
      <c r="P120" s="35"/>
      <c r="Q120" s="18"/>
      <c r="R120" s="34"/>
      <c r="S120" s="39"/>
      <c r="T120" s="39"/>
      <c r="U120" s="39"/>
      <c r="V120" s="39"/>
      <c r="W120" s="39"/>
      <c r="X120" s="39"/>
      <c r="Y120" s="39"/>
      <c r="Z120" s="39"/>
      <c r="AA120" s="35"/>
      <c r="AB120" s="50" t="e">
        <f t="shared" si="4"/>
        <v>#DIV/0!</v>
      </c>
      <c r="AC120" s="51" t="e">
        <f t="shared" si="5"/>
        <v>#DIV/0!</v>
      </c>
      <c r="AD120" s="19"/>
      <c r="AE120" s="19"/>
      <c r="AF120" s="285" t="s">
        <v>127</v>
      </c>
      <c r="AG120" s="240" t="e" cm="1">
        <f t="array" ref="AG120">bdRateExtend($G119:$G122,G119:G122,$R119:$R122,R119:R122)</f>
        <v>#VALUE!</v>
      </c>
      <c r="AH120" s="242"/>
      <c r="AI120" s="242"/>
      <c r="AJ120" s="245"/>
      <c r="AK120" s="240" t="e" cm="1">
        <f t="array" ref="AK120">bdRateExtend($G119:$G122,K119:K122,$R119:$R122,V119:V122)</f>
        <v>#VALUE!</v>
      </c>
      <c r="AL120" s="249"/>
      <c r="AM120" s="240" t="e" cm="1">
        <f t="array" ref="AM120">bdRateExtend($G119:$G122,L119:L122,$R119:$R122,W119:W122)</f>
        <v>#VALUE!</v>
      </c>
      <c r="AN120" s="249"/>
      <c r="AO120" s="252" t="e" cm="1">
        <f t="array" ref="AO120">bdRateExtend($G119:$G122,M119:M122,$R119:$R122,X119:X122)</f>
        <v>#VALUE!</v>
      </c>
      <c r="AP120" s="249"/>
    </row>
    <row r="121" spans="1:42" ht="17.100000000000001" customHeight="1" outlineLevel="4" x14ac:dyDescent="0.25">
      <c r="A121" s="222"/>
      <c r="B121" s="219"/>
      <c r="C121" s="229"/>
      <c r="D121" s="232"/>
      <c r="E121" s="235"/>
      <c r="F121" s="16">
        <v>47</v>
      </c>
      <c r="G121" s="34"/>
      <c r="H121" s="39"/>
      <c r="I121" s="39"/>
      <c r="J121" s="39"/>
      <c r="K121" s="39"/>
      <c r="L121" s="39"/>
      <c r="M121" s="39"/>
      <c r="N121" s="39"/>
      <c r="O121" s="39"/>
      <c r="P121" s="35"/>
      <c r="Q121" s="18"/>
      <c r="R121" s="34"/>
      <c r="S121" s="39"/>
      <c r="T121" s="39"/>
      <c r="U121" s="39"/>
      <c r="V121" s="39"/>
      <c r="W121" s="39"/>
      <c r="X121" s="39"/>
      <c r="Y121" s="39"/>
      <c r="Z121" s="39"/>
      <c r="AA121" s="35"/>
      <c r="AB121" s="50" t="e">
        <f t="shared" si="4"/>
        <v>#DIV/0!</v>
      </c>
      <c r="AC121" s="51" t="e">
        <f t="shared" si="5"/>
        <v>#DIV/0!</v>
      </c>
      <c r="AD121" s="19"/>
      <c r="AE121" s="19"/>
      <c r="AF121" s="285"/>
      <c r="AG121" s="240"/>
      <c r="AH121" s="242"/>
      <c r="AI121" s="242"/>
      <c r="AJ121" s="245"/>
      <c r="AK121" s="240"/>
      <c r="AL121" s="249"/>
      <c r="AM121" s="240"/>
      <c r="AN121" s="249"/>
      <c r="AO121" s="252"/>
      <c r="AP121" s="249"/>
    </row>
    <row r="122" spans="1:42" ht="17.100000000000001" customHeight="1" outlineLevel="4" x14ac:dyDescent="0.25">
      <c r="A122" s="222"/>
      <c r="B122" s="219"/>
      <c r="C122" s="229"/>
      <c r="D122" s="232"/>
      <c r="E122" s="235"/>
      <c r="F122" s="16">
        <v>55</v>
      </c>
      <c r="G122" s="34"/>
      <c r="H122" s="39"/>
      <c r="I122" s="39"/>
      <c r="J122" s="39"/>
      <c r="K122" s="39"/>
      <c r="L122" s="39"/>
      <c r="M122" s="39"/>
      <c r="N122" s="39"/>
      <c r="O122" s="39"/>
      <c r="P122" s="35"/>
      <c r="Q122" s="18"/>
      <c r="R122" s="34"/>
      <c r="S122" s="39"/>
      <c r="T122" s="39"/>
      <c r="U122" s="39"/>
      <c r="V122" s="39"/>
      <c r="W122" s="39"/>
      <c r="X122" s="39"/>
      <c r="Y122" s="39"/>
      <c r="Z122" s="39"/>
      <c r="AA122" s="35"/>
      <c r="AB122" s="50" t="e">
        <f t="shared" si="4"/>
        <v>#DIV/0!</v>
      </c>
      <c r="AC122" s="51" t="e">
        <f t="shared" si="5"/>
        <v>#DIV/0!</v>
      </c>
      <c r="AD122" s="19"/>
      <c r="AE122" s="19"/>
      <c r="AF122" s="285" t="s">
        <v>128</v>
      </c>
      <c r="AG122" s="240" t="e" cm="1">
        <f t="array" ref="AG122">bdRateExtend($G120:$G123,G120:G123,$R120:$R123,R120:R123)</f>
        <v>#VALUE!</v>
      </c>
      <c r="AH122" s="242"/>
      <c r="AI122" s="242"/>
      <c r="AJ122" s="245"/>
      <c r="AK122" s="240" t="e" cm="1">
        <f t="array" ref="AK122">bdRateExtend($G120:$G123,K120:K123,$R120:$R123,V120:V123)</f>
        <v>#VALUE!</v>
      </c>
      <c r="AL122" s="249"/>
      <c r="AM122" s="240" t="e" cm="1">
        <f t="array" ref="AM122">bdRateExtend($G120:$G123,L120:L123,$R120:$R123,W120:W123)</f>
        <v>#VALUE!</v>
      </c>
      <c r="AN122" s="249"/>
      <c r="AO122" s="252" t="e" cm="1">
        <f t="array" ref="AO122">bdRateExtend($G120:$G123,M120:M123,$R120:$R123,X120:X123)</f>
        <v>#VALUE!</v>
      </c>
      <c r="AP122" s="249"/>
    </row>
    <row r="123" spans="1:42" ht="17.100000000000001" customHeight="1" outlineLevel="4" thickBot="1" x14ac:dyDescent="0.3">
      <c r="A123" s="222"/>
      <c r="B123" s="220"/>
      <c r="C123" s="230"/>
      <c r="D123" s="233"/>
      <c r="E123" s="236"/>
      <c r="F123" s="9">
        <v>63</v>
      </c>
      <c r="G123" s="36"/>
      <c r="H123" s="37"/>
      <c r="I123" s="37"/>
      <c r="J123" s="37"/>
      <c r="K123" s="37"/>
      <c r="L123" s="37"/>
      <c r="M123" s="37"/>
      <c r="N123" s="37"/>
      <c r="O123" s="37"/>
      <c r="P123" s="38"/>
      <c r="Q123" s="18"/>
      <c r="R123" s="36"/>
      <c r="S123" s="37"/>
      <c r="T123" s="37"/>
      <c r="U123" s="37"/>
      <c r="V123" s="37"/>
      <c r="W123" s="37"/>
      <c r="X123" s="37"/>
      <c r="Y123" s="37"/>
      <c r="Z123" s="37"/>
      <c r="AA123" s="38"/>
      <c r="AB123" s="52" t="e">
        <f t="shared" si="4"/>
        <v>#DIV/0!</v>
      </c>
      <c r="AC123" s="53" t="e">
        <f t="shared" si="5"/>
        <v>#DIV/0!</v>
      </c>
      <c r="AD123" s="19"/>
      <c r="AE123" s="19"/>
      <c r="AF123" s="286"/>
      <c r="AG123" s="247"/>
      <c r="AH123" s="243"/>
      <c r="AI123" s="243"/>
      <c r="AJ123" s="246"/>
      <c r="AK123" s="247"/>
      <c r="AL123" s="250"/>
      <c r="AM123" s="247"/>
      <c r="AN123" s="250"/>
      <c r="AO123" s="253"/>
      <c r="AP123" s="250"/>
    </row>
    <row r="124" spans="1:42" ht="17.100000000000001" customHeight="1" outlineLevel="4" x14ac:dyDescent="0.25">
      <c r="A124" s="222"/>
      <c r="B124" s="218" t="s">
        <v>2</v>
      </c>
      <c r="C124" s="228" t="s">
        <v>49</v>
      </c>
      <c r="D124" s="231">
        <v>29.97</v>
      </c>
      <c r="E124" s="234">
        <v>10</v>
      </c>
      <c r="F124" s="7">
        <v>23</v>
      </c>
      <c r="G124" s="31"/>
      <c r="H124" s="32"/>
      <c r="I124" s="32"/>
      <c r="J124" s="32"/>
      <c r="K124" s="32"/>
      <c r="L124" s="32"/>
      <c r="M124" s="32"/>
      <c r="N124" s="32"/>
      <c r="O124" s="32"/>
      <c r="P124" s="33"/>
      <c r="Q124" s="18"/>
      <c r="R124" s="31"/>
      <c r="S124" s="32"/>
      <c r="T124" s="32"/>
      <c r="U124" s="32"/>
      <c r="V124" s="32"/>
      <c r="W124" s="32"/>
      <c r="X124" s="32"/>
      <c r="Y124" s="32"/>
      <c r="Z124" s="32"/>
      <c r="AA124" s="33"/>
      <c r="AB124" s="48" t="e">
        <f t="shared" si="4"/>
        <v>#DIV/0!</v>
      </c>
      <c r="AC124" s="49" t="e">
        <f t="shared" si="5"/>
        <v>#DIV/0!</v>
      </c>
      <c r="AD124" s="19"/>
      <c r="AE124" s="19"/>
      <c r="AF124" s="284" t="s">
        <v>126</v>
      </c>
      <c r="AG124" s="239" t="e" cm="1">
        <f t="array" ref="AG124">bdRateExtend($G124:$G127,G124:G127,$R124:$R127,R124:R127)</f>
        <v>#VALUE!</v>
      </c>
      <c r="AH124" s="241" t="e" cm="1">
        <f t="array" ref="AH124">bdRateExtend($G124:$G129,H124:H129,$R124:$R129,S124:S129)</f>
        <v>#VALUE!</v>
      </c>
      <c r="AI124" s="241" t="e" cm="1">
        <f t="array" ref="AI124">bdRateExtend($G124:$G129,I124:I129,$R124:$R129,T124:T129)</f>
        <v>#VALUE!</v>
      </c>
      <c r="AJ124" s="244" t="e" cm="1">
        <f t="array" ref="AJ124">bdRateExtend($G124:$G129,J124:J129,$R124:$R129,U124:U129)</f>
        <v>#VALUE!</v>
      </c>
      <c r="AK124" s="239" t="e" cm="1">
        <f t="array" ref="AK124">bdRateExtend($G124:$G127,K124:K127,$R124:$R127,V124:V127)</f>
        <v>#VALUE!</v>
      </c>
      <c r="AL124" s="248" t="e" cm="1">
        <f t="array" ref="AL124">bdRateExtend($G124:$G129,K124:K129,$R124:$R129,V124:V129)</f>
        <v>#VALUE!</v>
      </c>
      <c r="AM124" s="239" t="e" cm="1">
        <f t="array" ref="AM124">bdRateExtend($G124:$G127,L124:L127,$R124:$R127,W124:W127)</f>
        <v>#VALUE!</v>
      </c>
      <c r="AN124" s="248" t="e" cm="1">
        <f t="array" ref="AN124">bdRateExtend($G124:$G129,L124:L129,$R124:$R129,W124:W129)</f>
        <v>#VALUE!</v>
      </c>
      <c r="AO124" s="254" t="e" cm="1">
        <f t="array" ref="AO124">bdRateExtend($G124:$G127,M124:M127,$R124:$R127,X124:X127)</f>
        <v>#VALUE!</v>
      </c>
      <c r="AP124" s="248" t="e" cm="1">
        <f t="array" ref="AP124">bdRateExtend($G124:$G129,M124:M129,$R124:$R129,X124:X129)</f>
        <v>#VALUE!</v>
      </c>
    </row>
    <row r="125" spans="1:42" ht="17.100000000000001" customHeight="1" outlineLevel="4" x14ac:dyDescent="0.25">
      <c r="A125" s="222"/>
      <c r="B125" s="219"/>
      <c r="C125" s="229"/>
      <c r="D125" s="232"/>
      <c r="E125" s="235"/>
      <c r="F125" s="16">
        <v>31</v>
      </c>
      <c r="G125" s="34"/>
      <c r="H125" s="39"/>
      <c r="I125" s="39"/>
      <c r="J125" s="39"/>
      <c r="K125" s="39"/>
      <c r="L125" s="39"/>
      <c r="M125" s="39"/>
      <c r="N125" s="39"/>
      <c r="O125" s="39"/>
      <c r="P125" s="35"/>
      <c r="Q125" s="18"/>
      <c r="R125" s="34"/>
      <c r="S125" s="39"/>
      <c r="T125" s="39"/>
      <c r="U125" s="39"/>
      <c r="V125" s="39"/>
      <c r="W125" s="39"/>
      <c r="X125" s="39"/>
      <c r="Y125" s="39"/>
      <c r="Z125" s="39"/>
      <c r="AA125" s="35"/>
      <c r="AB125" s="50" t="e">
        <f t="shared" si="4"/>
        <v>#DIV/0!</v>
      </c>
      <c r="AC125" s="51" t="e">
        <f t="shared" si="5"/>
        <v>#DIV/0!</v>
      </c>
      <c r="AD125" s="19"/>
      <c r="AE125" s="19"/>
      <c r="AF125" s="285"/>
      <c r="AG125" s="240"/>
      <c r="AH125" s="242"/>
      <c r="AI125" s="242"/>
      <c r="AJ125" s="245"/>
      <c r="AK125" s="240"/>
      <c r="AL125" s="249"/>
      <c r="AM125" s="240"/>
      <c r="AN125" s="249"/>
      <c r="AO125" s="252"/>
      <c r="AP125" s="249"/>
    </row>
    <row r="126" spans="1:42" ht="17.100000000000001" customHeight="1" outlineLevel="4" x14ac:dyDescent="0.25">
      <c r="A126" s="222"/>
      <c r="B126" s="219"/>
      <c r="C126" s="229"/>
      <c r="D126" s="232"/>
      <c r="E126" s="235"/>
      <c r="F126" s="16">
        <v>39</v>
      </c>
      <c r="G126" s="34"/>
      <c r="H126" s="39"/>
      <c r="I126" s="39"/>
      <c r="J126" s="39"/>
      <c r="K126" s="39"/>
      <c r="L126" s="39"/>
      <c r="M126" s="39"/>
      <c r="N126" s="39"/>
      <c r="O126" s="39"/>
      <c r="P126" s="35"/>
      <c r="Q126" s="18"/>
      <c r="R126" s="34"/>
      <c r="S126" s="39"/>
      <c r="T126" s="39"/>
      <c r="U126" s="39"/>
      <c r="V126" s="39"/>
      <c r="W126" s="39"/>
      <c r="X126" s="39"/>
      <c r="Y126" s="39"/>
      <c r="Z126" s="39"/>
      <c r="AA126" s="35"/>
      <c r="AB126" s="50" t="e">
        <f t="shared" si="4"/>
        <v>#DIV/0!</v>
      </c>
      <c r="AC126" s="51" t="e">
        <f t="shared" si="5"/>
        <v>#DIV/0!</v>
      </c>
      <c r="AD126" s="19"/>
      <c r="AE126" s="19"/>
      <c r="AF126" s="285" t="s">
        <v>127</v>
      </c>
      <c r="AG126" s="240" t="e" cm="1">
        <f t="array" ref="AG126">bdRateExtend($G125:$G128,G125:G128,$R125:$R128,R125:R128)</f>
        <v>#VALUE!</v>
      </c>
      <c r="AH126" s="242"/>
      <c r="AI126" s="242"/>
      <c r="AJ126" s="245"/>
      <c r="AK126" s="240" t="e" cm="1">
        <f t="array" ref="AK126">bdRateExtend($G125:$G128,K125:K128,$R125:$R128,V125:V128)</f>
        <v>#VALUE!</v>
      </c>
      <c r="AL126" s="249"/>
      <c r="AM126" s="240" t="e" cm="1">
        <f t="array" ref="AM126">bdRateExtend($G125:$G128,L125:L128,$R125:$R128,W125:W128)</f>
        <v>#VALUE!</v>
      </c>
      <c r="AN126" s="249"/>
      <c r="AO126" s="252" t="e" cm="1">
        <f t="array" ref="AO126">bdRateExtend($G125:$G128,M125:M128,$R125:$R128,X125:X128)</f>
        <v>#VALUE!</v>
      </c>
      <c r="AP126" s="249"/>
    </row>
    <row r="127" spans="1:42" ht="17.100000000000001" customHeight="1" outlineLevel="4" x14ac:dyDescent="0.25">
      <c r="A127" s="222"/>
      <c r="B127" s="219"/>
      <c r="C127" s="229"/>
      <c r="D127" s="232"/>
      <c r="E127" s="235"/>
      <c r="F127" s="16">
        <v>47</v>
      </c>
      <c r="G127" s="34"/>
      <c r="H127" s="39"/>
      <c r="I127" s="39"/>
      <c r="J127" s="39"/>
      <c r="K127" s="39"/>
      <c r="L127" s="39"/>
      <c r="M127" s="39"/>
      <c r="N127" s="39"/>
      <c r="O127" s="39"/>
      <c r="P127" s="35"/>
      <c r="Q127" s="18"/>
      <c r="R127" s="34"/>
      <c r="S127" s="39"/>
      <c r="T127" s="39"/>
      <c r="U127" s="39"/>
      <c r="V127" s="39"/>
      <c r="W127" s="39"/>
      <c r="X127" s="39"/>
      <c r="Y127" s="39"/>
      <c r="Z127" s="39"/>
      <c r="AA127" s="35"/>
      <c r="AB127" s="50" t="e">
        <f t="shared" si="4"/>
        <v>#DIV/0!</v>
      </c>
      <c r="AC127" s="51" t="e">
        <f t="shared" si="5"/>
        <v>#DIV/0!</v>
      </c>
      <c r="AD127" s="19"/>
      <c r="AE127" s="19"/>
      <c r="AF127" s="285"/>
      <c r="AG127" s="240"/>
      <c r="AH127" s="242"/>
      <c r="AI127" s="242"/>
      <c r="AJ127" s="245"/>
      <c r="AK127" s="240"/>
      <c r="AL127" s="249"/>
      <c r="AM127" s="240"/>
      <c r="AN127" s="249"/>
      <c r="AO127" s="252"/>
      <c r="AP127" s="249"/>
    </row>
    <row r="128" spans="1:42" ht="17.100000000000001" customHeight="1" outlineLevel="4" x14ac:dyDescent="0.25">
      <c r="A128" s="222"/>
      <c r="B128" s="219"/>
      <c r="C128" s="229"/>
      <c r="D128" s="232"/>
      <c r="E128" s="235"/>
      <c r="F128" s="16">
        <v>55</v>
      </c>
      <c r="G128" s="34"/>
      <c r="H128" s="39"/>
      <c r="I128" s="39"/>
      <c r="J128" s="39"/>
      <c r="K128" s="39"/>
      <c r="L128" s="39"/>
      <c r="M128" s="39"/>
      <c r="N128" s="39"/>
      <c r="O128" s="39"/>
      <c r="P128" s="35"/>
      <c r="Q128" s="18"/>
      <c r="R128" s="34"/>
      <c r="S128" s="39"/>
      <c r="T128" s="39"/>
      <c r="U128" s="39"/>
      <c r="V128" s="39"/>
      <c r="W128" s="39"/>
      <c r="X128" s="39"/>
      <c r="Y128" s="39"/>
      <c r="Z128" s="39"/>
      <c r="AA128" s="35"/>
      <c r="AB128" s="50" t="e">
        <f t="shared" si="4"/>
        <v>#DIV/0!</v>
      </c>
      <c r="AC128" s="51" t="e">
        <f t="shared" si="5"/>
        <v>#DIV/0!</v>
      </c>
      <c r="AD128" s="19"/>
      <c r="AE128" s="19"/>
      <c r="AF128" s="285" t="s">
        <v>128</v>
      </c>
      <c r="AG128" s="240" t="e" cm="1">
        <f t="array" ref="AG128">bdRateExtend($G126:$G129,G126:G129,$R126:$R129,R126:R129)</f>
        <v>#VALUE!</v>
      </c>
      <c r="AH128" s="242"/>
      <c r="AI128" s="242"/>
      <c r="AJ128" s="245"/>
      <c r="AK128" s="240" t="e" cm="1">
        <f t="array" ref="AK128">bdRateExtend($G126:$G129,K126:K129,$R126:$R129,V126:V129)</f>
        <v>#VALUE!</v>
      </c>
      <c r="AL128" s="249"/>
      <c r="AM128" s="240" t="e" cm="1">
        <f t="array" ref="AM128">bdRateExtend($G126:$G129,L126:L129,$R126:$R129,W126:W129)</f>
        <v>#VALUE!</v>
      </c>
      <c r="AN128" s="249"/>
      <c r="AO128" s="252" t="e" cm="1">
        <f t="array" ref="AO128">bdRateExtend($G126:$G129,M126:M129,$R126:$R129,X126:X129)</f>
        <v>#VALUE!</v>
      </c>
      <c r="AP128" s="249"/>
    </row>
    <row r="129" spans="1:42" ht="17.100000000000001" customHeight="1" outlineLevel="4" thickBot="1" x14ac:dyDescent="0.3">
      <c r="A129" s="222"/>
      <c r="B129" s="220"/>
      <c r="C129" s="230"/>
      <c r="D129" s="233"/>
      <c r="E129" s="236"/>
      <c r="F129" s="9">
        <v>63</v>
      </c>
      <c r="G129" s="36"/>
      <c r="H129" s="37"/>
      <c r="I129" s="37"/>
      <c r="J129" s="37"/>
      <c r="K129" s="37"/>
      <c r="L129" s="37"/>
      <c r="M129" s="37"/>
      <c r="N129" s="37"/>
      <c r="O129" s="37"/>
      <c r="P129" s="38"/>
      <c r="Q129" s="18"/>
      <c r="R129" s="36"/>
      <c r="S129" s="37"/>
      <c r="T129" s="37"/>
      <c r="U129" s="37"/>
      <c r="V129" s="37"/>
      <c r="W129" s="37"/>
      <c r="X129" s="37"/>
      <c r="Y129" s="37"/>
      <c r="Z129" s="37"/>
      <c r="AA129" s="38"/>
      <c r="AB129" s="52" t="e">
        <f t="shared" si="4"/>
        <v>#DIV/0!</v>
      </c>
      <c r="AC129" s="53" t="e">
        <f t="shared" si="5"/>
        <v>#DIV/0!</v>
      </c>
      <c r="AD129" s="19"/>
      <c r="AE129" s="19"/>
      <c r="AF129" s="286"/>
      <c r="AG129" s="247"/>
      <c r="AH129" s="243"/>
      <c r="AI129" s="243"/>
      <c r="AJ129" s="246"/>
      <c r="AK129" s="247"/>
      <c r="AL129" s="250"/>
      <c r="AM129" s="247"/>
      <c r="AN129" s="250"/>
      <c r="AO129" s="253"/>
      <c r="AP129" s="250"/>
    </row>
    <row r="130" spans="1:42" ht="17.100000000000001" customHeight="1" outlineLevel="4" x14ac:dyDescent="0.25">
      <c r="A130" s="222"/>
      <c r="B130" s="218" t="s">
        <v>2</v>
      </c>
      <c r="C130" s="228" t="s">
        <v>50</v>
      </c>
      <c r="D130" s="231">
        <v>59.94</v>
      </c>
      <c r="E130" s="234">
        <v>10</v>
      </c>
      <c r="F130" s="7">
        <v>23</v>
      </c>
      <c r="G130" s="31"/>
      <c r="H130" s="32"/>
      <c r="I130" s="32"/>
      <c r="J130" s="32"/>
      <c r="K130" s="32"/>
      <c r="L130" s="32"/>
      <c r="M130" s="32"/>
      <c r="N130" s="32"/>
      <c r="O130" s="32"/>
      <c r="P130" s="33"/>
      <c r="Q130" s="18"/>
      <c r="R130" s="31"/>
      <c r="S130" s="32"/>
      <c r="T130" s="32"/>
      <c r="U130" s="32"/>
      <c r="V130" s="32"/>
      <c r="W130" s="32"/>
      <c r="X130" s="32"/>
      <c r="Y130" s="32"/>
      <c r="Z130" s="32"/>
      <c r="AA130" s="33"/>
      <c r="AB130" s="48" t="e">
        <f t="shared" si="4"/>
        <v>#DIV/0!</v>
      </c>
      <c r="AC130" s="49" t="e">
        <f t="shared" si="5"/>
        <v>#DIV/0!</v>
      </c>
      <c r="AD130" s="19"/>
      <c r="AE130" s="19"/>
      <c r="AF130" s="284" t="s">
        <v>126</v>
      </c>
      <c r="AG130" s="239" t="e" cm="1">
        <f t="array" ref="AG130">bdRateExtend($G130:$G133,G130:G133,$R130:$R133,R130:R133)</f>
        <v>#VALUE!</v>
      </c>
      <c r="AH130" s="241" t="e" cm="1">
        <f t="array" ref="AH130">bdRateExtend($G130:$G135,H130:H135,$R130:$R135,S130:S135)</f>
        <v>#VALUE!</v>
      </c>
      <c r="AI130" s="241" t="e" cm="1">
        <f t="array" ref="AI130">bdRateExtend($G130:$G135,I130:I135,$R130:$R135,T130:T135)</f>
        <v>#VALUE!</v>
      </c>
      <c r="AJ130" s="244" t="e" cm="1">
        <f t="array" ref="AJ130">bdRateExtend($G130:$G135,J130:J135,$R130:$R135,U130:U135)</f>
        <v>#VALUE!</v>
      </c>
      <c r="AK130" s="239" t="e" cm="1">
        <f t="array" ref="AK130">bdRateExtend($G130:$G133,K130:K133,$R130:$R133,V130:V133)</f>
        <v>#VALUE!</v>
      </c>
      <c r="AL130" s="248" t="e" cm="1">
        <f t="array" ref="AL130">bdRateExtend($G130:$G135,K130:K135,$R130:$R135,V130:V135)</f>
        <v>#VALUE!</v>
      </c>
      <c r="AM130" s="239" t="e" cm="1">
        <f t="array" ref="AM130">bdRateExtend($G130:$G133,L130:L133,$R130:$R133,W130:W133)</f>
        <v>#VALUE!</v>
      </c>
      <c r="AN130" s="248" t="e" cm="1">
        <f t="array" ref="AN130">bdRateExtend($G130:$G135,L130:L135,$R130:$R135,W130:W135)</f>
        <v>#VALUE!</v>
      </c>
      <c r="AO130" s="254" t="e" cm="1">
        <f t="array" ref="AO130">bdRateExtend($G130:$G133,M130:M133,$R130:$R133,X130:X133)</f>
        <v>#VALUE!</v>
      </c>
      <c r="AP130" s="248" t="e" cm="1">
        <f t="array" ref="AP130">bdRateExtend($G130:$G135,M130:M135,$R130:$R135,X130:X135)</f>
        <v>#VALUE!</v>
      </c>
    </row>
    <row r="131" spans="1:42" ht="17.100000000000001" customHeight="1" outlineLevel="4" x14ac:dyDescent="0.25">
      <c r="A131" s="222"/>
      <c r="B131" s="219"/>
      <c r="C131" s="229"/>
      <c r="D131" s="232"/>
      <c r="E131" s="235"/>
      <c r="F131" s="16">
        <v>31</v>
      </c>
      <c r="G131" s="34"/>
      <c r="H131" s="39"/>
      <c r="I131" s="39"/>
      <c r="J131" s="39"/>
      <c r="K131" s="39"/>
      <c r="L131" s="39"/>
      <c r="M131" s="39"/>
      <c r="N131" s="39"/>
      <c r="O131" s="39"/>
      <c r="P131" s="35"/>
      <c r="Q131" s="18"/>
      <c r="R131" s="34"/>
      <c r="S131" s="39"/>
      <c r="T131" s="39"/>
      <c r="U131" s="39"/>
      <c r="V131" s="39"/>
      <c r="W131" s="39"/>
      <c r="X131" s="39"/>
      <c r="Y131" s="39"/>
      <c r="Z131" s="39"/>
      <c r="AA131" s="35"/>
      <c r="AB131" s="50" t="e">
        <f t="shared" si="4"/>
        <v>#DIV/0!</v>
      </c>
      <c r="AC131" s="51" t="e">
        <f t="shared" si="5"/>
        <v>#DIV/0!</v>
      </c>
      <c r="AD131" s="19"/>
      <c r="AE131" s="19"/>
      <c r="AF131" s="285"/>
      <c r="AG131" s="240"/>
      <c r="AH131" s="242"/>
      <c r="AI131" s="242"/>
      <c r="AJ131" s="245"/>
      <c r="AK131" s="240"/>
      <c r="AL131" s="249"/>
      <c r="AM131" s="240"/>
      <c r="AN131" s="249"/>
      <c r="AO131" s="252"/>
      <c r="AP131" s="249"/>
    </row>
    <row r="132" spans="1:42" ht="17.100000000000001" customHeight="1" outlineLevel="4" x14ac:dyDescent="0.25">
      <c r="A132" s="222"/>
      <c r="B132" s="219"/>
      <c r="C132" s="229"/>
      <c r="D132" s="232"/>
      <c r="E132" s="235"/>
      <c r="F132" s="16">
        <v>39</v>
      </c>
      <c r="G132" s="34"/>
      <c r="H132" s="39"/>
      <c r="I132" s="39"/>
      <c r="J132" s="39"/>
      <c r="K132" s="39"/>
      <c r="L132" s="39"/>
      <c r="M132" s="39"/>
      <c r="N132" s="39"/>
      <c r="O132" s="39"/>
      <c r="P132" s="35"/>
      <c r="Q132" s="18"/>
      <c r="R132" s="34"/>
      <c r="S132" s="39"/>
      <c r="T132" s="39"/>
      <c r="U132" s="39"/>
      <c r="V132" s="39"/>
      <c r="W132" s="39"/>
      <c r="X132" s="39"/>
      <c r="Y132" s="39"/>
      <c r="Z132" s="39"/>
      <c r="AA132" s="35"/>
      <c r="AB132" s="50" t="e">
        <f t="shared" si="4"/>
        <v>#DIV/0!</v>
      </c>
      <c r="AC132" s="51" t="e">
        <f t="shared" si="5"/>
        <v>#DIV/0!</v>
      </c>
      <c r="AD132" s="19"/>
      <c r="AE132" s="19"/>
      <c r="AF132" s="285" t="s">
        <v>127</v>
      </c>
      <c r="AG132" s="240" t="e" cm="1">
        <f t="array" ref="AG132">bdRateExtend($G131:$G134,G131:G134,$R131:$R134,R131:R134)</f>
        <v>#VALUE!</v>
      </c>
      <c r="AH132" s="242"/>
      <c r="AI132" s="242"/>
      <c r="AJ132" s="245"/>
      <c r="AK132" s="240" t="e" cm="1">
        <f t="array" ref="AK132">bdRateExtend($G131:$G134,K131:K134,$R131:$R134,V131:V134)</f>
        <v>#VALUE!</v>
      </c>
      <c r="AL132" s="249"/>
      <c r="AM132" s="240" t="e" cm="1">
        <f t="array" ref="AM132">bdRateExtend($G131:$G134,L131:L134,$R131:$R134,W131:W134)</f>
        <v>#VALUE!</v>
      </c>
      <c r="AN132" s="249"/>
      <c r="AO132" s="252" t="e" cm="1">
        <f t="array" ref="AO132">bdRateExtend($G131:$G134,M131:M134,$R131:$R134,X131:X134)</f>
        <v>#VALUE!</v>
      </c>
      <c r="AP132" s="249"/>
    </row>
    <row r="133" spans="1:42" ht="17.100000000000001" customHeight="1" outlineLevel="4" x14ac:dyDescent="0.25">
      <c r="A133" s="222"/>
      <c r="B133" s="219"/>
      <c r="C133" s="229"/>
      <c r="D133" s="232"/>
      <c r="E133" s="235"/>
      <c r="F133" s="16">
        <v>47</v>
      </c>
      <c r="G133" s="34"/>
      <c r="H133" s="39"/>
      <c r="I133" s="39"/>
      <c r="J133" s="39"/>
      <c r="K133" s="39"/>
      <c r="L133" s="39"/>
      <c r="M133" s="39"/>
      <c r="N133" s="39"/>
      <c r="O133" s="39"/>
      <c r="P133" s="35"/>
      <c r="Q133" s="18"/>
      <c r="R133" s="34"/>
      <c r="S133" s="39"/>
      <c r="T133" s="39"/>
      <c r="U133" s="39"/>
      <c r="V133" s="39"/>
      <c r="W133" s="39"/>
      <c r="X133" s="39"/>
      <c r="Y133" s="39"/>
      <c r="Z133" s="39"/>
      <c r="AA133" s="35"/>
      <c r="AB133" s="50" t="e">
        <f t="shared" si="4"/>
        <v>#DIV/0!</v>
      </c>
      <c r="AC133" s="51" t="e">
        <f t="shared" si="5"/>
        <v>#DIV/0!</v>
      </c>
      <c r="AD133" s="19"/>
      <c r="AE133" s="19"/>
      <c r="AF133" s="285"/>
      <c r="AG133" s="240"/>
      <c r="AH133" s="242"/>
      <c r="AI133" s="242"/>
      <c r="AJ133" s="245"/>
      <c r="AK133" s="240"/>
      <c r="AL133" s="249"/>
      <c r="AM133" s="240"/>
      <c r="AN133" s="249"/>
      <c r="AO133" s="252"/>
      <c r="AP133" s="249"/>
    </row>
    <row r="134" spans="1:42" ht="17.100000000000001" customHeight="1" outlineLevel="4" x14ac:dyDescent="0.25">
      <c r="A134" s="222"/>
      <c r="B134" s="219"/>
      <c r="C134" s="229"/>
      <c r="D134" s="232"/>
      <c r="E134" s="235"/>
      <c r="F134" s="16">
        <v>55</v>
      </c>
      <c r="G134" s="34"/>
      <c r="H134" s="39"/>
      <c r="I134" s="39"/>
      <c r="J134" s="39"/>
      <c r="K134" s="39"/>
      <c r="L134" s="39"/>
      <c r="M134" s="39"/>
      <c r="N134" s="39"/>
      <c r="O134" s="39"/>
      <c r="P134" s="35"/>
      <c r="Q134" s="18"/>
      <c r="R134" s="34"/>
      <c r="S134" s="39"/>
      <c r="T134" s="39"/>
      <c r="U134" s="39"/>
      <c r="V134" s="39"/>
      <c r="W134" s="39"/>
      <c r="X134" s="39"/>
      <c r="Y134" s="39"/>
      <c r="Z134" s="39"/>
      <c r="AA134" s="35"/>
      <c r="AB134" s="50" t="e">
        <f t="shared" si="4"/>
        <v>#DIV/0!</v>
      </c>
      <c r="AC134" s="51" t="e">
        <f t="shared" si="5"/>
        <v>#DIV/0!</v>
      </c>
      <c r="AD134" s="19"/>
      <c r="AE134" s="19"/>
      <c r="AF134" s="285" t="s">
        <v>128</v>
      </c>
      <c r="AG134" s="240" t="e" cm="1">
        <f t="array" ref="AG134">bdRateExtend($G132:$G135,G132:G135,$R132:$R135,R132:R135)</f>
        <v>#VALUE!</v>
      </c>
      <c r="AH134" s="242"/>
      <c r="AI134" s="242"/>
      <c r="AJ134" s="245"/>
      <c r="AK134" s="240" t="e" cm="1">
        <f t="array" ref="AK134">bdRateExtend($G132:$G135,K132:K135,$R132:$R135,V132:V135)</f>
        <v>#VALUE!</v>
      </c>
      <c r="AL134" s="249"/>
      <c r="AM134" s="240" t="e" cm="1">
        <f t="array" ref="AM134">bdRateExtend($G132:$G135,L132:L135,$R132:$R135,W132:W135)</f>
        <v>#VALUE!</v>
      </c>
      <c r="AN134" s="249"/>
      <c r="AO134" s="252" t="e" cm="1">
        <f t="array" ref="AO134">bdRateExtend($G132:$G135,M132:M135,$R132:$R135,X132:X135)</f>
        <v>#VALUE!</v>
      </c>
      <c r="AP134" s="249"/>
    </row>
    <row r="135" spans="1:42" ht="17.100000000000001" customHeight="1" outlineLevel="4" thickBot="1" x14ac:dyDescent="0.3">
      <c r="A135" s="222"/>
      <c r="B135" s="220"/>
      <c r="C135" s="230"/>
      <c r="D135" s="233"/>
      <c r="E135" s="236"/>
      <c r="F135" s="9">
        <v>63</v>
      </c>
      <c r="G135" s="36"/>
      <c r="H135" s="37"/>
      <c r="I135" s="37"/>
      <c r="J135" s="37"/>
      <c r="K135" s="37"/>
      <c r="L135" s="37"/>
      <c r="M135" s="37"/>
      <c r="N135" s="37"/>
      <c r="O135" s="37"/>
      <c r="P135" s="38"/>
      <c r="Q135" s="18"/>
      <c r="R135" s="36"/>
      <c r="S135" s="37"/>
      <c r="T135" s="37"/>
      <c r="U135" s="37"/>
      <c r="V135" s="37"/>
      <c r="W135" s="37"/>
      <c r="X135" s="37"/>
      <c r="Y135" s="37"/>
      <c r="Z135" s="37"/>
      <c r="AA135" s="38"/>
      <c r="AB135" s="52" t="e">
        <f t="shared" si="4"/>
        <v>#DIV/0!</v>
      </c>
      <c r="AC135" s="53" t="e">
        <f t="shared" si="5"/>
        <v>#DIV/0!</v>
      </c>
      <c r="AD135" s="19"/>
      <c r="AE135" s="19"/>
      <c r="AF135" s="286"/>
      <c r="AG135" s="247"/>
      <c r="AH135" s="243"/>
      <c r="AI135" s="243"/>
      <c r="AJ135" s="246"/>
      <c r="AK135" s="247"/>
      <c r="AL135" s="250"/>
      <c r="AM135" s="247"/>
      <c r="AN135" s="250"/>
      <c r="AO135" s="253"/>
      <c r="AP135" s="250"/>
    </row>
    <row r="136" spans="1:42" ht="17.100000000000001" customHeight="1" outlineLevel="4" x14ac:dyDescent="0.25">
      <c r="A136" s="222"/>
      <c r="B136" s="218" t="s">
        <v>94</v>
      </c>
      <c r="C136" s="228" t="s">
        <v>51</v>
      </c>
      <c r="D136" s="231">
        <v>29.97</v>
      </c>
      <c r="E136" s="234" t="s">
        <v>23</v>
      </c>
      <c r="F136" s="7">
        <v>23</v>
      </c>
      <c r="G136" s="31"/>
      <c r="H136" s="32"/>
      <c r="I136" s="32"/>
      <c r="J136" s="32"/>
      <c r="K136" s="32"/>
      <c r="L136" s="32"/>
      <c r="M136" s="32"/>
      <c r="N136" s="32"/>
      <c r="O136" s="32"/>
      <c r="P136" s="33"/>
      <c r="Q136" s="18"/>
      <c r="R136" s="31"/>
      <c r="S136" s="32"/>
      <c r="T136" s="32"/>
      <c r="U136" s="32"/>
      <c r="V136" s="32"/>
      <c r="W136" s="32"/>
      <c r="X136" s="32"/>
      <c r="Y136" s="32"/>
      <c r="Z136" s="32"/>
      <c r="AA136" s="33"/>
      <c r="AB136" s="48" t="e">
        <f t="shared" si="4"/>
        <v>#DIV/0!</v>
      </c>
      <c r="AC136" s="49" t="e">
        <f t="shared" si="5"/>
        <v>#DIV/0!</v>
      </c>
      <c r="AD136" s="19"/>
      <c r="AE136" s="19"/>
      <c r="AF136" s="284" t="s">
        <v>126</v>
      </c>
      <c r="AG136" s="239" t="e" cm="1">
        <f t="array" ref="AG136">bdRateExtend($G136:$G139,G136:G139,$R136:$R139,R136:R139)</f>
        <v>#VALUE!</v>
      </c>
      <c r="AH136" s="241" t="e" cm="1">
        <f t="array" ref="AH136">bdRateExtend($G136:$G141,H136:H141,$R136:$R141,S136:S141)</f>
        <v>#VALUE!</v>
      </c>
      <c r="AI136" s="241" t="e" cm="1">
        <f t="array" ref="AI136">bdRateExtend($G136:$G141,I136:I141,$R136:$R141,T136:T141)</f>
        <v>#VALUE!</v>
      </c>
      <c r="AJ136" s="244" t="e" cm="1">
        <f t="array" ref="AJ136">bdRateExtend($G136:$G141,J136:J141,$R136:$R141,U136:U141)</f>
        <v>#VALUE!</v>
      </c>
      <c r="AK136" s="239" t="e" cm="1">
        <f t="array" ref="AK136">bdRateExtend($G136:$G139,K136:K139,$R136:$R139,V136:V139)</f>
        <v>#VALUE!</v>
      </c>
      <c r="AL136" s="248" t="e" cm="1">
        <f t="array" ref="AL136">bdRateExtend($G136:$G141,K136:K141,$R136:$R141,V136:V141)</f>
        <v>#VALUE!</v>
      </c>
      <c r="AM136" s="239" t="e" cm="1">
        <f t="array" ref="AM136">bdRateExtend($G136:$G139,L136:L139,$R136:$R139,W136:W139)</f>
        <v>#VALUE!</v>
      </c>
      <c r="AN136" s="248" t="e" cm="1">
        <f t="array" ref="AN136">bdRateExtend($G136:$G141,L136:L141,$R136:$R141,W136:W141)</f>
        <v>#VALUE!</v>
      </c>
      <c r="AO136" s="254" t="e" cm="1">
        <f t="array" ref="AO136">bdRateExtend($G136:$G139,M136:M139,$R136:$R139,X136:X139)</f>
        <v>#VALUE!</v>
      </c>
      <c r="AP136" s="248" t="e" cm="1">
        <f t="array" ref="AP136">bdRateExtend($G136:$G141,M136:M141,$R136:$R141,X136:X141)</f>
        <v>#VALUE!</v>
      </c>
    </row>
    <row r="137" spans="1:42" ht="17.100000000000001" customHeight="1" outlineLevel="4" x14ac:dyDescent="0.25">
      <c r="A137" s="222"/>
      <c r="B137" s="219"/>
      <c r="C137" s="229"/>
      <c r="D137" s="232"/>
      <c r="E137" s="235"/>
      <c r="F137" s="16">
        <v>31</v>
      </c>
      <c r="G137" s="34"/>
      <c r="H137" s="39"/>
      <c r="I137" s="39"/>
      <c r="J137" s="39"/>
      <c r="K137" s="39"/>
      <c r="L137" s="39"/>
      <c r="M137" s="39"/>
      <c r="N137" s="39"/>
      <c r="O137" s="39"/>
      <c r="P137" s="35"/>
      <c r="Q137" s="18"/>
      <c r="R137" s="34"/>
      <c r="S137" s="39"/>
      <c r="T137" s="39"/>
      <c r="U137" s="39"/>
      <c r="V137" s="39"/>
      <c r="W137" s="39"/>
      <c r="X137" s="39"/>
      <c r="Y137" s="39"/>
      <c r="Z137" s="39"/>
      <c r="AA137" s="35"/>
      <c r="AB137" s="50" t="e">
        <f t="shared" si="4"/>
        <v>#DIV/0!</v>
      </c>
      <c r="AC137" s="51" t="e">
        <f t="shared" si="5"/>
        <v>#DIV/0!</v>
      </c>
      <c r="AD137" s="19"/>
      <c r="AE137" s="19"/>
      <c r="AF137" s="285"/>
      <c r="AG137" s="240"/>
      <c r="AH137" s="242"/>
      <c r="AI137" s="242"/>
      <c r="AJ137" s="245"/>
      <c r="AK137" s="240"/>
      <c r="AL137" s="249"/>
      <c r="AM137" s="240"/>
      <c r="AN137" s="249"/>
      <c r="AO137" s="252"/>
      <c r="AP137" s="249"/>
    </row>
    <row r="138" spans="1:42" ht="17.100000000000001" customHeight="1" outlineLevel="4" x14ac:dyDescent="0.25">
      <c r="A138" s="222"/>
      <c r="B138" s="219"/>
      <c r="C138" s="229"/>
      <c r="D138" s="232"/>
      <c r="E138" s="235"/>
      <c r="F138" s="16">
        <v>39</v>
      </c>
      <c r="G138" s="34"/>
      <c r="H138" s="39"/>
      <c r="I138" s="39"/>
      <c r="J138" s="39"/>
      <c r="K138" s="39"/>
      <c r="L138" s="39"/>
      <c r="M138" s="39"/>
      <c r="N138" s="39"/>
      <c r="O138" s="39"/>
      <c r="P138" s="35"/>
      <c r="Q138" s="18"/>
      <c r="R138" s="34"/>
      <c r="S138" s="39"/>
      <c r="T138" s="39"/>
      <c r="U138" s="39"/>
      <c r="V138" s="39"/>
      <c r="W138" s="39"/>
      <c r="X138" s="39"/>
      <c r="Y138" s="39"/>
      <c r="Z138" s="39"/>
      <c r="AA138" s="35"/>
      <c r="AB138" s="50" t="e">
        <f t="shared" ref="AB138:AC165" si="6">Y138/N138</f>
        <v>#DIV/0!</v>
      </c>
      <c r="AC138" s="51" t="e">
        <f t="shared" si="6"/>
        <v>#DIV/0!</v>
      </c>
      <c r="AD138" s="19"/>
      <c r="AE138" s="19"/>
      <c r="AF138" s="285" t="s">
        <v>127</v>
      </c>
      <c r="AG138" s="240" t="e" cm="1">
        <f t="array" ref="AG138">bdRateExtend($G137:$G140,G137:G140,$R137:$R140,R137:R140)</f>
        <v>#VALUE!</v>
      </c>
      <c r="AH138" s="242"/>
      <c r="AI138" s="242"/>
      <c r="AJ138" s="245"/>
      <c r="AK138" s="240" t="e" cm="1">
        <f t="array" ref="AK138">bdRateExtend($G137:$G140,K137:K140,$R137:$R140,V137:V140)</f>
        <v>#VALUE!</v>
      </c>
      <c r="AL138" s="249"/>
      <c r="AM138" s="240" t="e" cm="1">
        <f t="array" ref="AM138">bdRateExtend($G137:$G140,L137:L140,$R137:$R140,W137:W140)</f>
        <v>#VALUE!</v>
      </c>
      <c r="AN138" s="249"/>
      <c r="AO138" s="252" t="e" cm="1">
        <f t="array" ref="AO138">bdRateExtend($G137:$G140,M137:M140,$R137:$R140,X137:X140)</f>
        <v>#VALUE!</v>
      </c>
      <c r="AP138" s="249"/>
    </row>
    <row r="139" spans="1:42" ht="17.100000000000001" customHeight="1" outlineLevel="4" x14ac:dyDescent="0.25">
      <c r="A139" s="222"/>
      <c r="B139" s="219"/>
      <c r="C139" s="229"/>
      <c r="D139" s="232"/>
      <c r="E139" s="235"/>
      <c r="F139" s="16">
        <v>47</v>
      </c>
      <c r="G139" s="34"/>
      <c r="H139" s="39"/>
      <c r="I139" s="39"/>
      <c r="J139" s="39"/>
      <c r="K139" s="39"/>
      <c r="L139" s="39"/>
      <c r="M139" s="39"/>
      <c r="N139" s="39"/>
      <c r="O139" s="39"/>
      <c r="P139" s="35"/>
      <c r="Q139" s="18"/>
      <c r="R139" s="34"/>
      <c r="S139" s="39"/>
      <c r="T139" s="39"/>
      <c r="U139" s="39"/>
      <c r="V139" s="39"/>
      <c r="W139" s="39"/>
      <c r="X139" s="39"/>
      <c r="Y139" s="39"/>
      <c r="Z139" s="39"/>
      <c r="AA139" s="35"/>
      <c r="AB139" s="50" t="e">
        <f t="shared" si="6"/>
        <v>#DIV/0!</v>
      </c>
      <c r="AC139" s="51" t="e">
        <f t="shared" si="6"/>
        <v>#DIV/0!</v>
      </c>
      <c r="AD139" s="19"/>
      <c r="AE139" s="19"/>
      <c r="AF139" s="285"/>
      <c r="AG139" s="240"/>
      <c r="AH139" s="242"/>
      <c r="AI139" s="242"/>
      <c r="AJ139" s="245"/>
      <c r="AK139" s="240"/>
      <c r="AL139" s="249"/>
      <c r="AM139" s="240"/>
      <c r="AN139" s="249"/>
      <c r="AO139" s="252"/>
      <c r="AP139" s="249"/>
    </row>
    <row r="140" spans="1:42" ht="17.100000000000001" customHeight="1" outlineLevel="4" x14ac:dyDescent="0.25">
      <c r="A140" s="222"/>
      <c r="B140" s="219"/>
      <c r="C140" s="229"/>
      <c r="D140" s="232"/>
      <c r="E140" s="235"/>
      <c r="F140" s="16">
        <v>55</v>
      </c>
      <c r="G140" s="34"/>
      <c r="H140" s="39"/>
      <c r="I140" s="39"/>
      <c r="J140" s="39"/>
      <c r="K140" s="39"/>
      <c r="L140" s="39"/>
      <c r="M140" s="39"/>
      <c r="N140" s="39"/>
      <c r="O140" s="39"/>
      <c r="P140" s="35"/>
      <c r="Q140" s="18"/>
      <c r="R140" s="34"/>
      <c r="S140" s="39"/>
      <c r="T140" s="39"/>
      <c r="U140" s="39"/>
      <c r="V140" s="39"/>
      <c r="W140" s="39"/>
      <c r="X140" s="39"/>
      <c r="Y140" s="39"/>
      <c r="Z140" s="39"/>
      <c r="AA140" s="35"/>
      <c r="AB140" s="50" t="e">
        <f t="shared" si="6"/>
        <v>#DIV/0!</v>
      </c>
      <c r="AC140" s="51" t="e">
        <f t="shared" si="6"/>
        <v>#DIV/0!</v>
      </c>
      <c r="AD140" s="19"/>
      <c r="AE140" s="19"/>
      <c r="AF140" s="285" t="s">
        <v>128</v>
      </c>
      <c r="AG140" s="240" t="e" cm="1">
        <f t="array" ref="AG140">bdRateExtend($G138:$G141,G138:G141,$R138:$R141,R138:R141)</f>
        <v>#VALUE!</v>
      </c>
      <c r="AH140" s="242"/>
      <c r="AI140" s="242"/>
      <c r="AJ140" s="245"/>
      <c r="AK140" s="240" t="e" cm="1">
        <f t="array" ref="AK140">bdRateExtend($G138:$G141,K138:K141,$R138:$R141,V138:V141)</f>
        <v>#VALUE!</v>
      </c>
      <c r="AL140" s="249"/>
      <c r="AM140" s="240" t="e" cm="1">
        <f t="array" ref="AM140">bdRateExtend($G138:$G141,L138:L141,$R138:$R141,W138:W141)</f>
        <v>#VALUE!</v>
      </c>
      <c r="AN140" s="249"/>
      <c r="AO140" s="252" t="e" cm="1">
        <f t="array" ref="AO140">bdRateExtend($G138:$G141,M138:M141,$R138:$R141,X138:X141)</f>
        <v>#VALUE!</v>
      </c>
      <c r="AP140" s="249"/>
    </row>
    <row r="141" spans="1:42" ht="17.100000000000001" customHeight="1" outlineLevel="4" thickBot="1" x14ac:dyDescent="0.3">
      <c r="A141" s="222"/>
      <c r="B141" s="220"/>
      <c r="C141" s="230"/>
      <c r="D141" s="233"/>
      <c r="E141" s="236"/>
      <c r="F141" s="9">
        <v>63</v>
      </c>
      <c r="G141" s="36"/>
      <c r="H141" s="37"/>
      <c r="I141" s="37"/>
      <c r="J141" s="37"/>
      <c r="K141" s="37"/>
      <c r="L141" s="37"/>
      <c r="M141" s="37"/>
      <c r="N141" s="37"/>
      <c r="O141" s="37"/>
      <c r="P141" s="38"/>
      <c r="Q141" s="18"/>
      <c r="R141" s="36"/>
      <c r="S141" s="37"/>
      <c r="T141" s="37"/>
      <c r="U141" s="37"/>
      <c r="V141" s="37"/>
      <c r="W141" s="37"/>
      <c r="X141" s="37"/>
      <c r="Y141" s="37"/>
      <c r="Z141" s="37"/>
      <c r="AA141" s="38"/>
      <c r="AB141" s="52" t="e">
        <f t="shared" si="6"/>
        <v>#DIV/0!</v>
      </c>
      <c r="AC141" s="53" t="e">
        <f t="shared" si="6"/>
        <v>#DIV/0!</v>
      </c>
      <c r="AD141" s="19"/>
      <c r="AE141" s="19"/>
      <c r="AF141" s="286"/>
      <c r="AG141" s="247"/>
      <c r="AH141" s="243"/>
      <c r="AI141" s="243"/>
      <c r="AJ141" s="246"/>
      <c r="AK141" s="247"/>
      <c r="AL141" s="250"/>
      <c r="AM141" s="247"/>
      <c r="AN141" s="250"/>
      <c r="AO141" s="253"/>
      <c r="AP141" s="250"/>
    </row>
    <row r="142" spans="1:42" ht="17.100000000000001" customHeight="1" outlineLevel="4" x14ac:dyDescent="0.25">
      <c r="A142" s="222"/>
      <c r="B142" s="218" t="s">
        <v>94</v>
      </c>
      <c r="C142" s="228" t="s">
        <v>52</v>
      </c>
      <c r="D142" s="231">
        <v>59.94</v>
      </c>
      <c r="E142" s="234" t="s">
        <v>23</v>
      </c>
      <c r="F142" s="7">
        <v>23</v>
      </c>
      <c r="G142" s="31"/>
      <c r="H142" s="32"/>
      <c r="I142" s="32"/>
      <c r="J142" s="32"/>
      <c r="K142" s="32"/>
      <c r="L142" s="32"/>
      <c r="M142" s="32"/>
      <c r="N142" s="32"/>
      <c r="O142" s="32"/>
      <c r="P142" s="33"/>
      <c r="Q142" s="18"/>
      <c r="R142" s="31"/>
      <c r="S142" s="32"/>
      <c r="T142" s="32"/>
      <c r="U142" s="32"/>
      <c r="V142" s="32"/>
      <c r="W142" s="32"/>
      <c r="X142" s="32"/>
      <c r="Y142" s="32"/>
      <c r="Z142" s="32"/>
      <c r="AA142" s="33"/>
      <c r="AB142" s="48" t="e">
        <f t="shared" si="6"/>
        <v>#DIV/0!</v>
      </c>
      <c r="AC142" s="49" t="e">
        <f t="shared" si="6"/>
        <v>#DIV/0!</v>
      </c>
      <c r="AD142" s="19"/>
      <c r="AE142" s="19"/>
      <c r="AF142" s="284" t="s">
        <v>126</v>
      </c>
      <c r="AG142" s="239" t="e" cm="1">
        <f t="array" ref="AG142">bdRateExtend($G142:$G145,G142:G145,$R142:$R145,R142:R145)</f>
        <v>#VALUE!</v>
      </c>
      <c r="AH142" s="241" t="e" cm="1">
        <f t="array" ref="AH142">bdRateExtend($G142:$G147,H142:H147,$R142:$R147,S142:S147)</f>
        <v>#VALUE!</v>
      </c>
      <c r="AI142" s="241" t="e" cm="1">
        <f t="array" ref="AI142">bdRateExtend($G142:$G147,I142:I147,$R142:$R147,T142:T147)</f>
        <v>#VALUE!</v>
      </c>
      <c r="AJ142" s="244" t="e" cm="1">
        <f t="array" ref="AJ142">bdRateExtend($G142:$G147,J142:J147,$R142:$R147,U142:U147)</f>
        <v>#VALUE!</v>
      </c>
      <c r="AK142" s="239" t="e" cm="1">
        <f t="array" ref="AK142">bdRateExtend($G142:$G145,K142:K145,$R142:$R145,V142:V145)</f>
        <v>#VALUE!</v>
      </c>
      <c r="AL142" s="248" t="e" cm="1">
        <f t="array" ref="AL142">bdRateExtend($G142:$G147,K142:K147,$R142:$R147,V142:V147)</f>
        <v>#VALUE!</v>
      </c>
      <c r="AM142" s="239" t="e" cm="1">
        <f t="array" ref="AM142">bdRateExtend($G142:$G145,L142:L145,$R142:$R145,W142:W145)</f>
        <v>#VALUE!</v>
      </c>
      <c r="AN142" s="248" t="e" cm="1">
        <f t="array" ref="AN142">bdRateExtend($G142:$G147,L142:L147,$R142:$R147,W142:W147)</f>
        <v>#VALUE!</v>
      </c>
      <c r="AO142" s="254" t="e" cm="1">
        <f t="array" ref="AO142">bdRateExtend($G142:$G145,M142:M145,$R142:$R145,X142:X145)</f>
        <v>#VALUE!</v>
      </c>
      <c r="AP142" s="248" t="e" cm="1">
        <f t="array" ref="AP142">bdRateExtend($G142:$G147,M142:M147,$R142:$R147,X142:X147)</f>
        <v>#VALUE!</v>
      </c>
    </row>
    <row r="143" spans="1:42" ht="17.100000000000001" customHeight="1" outlineLevel="4" x14ac:dyDescent="0.25">
      <c r="A143" s="222"/>
      <c r="B143" s="219"/>
      <c r="C143" s="229"/>
      <c r="D143" s="232"/>
      <c r="E143" s="235"/>
      <c r="F143" s="16">
        <v>31</v>
      </c>
      <c r="G143" s="34"/>
      <c r="H143" s="39"/>
      <c r="I143" s="39"/>
      <c r="J143" s="39"/>
      <c r="K143" s="39"/>
      <c r="L143" s="39"/>
      <c r="M143" s="39"/>
      <c r="N143" s="39"/>
      <c r="O143" s="39"/>
      <c r="P143" s="35"/>
      <c r="Q143" s="18"/>
      <c r="R143" s="34"/>
      <c r="S143" s="39"/>
      <c r="T143" s="39"/>
      <c r="U143" s="39"/>
      <c r="V143" s="39"/>
      <c r="W143" s="39"/>
      <c r="X143" s="39"/>
      <c r="Y143" s="39"/>
      <c r="Z143" s="39"/>
      <c r="AA143" s="35"/>
      <c r="AB143" s="50" t="e">
        <f t="shared" si="6"/>
        <v>#DIV/0!</v>
      </c>
      <c r="AC143" s="51" t="e">
        <f t="shared" si="6"/>
        <v>#DIV/0!</v>
      </c>
      <c r="AD143" s="19"/>
      <c r="AE143" s="19"/>
      <c r="AF143" s="285"/>
      <c r="AG143" s="240"/>
      <c r="AH143" s="242"/>
      <c r="AI143" s="242"/>
      <c r="AJ143" s="245"/>
      <c r="AK143" s="240"/>
      <c r="AL143" s="249"/>
      <c r="AM143" s="240"/>
      <c r="AN143" s="249"/>
      <c r="AO143" s="252"/>
      <c r="AP143" s="249"/>
    </row>
    <row r="144" spans="1:42" ht="17.100000000000001" customHeight="1" outlineLevel="4" x14ac:dyDescent="0.25">
      <c r="A144" s="222"/>
      <c r="B144" s="219"/>
      <c r="C144" s="229"/>
      <c r="D144" s="232"/>
      <c r="E144" s="235"/>
      <c r="F144" s="16">
        <v>39</v>
      </c>
      <c r="G144" s="34"/>
      <c r="H144" s="39"/>
      <c r="I144" s="39"/>
      <c r="J144" s="39"/>
      <c r="K144" s="39"/>
      <c r="L144" s="39"/>
      <c r="M144" s="39"/>
      <c r="N144" s="39"/>
      <c r="O144" s="39"/>
      <c r="P144" s="35"/>
      <c r="Q144" s="18"/>
      <c r="R144" s="34"/>
      <c r="S144" s="39"/>
      <c r="T144" s="39"/>
      <c r="U144" s="39"/>
      <c r="V144" s="39"/>
      <c r="W144" s="39"/>
      <c r="X144" s="39"/>
      <c r="Y144" s="39"/>
      <c r="Z144" s="39"/>
      <c r="AA144" s="35"/>
      <c r="AB144" s="50" t="e">
        <f t="shared" si="6"/>
        <v>#DIV/0!</v>
      </c>
      <c r="AC144" s="51" t="e">
        <f t="shared" si="6"/>
        <v>#DIV/0!</v>
      </c>
      <c r="AD144" s="19"/>
      <c r="AE144" s="19"/>
      <c r="AF144" s="285" t="s">
        <v>127</v>
      </c>
      <c r="AG144" s="240" t="e" cm="1">
        <f t="array" ref="AG144">bdRateExtend($G143:$G146,G143:G146,$R143:$R146,R143:R146)</f>
        <v>#VALUE!</v>
      </c>
      <c r="AH144" s="242"/>
      <c r="AI144" s="242"/>
      <c r="AJ144" s="245"/>
      <c r="AK144" s="240" t="e" cm="1">
        <f t="array" ref="AK144">bdRateExtend($G143:$G146,K143:K146,$R143:$R146,V143:V146)</f>
        <v>#VALUE!</v>
      </c>
      <c r="AL144" s="249"/>
      <c r="AM144" s="240" t="e" cm="1">
        <f t="array" ref="AM144">bdRateExtend($G143:$G146,L143:L146,$R143:$R146,W143:W146)</f>
        <v>#VALUE!</v>
      </c>
      <c r="AN144" s="249"/>
      <c r="AO144" s="252" t="e" cm="1">
        <f t="array" ref="AO144">bdRateExtend($G143:$G146,M143:M146,$R143:$R146,X143:X146)</f>
        <v>#VALUE!</v>
      </c>
      <c r="AP144" s="249"/>
    </row>
    <row r="145" spans="1:42" ht="17.100000000000001" customHeight="1" outlineLevel="4" x14ac:dyDescent="0.25">
      <c r="A145" s="222"/>
      <c r="B145" s="219"/>
      <c r="C145" s="229"/>
      <c r="D145" s="232"/>
      <c r="E145" s="235"/>
      <c r="F145" s="16">
        <v>47</v>
      </c>
      <c r="G145" s="34"/>
      <c r="H145" s="39"/>
      <c r="I145" s="39"/>
      <c r="J145" s="39"/>
      <c r="K145" s="39"/>
      <c r="L145" s="39"/>
      <c r="M145" s="39"/>
      <c r="N145" s="39"/>
      <c r="O145" s="39"/>
      <c r="P145" s="35"/>
      <c r="Q145" s="18"/>
      <c r="R145" s="34"/>
      <c r="S145" s="39"/>
      <c r="T145" s="39"/>
      <c r="U145" s="39"/>
      <c r="V145" s="39"/>
      <c r="W145" s="39"/>
      <c r="X145" s="39"/>
      <c r="Y145" s="39"/>
      <c r="Z145" s="39"/>
      <c r="AA145" s="35"/>
      <c r="AB145" s="50" t="e">
        <f t="shared" si="6"/>
        <v>#DIV/0!</v>
      </c>
      <c r="AC145" s="51" t="e">
        <f t="shared" si="6"/>
        <v>#DIV/0!</v>
      </c>
      <c r="AD145" s="19"/>
      <c r="AE145" s="19"/>
      <c r="AF145" s="285"/>
      <c r="AG145" s="240"/>
      <c r="AH145" s="242"/>
      <c r="AI145" s="242"/>
      <c r="AJ145" s="245"/>
      <c r="AK145" s="240"/>
      <c r="AL145" s="249"/>
      <c r="AM145" s="240"/>
      <c r="AN145" s="249"/>
      <c r="AO145" s="252"/>
      <c r="AP145" s="249"/>
    </row>
    <row r="146" spans="1:42" ht="17.100000000000001" customHeight="1" outlineLevel="4" x14ac:dyDescent="0.25">
      <c r="A146" s="222"/>
      <c r="B146" s="219"/>
      <c r="C146" s="229"/>
      <c r="D146" s="232"/>
      <c r="E146" s="235"/>
      <c r="F146" s="16">
        <v>55</v>
      </c>
      <c r="G146" s="34"/>
      <c r="H146" s="39"/>
      <c r="I146" s="39"/>
      <c r="J146" s="39"/>
      <c r="K146" s="39"/>
      <c r="L146" s="39"/>
      <c r="M146" s="39"/>
      <c r="N146" s="39"/>
      <c r="O146" s="39"/>
      <c r="P146" s="35"/>
      <c r="Q146" s="18"/>
      <c r="R146" s="34"/>
      <c r="S146" s="39"/>
      <c r="T146" s="39"/>
      <c r="U146" s="39"/>
      <c r="V146" s="39"/>
      <c r="W146" s="39"/>
      <c r="X146" s="39"/>
      <c r="Y146" s="39"/>
      <c r="Z146" s="39"/>
      <c r="AA146" s="35"/>
      <c r="AB146" s="50" t="e">
        <f t="shared" si="6"/>
        <v>#DIV/0!</v>
      </c>
      <c r="AC146" s="51" t="e">
        <f t="shared" si="6"/>
        <v>#DIV/0!</v>
      </c>
      <c r="AD146" s="19"/>
      <c r="AE146" s="19"/>
      <c r="AF146" s="285" t="s">
        <v>128</v>
      </c>
      <c r="AG146" s="240" t="e" cm="1">
        <f t="array" ref="AG146">bdRateExtend($G144:$G147,G144:G147,$R144:$R147,R144:R147)</f>
        <v>#VALUE!</v>
      </c>
      <c r="AH146" s="242"/>
      <c r="AI146" s="242"/>
      <c r="AJ146" s="245"/>
      <c r="AK146" s="240" t="e" cm="1">
        <f t="array" ref="AK146">bdRateExtend($G144:$G147,K144:K147,$R144:$R147,V144:V147)</f>
        <v>#VALUE!</v>
      </c>
      <c r="AL146" s="249"/>
      <c r="AM146" s="240" t="e" cm="1">
        <f t="array" ref="AM146">bdRateExtend($G144:$G147,L144:L147,$R144:$R147,W144:W147)</f>
        <v>#VALUE!</v>
      </c>
      <c r="AN146" s="249"/>
      <c r="AO146" s="252" t="e" cm="1">
        <f t="array" ref="AO146">bdRateExtend($G144:$G147,M144:M147,$R144:$R147,X144:X147)</f>
        <v>#VALUE!</v>
      </c>
      <c r="AP146" s="249"/>
    </row>
    <row r="147" spans="1:42" ht="17.100000000000001" customHeight="1" outlineLevel="4" thickBot="1" x14ac:dyDescent="0.3">
      <c r="A147" s="222"/>
      <c r="B147" s="220"/>
      <c r="C147" s="230"/>
      <c r="D147" s="233"/>
      <c r="E147" s="236"/>
      <c r="F147" s="9">
        <v>63</v>
      </c>
      <c r="G147" s="36"/>
      <c r="H147" s="37"/>
      <c r="I147" s="37"/>
      <c r="J147" s="37"/>
      <c r="K147" s="37"/>
      <c r="L147" s="37"/>
      <c r="M147" s="37"/>
      <c r="N147" s="37"/>
      <c r="O147" s="37"/>
      <c r="P147" s="38"/>
      <c r="Q147" s="18"/>
      <c r="R147" s="36"/>
      <c r="S147" s="37"/>
      <c r="T147" s="37"/>
      <c r="U147" s="37"/>
      <c r="V147" s="37"/>
      <c r="W147" s="37"/>
      <c r="X147" s="37"/>
      <c r="Y147" s="37"/>
      <c r="Z147" s="37"/>
      <c r="AA147" s="38"/>
      <c r="AB147" s="52" t="e">
        <f t="shared" si="6"/>
        <v>#DIV/0!</v>
      </c>
      <c r="AC147" s="53" t="e">
        <f t="shared" si="6"/>
        <v>#DIV/0!</v>
      </c>
      <c r="AD147" s="19"/>
      <c r="AE147" s="19"/>
      <c r="AF147" s="286"/>
      <c r="AG147" s="247"/>
      <c r="AH147" s="243"/>
      <c r="AI147" s="243"/>
      <c r="AJ147" s="246"/>
      <c r="AK147" s="247"/>
      <c r="AL147" s="250"/>
      <c r="AM147" s="247"/>
      <c r="AN147" s="250"/>
      <c r="AO147" s="253"/>
      <c r="AP147" s="250"/>
    </row>
    <row r="148" spans="1:42" ht="17.100000000000001" customHeight="1" outlineLevel="4" x14ac:dyDescent="0.25">
      <c r="A148" s="222"/>
      <c r="B148" s="218" t="s">
        <v>2</v>
      </c>
      <c r="C148" s="228" t="s">
        <v>53</v>
      </c>
      <c r="D148" s="231">
        <v>30</v>
      </c>
      <c r="E148" s="234" t="s">
        <v>23</v>
      </c>
      <c r="F148" s="7">
        <v>23</v>
      </c>
      <c r="G148" s="31"/>
      <c r="H148" s="32"/>
      <c r="I148" s="32"/>
      <c r="J148" s="32"/>
      <c r="K148" s="32"/>
      <c r="L148" s="32"/>
      <c r="M148" s="32"/>
      <c r="N148" s="32"/>
      <c r="O148" s="32"/>
      <c r="P148" s="33"/>
      <c r="Q148" s="18"/>
      <c r="R148" s="31"/>
      <c r="S148" s="32"/>
      <c r="T148" s="32"/>
      <c r="U148" s="32"/>
      <c r="V148" s="32"/>
      <c r="W148" s="32"/>
      <c r="X148" s="32"/>
      <c r="Y148" s="32"/>
      <c r="Z148" s="32"/>
      <c r="AA148" s="33"/>
      <c r="AB148" s="48" t="e">
        <f t="shared" si="6"/>
        <v>#DIV/0!</v>
      </c>
      <c r="AC148" s="49" t="e">
        <f t="shared" si="6"/>
        <v>#DIV/0!</v>
      </c>
      <c r="AD148" s="19"/>
      <c r="AE148" s="19"/>
      <c r="AF148" s="284" t="s">
        <v>126</v>
      </c>
      <c r="AG148" s="239" t="e" cm="1">
        <f t="array" ref="AG148">bdRateExtend($G148:$G151,G148:G151,$R148:$R151,R148:R151)</f>
        <v>#VALUE!</v>
      </c>
      <c r="AH148" s="241" t="e" cm="1">
        <f t="array" ref="AH148">bdRateExtend($G148:$G153,H148:H153,$R148:$R153,S148:S153)</f>
        <v>#VALUE!</v>
      </c>
      <c r="AI148" s="241" t="e" cm="1">
        <f t="array" ref="AI148">bdRateExtend($G148:$G153,I148:I153,$R148:$R153,T148:T153)</f>
        <v>#VALUE!</v>
      </c>
      <c r="AJ148" s="244" t="e" cm="1">
        <f t="array" ref="AJ148">bdRateExtend($G148:$G153,J148:J153,$R148:$R153,U148:U153)</f>
        <v>#VALUE!</v>
      </c>
      <c r="AK148" s="239" t="e" cm="1">
        <f t="array" ref="AK148">bdRateExtend($G148:$G151,K148:K151,$R148:$R151,V148:V151)</f>
        <v>#VALUE!</v>
      </c>
      <c r="AL148" s="248" t="e" cm="1">
        <f t="array" ref="AL148">bdRateExtend($G148:$G153,K148:K153,$R148:$R153,V148:V153)</f>
        <v>#VALUE!</v>
      </c>
      <c r="AM148" s="239" t="e" cm="1">
        <f t="array" ref="AM148">bdRateExtend($G148:$G151,L148:L151,$R148:$R151,W148:W151)</f>
        <v>#VALUE!</v>
      </c>
      <c r="AN148" s="248" t="e" cm="1">
        <f t="array" ref="AN148">bdRateExtend($G148:$G153,L148:L153,$R148:$R153,W148:W153)</f>
        <v>#VALUE!</v>
      </c>
      <c r="AO148" s="254" t="e" cm="1">
        <f t="array" ref="AO148">bdRateExtend($G148:$G151,M148:M151,$R148:$R151,X148:X151)</f>
        <v>#VALUE!</v>
      </c>
      <c r="AP148" s="248" t="e" cm="1">
        <f t="array" ref="AP148">bdRateExtend($G148:$G153,M148:M153,$R148:$R153,X148:X153)</f>
        <v>#VALUE!</v>
      </c>
    </row>
    <row r="149" spans="1:42" ht="17.100000000000001" customHeight="1" outlineLevel="4" x14ac:dyDescent="0.25">
      <c r="A149" s="222"/>
      <c r="B149" s="219"/>
      <c r="C149" s="229"/>
      <c r="D149" s="232"/>
      <c r="E149" s="235"/>
      <c r="F149" s="16">
        <v>31</v>
      </c>
      <c r="G149" s="34"/>
      <c r="H149" s="39"/>
      <c r="I149" s="39"/>
      <c r="J149" s="39"/>
      <c r="K149" s="39"/>
      <c r="L149" s="39"/>
      <c r="M149" s="39"/>
      <c r="N149" s="39"/>
      <c r="O149" s="39"/>
      <c r="P149" s="35"/>
      <c r="Q149" s="18"/>
      <c r="R149" s="34"/>
      <c r="S149" s="39"/>
      <c r="T149" s="39"/>
      <c r="U149" s="39"/>
      <c r="V149" s="39"/>
      <c r="W149" s="39"/>
      <c r="X149" s="39"/>
      <c r="Y149" s="39"/>
      <c r="Z149" s="39"/>
      <c r="AA149" s="35"/>
      <c r="AB149" s="50" t="e">
        <f t="shared" si="6"/>
        <v>#DIV/0!</v>
      </c>
      <c r="AC149" s="51" t="e">
        <f t="shared" si="6"/>
        <v>#DIV/0!</v>
      </c>
      <c r="AD149" s="19"/>
      <c r="AE149" s="19"/>
      <c r="AF149" s="285"/>
      <c r="AG149" s="240"/>
      <c r="AH149" s="242"/>
      <c r="AI149" s="242"/>
      <c r="AJ149" s="245"/>
      <c r="AK149" s="240"/>
      <c r="AL149" s="249"/>
      <c r="AM149" s="240"/>
      <c r="AN149" s="249"/>
      <c r="AO149" s="252"/>
      <c r="AP149" s="249"/>
    </row>
    <row r="150" spans="1:42" ht="17.100000000000001" customHeight="1" outlineLevel="4" x14ac:dyDescent="0.25">
      <c r="A150" s="222"/>
      <c r="B150" s="219"/>
      <c r="C150" s="229"/>
      <c r="D150" s="232"/>
      <c r="E150" s="235"/>
      <c r="F150" s="16">
        <v>39</v>
      </c>
      <c r="G150" s="34"/>
      <c r="H150" s="39"/>
      <c r="I150" s="39"/>
      <c r="J150" s="39"/>
      <c r="K150" s="39"/>
      <c r="L150" s="39"/>
      <c r="M150" s="39"/>
      <c r="N150" s="39"/>
      <c r="O150" s="39"/>
      <c r="P150" s="35"/>
      <c r="Q150" s="18"/>
      <c r="R150" s="34"/>
      <c r="S150" s="39"/>
      <c r="T150" s="39"/>
      <c r="U150" s="39"/>
      <c r="V150" s="39"/>
      <c r="W150" s="39"/>
      <c r="X150" s="39"/>
      <c r="Y150" s="39"/>
      <c r="Z150" s="39"/>
      <c r="AA150" s="35"/>
      <c r="AB150" s="50" t="e">
        <f t="shared" si="6"/>
        <v>#DIV/0!</v>
      </c>
      <c r="AC150" s="51" t="e">
        <f t="shared" si="6"/>
        <v>#DIV/0!</v>
      </c>
      <c r="AD150" s="19"/>
      <c r="AE150" s="19"/>
      <c r="AF150" s="285" t="s">
        <v>127</v>
      </c>
      <c r="AG150" s="240" t="e" cm="1">
        <f t="array" ref="AG150">bdRateExtend($G149:$G152,G149:G152,$R149:$R152,R149:R152)</f>
        <v>#VALUE!</v>
      </c>
      <c r="AH150" s="242"/>
      <c r="AI150" s="242"/>
      <c r="AJ150" s="245"/>
      <c r="AK150" s="240" t="e" cm="1">
        <f t="array" ref="AK150">bdRateExtend($G149:$G152,K149:K152,$R149:$R152,V149:V152)</f>
        <v>#VALUE!</v>
      </c>
      <c r="AL150" s="249"/>
      <c r="AM150" s="240" t="e" cm="1">
        <f t="array" ref="AM150">bdRateExtend($G149:$G152,L149:L152,$R149:$R152,W149:W152)</f>
        <v>#VALUE!</v>
      </c>
      <c r="AN150" s="249"/>
      <c r="AO150" s="252" t="e" cm="1">
        <f t="array" ref="AO150">bdRateExtend($G149:$G152,M149:M152,$R149:$R152,X149:X152)</f>
        <v>#VALUE!</v>
      </c>
      <c r="AP150" s="249"/>
    </row>
    <row r="151" spans="1:42" ht="17.100000000000001" customHeight="1" outlineLevel="4" x14ac:dyDescent="0.25">
      <c r="A151" s="222"/>
      <c r="B151" s="219"/>
      <c r="C151" s="229"/>
      <c r="D151" s="232"/>
      <c r="E151" s="235"/>
      <c r="F151" s="16">
        <v>47</v>
      </c>
      <c r="G151" s="34"/>
      <c r="H151" s="39"/>
      <c r="I151" s="39"/>
      <c r="J151" s="39"/>
      <c r="K151" s="39"/>
      <c r="L151" s="39"/>
      <c r="M151" s="39"/>
      <c r="N151" s="39"/>
      <c r="O151" s="39"/>
      <c r="P151" s="35"/>
      <c r="Q151" s="18"/>
      <c r="R151" s="34"/>
      <c r="S151" s="39"/>
      <c r="T151" s="39"/>
      <c r="U151" s="39"/>
      <c r="V151" s="39"/>
      <c r="W151" s="39"/>
      <c r="X151" s="39"/>
      <c r="Y151" s="39"/>
      <c r="Z151" s="39"/>
      <c r="AA151" s="35"/>
      <c r="AB151" s="50" t="e">
        <f t="shared" si="6"/>
        <v>#DIV/0!</v>
      </c>
      <c r="AC151" s="51" t="e">
        <f t="shared" si="6"/>
        <v>#DIV/0!</v>
      </c>
      <c r="AD151" s="19"/>
      <c r="AE151" s="19"/>
      <c r="AF151" s="285"/>
      <c r="AG151" s="240"/>
      <c r="AH151" s="242"/>
      <c r="AI151" s="242"/>
      <c r="AJ151" s="245"/>
      <c r="AK151" s="240"/>
      <c r="AL151" s="249"/>
      <c r="AM151" s="240"/>
      <c r="AN151" s="249"/>
      <c r="AO151" s="252"/>
      <c r="AP151" s="249"/>
    </row>
    <row r="152" spans="1:42" ht="17.100000000000001" customHeight="1" outlineLevel="4" x14ac:dyDescent="0.25">
      <c r="A152" s="222"/>
      <c r="B152" s="219"/>
      <c r="C152" s="229"/>
      <c r="D152" s="232"/>
      <c r="E152" s="235"/>
      <c r="F152" s="16">
        <v>55</v>
      </c>
      <c r="G152" s="34"/>
      <c r="H152" s="39"/>
      <c r="I152" s="39"/>
      <c r="J152" s="39"/>
      <c r="K152" s="39"/>
      <c r="L152" s="39"/>
      <c r="M152" s="39"/>
      <c r="N152" s="39"/>
      <c r="O152" s="39"/>
      <c r="P152" s="35"/>
      <c r="Q152" s="18"/>
      <c r="R152" s="34"/>
      <c r="S152" s="39"/>
      <c r="T152" s="39"/>
      <c r="U152" s="39"/>
      <c r="V152" s="39"/>
      <c r="W152" s="39"/>
      <c r="X152" s="39"/>
      <c r="Y152" s="39"/>
      <c r="Z152" s="39"/>
      <c r="AA152" s="35"/>
      <c r="AB152" s="50" t="e">
        <f t="shared" si="6"/>
        <v>#DIV/0!</v>
      </c>
      <c r="AC152" s="51" t="e">
        <f t="shared" si="6"/>
        <v>#DIV/0!</v>
      </c>
      <c r="AD152" s="19"/>
      <c r="AE152" s="19"/>
      <c r="AF152" s="285" t="s">
        <v>128</v>
      </c>
      <c r="AG152" s="240" t="e" cm="1">
        <f t="array" ref="AG152">bdRateExtend($G150:$G153,G150:G153,$R150:$R153,R150:R153)</f>
        <v>#VALUE!</v>
      </c>
      <c r="AH152" s="242"/>
      <c r="AI152" s="242"/>
      <c r="AJ152" s="245"/>
      <c r="AK152" s="240" t="e" cm="1">
        <f t="array" ref="AK152">bdRateExtend($G150:$G153,K150:K153,$R150:$R153,V150:V153)</f>
        <v>#VALUE!</v>
      </c>
      <c r="AL152" s="249"/>
      <c r="AM152" s="240" t="e" cm="1">
        <f t="array" ref="AM152">bdRateExtend($G150:$G153,L150:L153,$R150:$R153,W150:W153)</f>
        <v>#VALUE!</v>
      </c>
      <c r="AN152" s="249"/>
      <c r="AO152" s="252" t="e" cm="1">
        <f t="array" ref="AO152">bdRateExtend($G150:$G153,M150:M153,$R150:$R153,X150:X153)</f>
        <v>#VALUE!</v>
      </c>
      <c r="AP152" s="249"/>
    </row>
    <row r="153" spans="1:42" ht="17.100000000000001" customHeight="1" outlineLevel="4" thickBot="1" x14ac:dyDescent="0.3">
      <c r="A153" s="222"/>
      <c r="B153" s="220"/>
      <c r="C153" s="230"/>
      <c r="D153" s="233"/>
      <c r="E153" s="236"/>
      <c r="F153" s="9">
        <v>63</v>
      </c>
      <c r="G153" s="36"/>
      <c r="H153" s="37"/>
      <c r="I153" s="37"/>
      <c r="J153" s="37"/>
      <c r="K153" s="37"/>
      <c r="L153" s="37"/>
      <c r="M153" s="37"/>
      <c r="N153" s="37"/>
      <c r="O153" s="37"/>
      <c r="P153" s="38"/>
      <c r="Q153" s="18"/>
      <c r="R153" s="36"/>
      <c r="S153" s="37"/>
      <c r="T153" s="37"/>
      <c r="U153" s="37"/>
      <c r="V153" s="37"/>
      <c r="W153" s="37"/>
      <c r="X153" s="37"/>
      <c r="Y153" s="37"/>
      <c r="Z153" s="37"/>
      <c r="AA153" s="38"/>
      <c r="AB153" s="52" t="e">
        <f t="shared" si="6"/>
        <v>#DIV/0!</v>
      </c>
      <c r="AC153" s="53" t="e">
        <f t="shared" si="6"/>
        <v>#DIV/0!</v>
      </c>
      <c r="AD153" s="19"/>
      <c r="AE153" s="19"/>
      <c r="AF153" s="286"/>
      <c r="AG153" s="247"/>
      <c r="AH153" s="243"/>
      <c r="AI153" s="243"/>
      <c r="AJ153" s="246"/>
      <c r="AK153" s="247"/>
      <c r="AL153" s="250"/>
      <c r="AM153" s="247"/>
      <c r="AN153" s="250"/>
      <c r="AO153" s="253"/>
      <c r="AP153" s="250"/>
    </row>
    <row r="154" spans="1:42" ht="17.100000000000001" customHeight="1" outlineLevel="4" x14ac:dyDescent="0.25">
      <c r="A154" s="222"/>
      <c r="B154" s="218" t="s">
        <v>2</v>
      </c>
      <c r="C154" s="228" t="s">
        <v>54</v>
      </c>
      <c r="D154" s="231">
        <v>30</v>
      </c>
      <c r="E154" s="234" t="s">
        <v>23</v>
      </c>
      <c r="F154" s="7">
        <v>23</v>
      </c>
      <c r="G154" s="31"/>
      <c r="H154" s="32"/>
      <c r="I154" s="32"/>
      <c r="J154" s="32"/>
      <c r="K154" s="32"/>
      <c r="L154" s="32"/>
      <c r="M154" s="32"/>
      <c r="N154" s="32"/>
      <c r="O154" s="32"/>
      <c r="P154" s="33"/>
      <c r="Q154" s="18"/>
      <c r="R154" s="31"/>
      <c r="S154" s="32"/>
      <c r="T154" s="32"/>
      <c r="U154" s="32"/>
      <c r="V154" s="32"/>
      <c r="W154" s="32"/>
      <c r="X154" s="32"/>
      <c r="Y154" s="32"/>
      <c r="Z154" s="32"/>
      <c r="AA154" s="33"/>
      <c r="AB154" s="48" t="e">
        <f t="shared" si="6"/>
        <v>#DIV/0!</v>
      </c>
      <c r="AC154" s="49" t="e">
        <f t="shared" si="6"/>
        <v>#DIV/0!</v>
      </c>
      <c r="AD154" s="19"/>
      <c r="AE154" s="19"/>
      <c r="AF154" s="284" t="s">
        <v>126</v>
      </c>
      <c r="AG154" s="239" t="e" cm="1">
        <f t="array" ref="AG154">bdRateExtend($G154:$G157,G154:G157,$R154:$R157,R154:R157)</f>
        <v>#VALUE!</v>
      </c>
      <c r="AH154" s="241" t="e" cm="1">
        <f t="array" ref="AH154">bdRateExtend($G154:$G159,H154:H159,$R154:$R159,S154:S159)</f>
        <v>#VALUE!</v>
      </c>
      <c r="AI154" s="241" t="e" cm="1">
        <f t="array" ref="AI154">bdRateExtend($G154:$G159,I154:I159,$R154:$R159,T154:T159)</f>
        <v>#VALUE!</v>
      </c>
      <c r="AJ154" s="244" t="e" cm="1">
        <f t="array" ref="AJ154">bdRateExtend($G154:$G159,J154:J159,$R154:$R159,U154:U159)</f>
        <v>#VALUE!</v>
      </c>
      <c r="AK154" s="239" t="e" cm="1">
        <f t="array" ref="AK154">bdRateExtend($G154:$G157,K154:K157,$R154:$R157,V154:V157)</f>
        <v>#VALUE!</v>
      </c>
      <c r="AL154" s="248" t="e" cm="1">
        <f t="array" ref="AL154">bdRateExtend($G154:$G159,K154:K159,$R154:$R159,V154:V159)</f>
        <v>#VALUE!</v>
      </c>
      <c r="AM154" s="239" t="e" cm="1">
        <f t="array" ref="AM154">bdRateExtend($G154:$G157,L154:L157,$R154:$R157,W154:W157)</f>
        <v>#VALUE!</v>
      </c>
      <c r="AN154" s="248" t="e" cm="1">
        <f t="array" ref="AN154">bdRateExtend($G154:$G159,L154:L159,$R154:$R159,W154:W159)</f>
        <v>#VALUE!</v>
      </c>
      <c r="AO154" s="254" t="e" cm="1">
        <f t="array" ref="AO154">bdRateExtend($G154:$G157,M154:M157,$R154:$R157,X154:X157)</f>
        <v>#VALUE!</v>
      </c>
      <c r="AP154" s="248" t="e" cm="1">
        <f t="array" ref="AP154">bdRateExtend($G154:$G159,M154:M159,$R154:$R159,X154:X159)</f>
        <v>#VALUE!</v>
      </c>
    </row>
    <row r="155" spans="1:42" ht="17.100000000000001" customHeight="1" outlineLevel="4" x14ac:dyDescent="0.25">
      <c r="A155" s="222"/>
      <c r="B155" s="219"/>
      <c r="C155" s="229"/>
      <c r="D155" s="232"/>
      <c r="E155" s="235"/>
      <c r="F155" s="16">
        <v>31</v>
      </c>
      <c r="G155" s="34"/>
      <c r="H155" s="39"/>
      <c r="I155" s="39"/>
      <c r="J155" s="39"/>
      <c r="K155" s="39"/>
      <c r="L155" s="39"/>
      <c r="M155" s="39"/>
      <c r="N155" s="39"/>
      <c r="O155" s="39"/>
      <c r="P155" s="35"/>
      <c r="Q155" s="18"/>
      <c r="R155" s="34"/>
      <c r="S155" s="39"/>
      <c r="T155" s="39"/>
      <c r="U155" s="39"/>
      <c r="V155" s="39"/>
      <c r="W155" s="39"/>
      <c r="X155" s="39"/>
      <c r="Y155" s="39"/>
      <c r="Z155" s="39"/>
      <c r="AA155" s="35"/>
      <c r="AB155" s="50" t="e">
        <f t="shared" si="6"/>
        <v>#DIV/0!</v>
      </c>
      <c r="AC155" s="51" t="e">
        <f t="shared" si="6"/>
        <v>#DIV/0!</v>
      </c>
      <c r="AD155" s="19"/>
      <c r="AE155" s="19"/>
      <c r="AF155" s="285"/>
      <c r="AG155" s="240"/>
      <c r="AH155" s="242"/>
      <c r="AI155" s="242"/>
      <c r="AJ155" s="245"/>
      <c r="AK155" s="240"/>
      <c r="AL155" s="249"/>
      <c r="AM155" s="240"/>
      <c r="AN155" s="249"/>
      <c r="AO155" s="252"/>
      <c r="AP155" s="249"/>
    </row>
    <row r="156" spans="1:42" ht="17.100000000000001" customHeight="1" outlineLevel="4" x14ac:dyDescent="0.25">
      <c r="A156" s="222"/>
      <c r="B156" s="219"/>
      <c r="C156" s="229"/>
      <c r="D156" s="232"/>
      <c r="E156" s="235"/>
      <c r="F156" s="16">
        <v>39</v>
      </c>
      <c r="G156" s="34"/>
      <c r="H156" s="39"/>
      <c r="I156" s="39"/>
      <c r="J156" s="39"/>
      <c r="K156" s="39"/>
      <c r="L156" s="39"/>
      <c r="M156" s="39"/>
      <c r="N156" s="39"/>
      <c r="O156" s="39"/>
      <c r="P156" s="35"/>
      <c r="Q156" s="18"/>
      <c r="R156" s="34"/>
      <c r="S156" s="39"/>
      <c r="T156" s="39"/>
      <c r="U156" s="39"/>
      <c r="V156" s="39"/>
      <c r="W156" s="39"/>
      <c r="X156" s="39"/>
      <c r="Y156" s="39"/>
      <c r="Z156" s="39"/>
      <c r="AA156" s="35"/>
      <c r="AB156" s="50" t="e">
        <f t="shared" si="6"/>
        <v>#DIV/0!</v>
      </c>
      <c r="AC156" s="51" t="e">
        <f t="shared" si="6"/>
        <v>#DIV/0!</v>
      </c>
      <c r="AD156" s="19"/>
      <c r="AE156" s="19"/>
      <c r="AF156" s="285" t="s">
        <v>127</v>
      </c>
      <c r="AG156" s="240" t="e" cm="1">
        <f t="array" ref="AG156">bdRateExtend($G155:$G158,G155:G158,$R155:$R158,R155:R158)</f>
        <v>#VALUE!</v>
      </c>
      <c r="AH156" s="242"/>
      <c r="AI156" s="242"/>
      <c r="AJ156" s="245"/>
      <c r="AK156" s="240" t="e" cm="1">
        <f t="array" ref="AK156">bdRateExtend($G155:$G158,K155:K158,$R155:$R158,V155:V158)</f>
        <v>#VALUE!</v>
      </c>
      <c r="AL156" s="249"/>
      <c r="AM156" s="240" t="e" cm="1">
        <f t="array" ref="AM156">bdRateExtend($G155:$G158,L155:L158,$R155:$R158,W155:W158)</f>
        <v>#VALUE!</v>
      </c>
      <c r="AN156" s="249"/>
      <c r="AO156" s="252" t="e" cm="1">
        <f t="array" ref="AO156">bdRateExtend($G155:$G158,M155:M158,$R155:$R158,X155:X158)</f>
        <v>#VALUE!</v>
      </c>
      <c r="AP156" s="249"/>
    </row>
    <row r="157" spans="1:42" ht="17.100000000000001" customHeight="1" outlineLevel="4" x14ac:dyDescent="0.25">
      <c r="A157" s="222"/>
      <c r="B157" s="219"/>
      <c r="C157" s="229"/>
      <c r="D157" s="232"/>
      <c r="E157" s="235"/>
      <c r="F157" s="16">
        <v>47</v>
      </c>
      <c r="G157" s="34"/>
      <c r="H157" s="39"/>
      <c r="I157" s="39"/>
      <c r="J157" s="39"/>
      <c r="K157" s="39"/>
      <c r="L157" s="39"/>
      <c r="M157" s="39"/>
      <c r="N157" s="39"/>
      <c r="O157" s="39"/>
      <c r="P157" s="35"/>
      <c r="Q157" s="18"/>
      <c r="R157" s="34"/>
      <c r="S157" s="39"/>
      <c r="T157" s="39"/>
      <c r="U157" s="39"/>
      <c r="V157" s="39"/>
      <c r="W157" s="39"/>
      <c r="X157" s="39"/>
      <c r="Y157" s="39"/>
      <c r="Z157" s="39"/>
      <c r="AA157" s="35"/>
      <c r="AB157" s="50" t="e">
        <f t="shared" si="6"/>
        <v>#DIV/0!</v>
      </c>
      <c r="AC157" s="51" t="e">
        <f t="shared" si="6"/>
        <v>#DIV/0!</v>
      </c>
      <c r="AD157" s="19"/>
      <c r="AE157" s="19"/>
      <c r="AF157" s="285"/>
      <c r="AG157" s="240"/>
      <c r="AH157" s="242"/>
      <c r="AI157" s="242"/>
      <c r="AJ157" s="245"/>
      <c r="AK157" s="240"/>
      <c r="AL157" s="249"/>
      <c r="AM157" s="240"/>
      <c r="AN157" s="249"/>
      <c r="AO157" s="252"/>
      <c r="AP157" s="249"/>
    </row>
    <row r="158" spans="1:42" ht="17.100000000000001" customHeight="1" outlineLevel="4" x14ac:dyDescent="0.25">
      <c r="A158" s="222"/>
      <c r="B158" s="219"/>
      <c r="C158" s="229"/>
      <c r="D158" s="232"/>
      <c r="E158" s="235"/>
      <c r="F158" s="16">
        <v>55</v>
      </c>
      <c r="G158" s="34"/>
      <c r="H158" s="39"/>
      <c r="I158" s="39"/>
      <c r="J158" s="39"/>
      <c r="K158" s="39"/>
      <c r="L158" s="39"/>
      <c r="M158" s="39"/>
      <c r="N158" s="39"/>
      <c r="O158" s="39"/>
      <c r="P158" s="35"/>
      <c r="Q158" s="18"/>
      <c r="R158" s="34"/>
      <c r="S158" s="39"/>
      <c r="T158" s="39"/>
      <c r="U158" s="39"/>
      <c r="V158" s="39"/>
      <c r="W158" s="39"/>
      <c r="X158" s="39"/>
      <c r="Y158" s="39"/>
      <c r="Z158" s="39"/>
      <c r="AA158" s="35"/>
      <c r="AB158" s="50" t="e">
        <f t="shared" si="6"/>
        <v>#DIV/0!</v>
      </c>
      <c r="AC158" s="51" t="e">
        <f t="shared" si="6"/>
        <v>#DIV/0!</v>
      </c>
      <c r="AD158" s="19"/>
      <c r="AE158" s="19"/>
      <c r="AF158" s="285" t="s">
        <v>128</v>
      </c>
      <c r="AG158" s="240" t="e" cm="1">
        <f t="array" ref="AG158">bdRateExtend($G156:$G159,G156:G159,$R156:$R159,R156:R159)</f>
        <v>#VALUE!</v>
      </c>
      <c r="AH158" s="242"/>
      <c r="AI158" s="242"/>
      <c r="AJ158" s="245"/>
      <c r="AK158" s="240" t="e" cm="1">
        <f t="array" ref="AK158">bdRateExtend($G156:$G159,K156:K159,$R156:$R159,V156:V159)</f>
        <v>#VALUE!</v>
      </c>
      <c r="AL158" s="249"/>
      <c r="AM158" s="240" t="e" cm="1">
        <f t="array" ref="AM158">bdRateExtend($G156:$G159,L156:L159,$R156:$R159,W156:W159)</f>
        <v>#VALUE!</v>
      </c>
      <c r="AN158" s="249"/>
      <c r="AO158" s="252" t="e" cm="1">
        <f t="array" ref="AO158">bdRateExtend($G156:$G159,M156:M159,$R156:$R159,X156:X159)</f>
        <v>#VALUE!</v>
      </c>
      <c r="AP158" s="249"/>
    </row>
    <row r="159" spans="1:42" ht="17.100000000000001" customHeight="1" outlineLevel="4" thickBot="1" x14ac:dyDescent="0.3">
      <c r="A159" s="222"/>
      <c r="B159" s="220"/>
      <c r="C159" s="230"/>
      <c r="D159" s="233"/>
      <c r="E159" s="236"/>
      <c r="F159" s="9">
        <v>63</v>
      </c>
      <c r="G159" s="36"/>
      <c r="H159" s="37"/>
      <c r="I159" s="37"/>
      <c r="J159" s="37"/>
      <c r="K159" s="37"/>
      <c r="L159" s="37"/>
      <c r="M159" s="37"/>
      <c r="N159" s="37"/>
      <c r="O159" s="37"/>
      <c r="P159" s="38"/>
      <c r="Q159" s="18"/>
      <c r="R159" s="36"/>
      <c r="S159" s="37"/>
      <c r="T159" s="37"/>
      <c r="U159" s="37"/>
      <c r="V159" s="37"/>
      <c r="W159" s="37"/>
      <c r="X159" s="37"/>
      <c r="Y159" s="37"/>
      <c r="Z159" s="37"/>
      <c r="AA159" s="38"/>
      <c r="AB159" s="52" t="e">
        <f t="shared" si="6"/>
        <v>#DIV/0!</v>
      </c>
      <c r="AC159" s="53" t="e">
        <f t="shared" si="6"/>
        <v>#DIV/0!</v>
      </c>
      <c r="AD159" s="19"/>
      <c r="AE159" s="19"/>
      <c r="AF159" s="286"/>
      <c r="AG159" s="247"/>
      <c r="AH159" s="243"/>
      <c r="AI159" s="243"/>
      <c r="AJ159" s="246"/>
      <c r="AK159" s="247"/>
      <c r="AL159" s="250"/>
      <c r="AM159" s="247"/>
      <c r="AN159" s="250"/>
      <c r="AO159" s="253"/>
      <c r="AP159" s="250"/>
    </row>
    <row r="160" spans="1:42" ht="17.100000000000001" customHeight="1" outlineLevel="4" x14ac:dyDescent="0.25">
      <c r="A160" s="222"/>
      <c r="B160" s="218" t="s">
        <v>2</v>
      </c>
      <c r="C160" s="228" t="s">
        <v>55</v>
      </c>
      <c r="D160" s="231">
        <v>30</v>
      </c>
      <c r="E160" s="234" t="s">
        <v>23</v>
      </c>
      <c r="F160" s="7">
        <v>23</v>
      </c>
      <c r="G160" s="31"/>
      <c r="H160" s="32"/>
      <c r="I160" s="32"/>
      <c r="J160" s="32"/>
      <c r="K160" s="32"/>
      <c r="L160" s="32"/>
      <c r="M160" s="32"/>
      <c r="N160" s="32"/>
      <c r="O160" s="32"/>
      <c r="P160" s="33"/>
      <c r="Q160" s="18"/>
      <c r="R160" s="31"/>
      <c r="S160" s="32"/>
      <c r="T160" s="32"/>
      <c r="U160" s="32"/>
      <c r="V160" s="32"/>
      <c r="W160" s="32"/>
      <c r="X160" s="32"/>
      <c r="Y160" s="32"/>
      <c r="Z160" s="32"/>
      <c r="AA160" s="33"/>
      <c r="AB160" s="48" t="e">
        <f t="shared" si="6"/>
        <v>#DIV/0!</v>
      </c>
      <c r="AC160" s="49" t="e">
        <f t="shared" si="6"/>
        <v>#DIV/0!</v>
      </c>
      <c r="AD160" s="19"/>
      <c r="AE160" s="19"/>
      <c r="AF160" s="284" t="s">
        <v>126</v>
      </c>
      <c r="AG160" s="239" t="e" cm="1">
        <f t="array" ref="AG160">bdRateExtend($G160:$G163,G160:G163,$R160:$R163,R160:R163)</f>
        <v>#VALUE!</v>
      </c>
      <c r="AH160" s="241" t="e" cm="1">
        <f t="array" ref="AH160">bdRateExtend($G160:$G165,H160:H165,$R160:$R165,S160:S165)</f>
        <v>#VALUE!</v>
      </c>
      <c r="AI160" s="241" t="e" cm="1">
        <f t="array" ref="AI160">bdRateExtend($G160:$G165,I160:I165,$R160:$R165,T160:T165)</f>
        <v>#VALUE!</v>
      </c>
      <c r="AJ160" s="244" t="e" cm="1">
        <f t="array" ref="AJ160">bdRateExtend($G160:$G165,J160:J165,$R160:$R165,U160:U165)</f>
        <v>#VALUE!</v>
      </c>
      <c r="AK160" s="239" t="e" cm="1">
        <f t="array" ref="AK160">bdRateExtend($G160:$G163,K160:K163,$R160:$R163,V160:V163)</f>
        <v>#VALUE!</v>
      </c>
      <c r="AL160" s="248" t="e" cm="1">
        <f t="array" ref="AL160">bdRateExtend($G160:$G165,K160:K165,$R160:$R165,V160:V165)</f>
        <v>#VALUE!</v>
      </c>
      <c r="AM160" s="239" t="e" cm="1">
        <f t="array" ref="AM160">bdRateExtend($G160:$G163,L160:L163,$R160:$R163,W160:W163)</f>
        <v>#VALUE!</v>
      </c>
      <c r="AN160" s="248" t="e" cm="1">
        <f t="array" ref="AN160">bdRateExtend($G160:$G165,L160:L165,$R160:$R165,W160:W165)</f>
        <v>#VALUE!</v>
      </c>
      <c r="AO160" s="254" t="e" cm="1">
        <f t="array" ref="AO160">bdRateExtend($G160:$G163,M160:M163,$R160:$R163,X160:X163)</f>
        <v>#VALUE!</v>
      </c>
      <c r="AP160" s="248" t="e" cm="1">
        <f t="array" ref="AP160">bdRateExtend($G160:$G165,M160:M165,$R160:$R165,X160:X165)</f>
        <v>#VALUE!</v>
      </c>
    </row>
    <row r="161" spans="1:42" ht="17.100000000000001" customHeight="1" outlineLevel="4" x14ac:dyDescent="0.25">
      <c r="A161" s="222"/>
      <c r="B161" s="219"/>
      <c r="C161" s="229"/>
      <c r="D161" s="232"/>
      <c r="E161" s="235"/>
      <c r="F161" s="16">
        <v>31</v>
      </c>
      <c r="G161" s="34"/>
      <c r="H161" s="39"/>
      <c r="I161" s="39"/>
      <c r="J161" s="39"/>
      <c r="K161" s="39"/>
      <c r="L161" s="39"/>
      <c r="M161" s="39"/>
      <c r="N161" s="39"/>
      <c r="O161" s="39"/>
      <c r="P161" s="35"/>
      <c r="Q161" s="18"/>
      <c r="R161" s="34"/>
      <c r="S161" s="39"/>
      <c r="T161" s="39"/>
      <c r="U161" s="39"/>
      <c r="V161" s="39"/>
      <c r="W161" s="39"/>
      <c r="X161" s="39"/>
      <c r="Y161" s="39"/>
      <c r="Z161" s="39"/>
      <c r="AA161" s="35"/>
      <c r="AB161" s="50" t="e">
        <f t="shared" si="6"/>
        <v>#DIV/0!</v>
      </c>
      <c r="AC161" s="51" t="e">
        <f t="shared" si="6"/>
        <v>#DIV/0!</v>
      </c>
      <c r="AD161" s="19"/>
      <c r="AE161" s="19"/>
      <c r="AF161" s="285"/>
      <c r="AG161" s="240"/>
      <c r="AH161" s="242"/>
      <c r="AI161" s="242"/>
      <c r="AJ161" s="245"/>
      <c r="AK161" s="240"/>
      <c r="AL161" s="249"/>
      <c r="AM161" s="240"/>
      <c r="AN161" s="249"/>
      <c r="AO161" s="252"/>
      <c r="AP161" s="249"/>
    </row>
    <row r="162" spans="1:42" ht="17.100000000000001" customHeight="1" outlineLevel="4" x14ac:dyDescent="0.25">
      <c r="A162" s="222"/>
      <c r="B162" s="219"/>
      <c r="C162" s="229"/>
      <c r="D162" s="232"/>
      <c r="E162" s="235"/>
      <c r="F162" s="16">
        <v>39</v>
      </c>
      <c r="G162" s="34"/>
      <c r="H162" s="39"/>
      <c r="I162" s="39"/>
      <c r="J162" s="39"/>
      <c r="K162" s="39"/>
      <c r="L162" s="39"/>
      <c r="M162" s="39"/>
      <c r="N162" s="39"/>
      <c r="O162" s="39"/>
      <c r="P162" s="35"/>
      <c r="Q162" s="18"/>
      <c r="R162" s="34"/>
      <c r="S162" s="39"/>
      <c r="T162" s="39"/>
      <c r="U162" s="39"/>
      <c r="V162" s="39"/>
      <c r="W162" s="39"/>
      <c r="X162" s="39"/>
      <c r="Y162" s="39"/>
      <c r="Z162" s="39"/>
      <c r="AA162" s="35"/>
      <c r="AB162" s="50" t="e">
        <f t="shared" si="6"/>
        <v>#DIV/0!</v>
      </c>
      <c r="AC162" s="51" t="e">
        <f t="shared" si="6"/>
        <v>#DIV/0!</v>
      </c>
      <c r="AD162" s="19"/>
      <c r="AE162" s="19"/>
      <c r="AF162" s="285" t="s">
        <v>127</v>
      </c>
      <c r="AG162" s="240" t="e" cm="1">
        <f t="array" ref="AG162">bdRateExtend($G161:$G164,G161:G164,$R161:$R164,R161:R164)</f>
        <v>#VALUE!</v>
      </c>
      <c r="AH162" s="242"/>
      <c r="AI162" s="242"/>
      <c r="AJ162" s="245"/>
      <c r="AK162" s="240" t="e" cm="1">
        <f t="array" ref="AK162">bdRateExtend($G161:$G164,K161:K164,$R161:$R164,V161:V164)</f>
        <v>#VALUE!</v>
      </c>
      <c r="AL162" s="249"/>
      <c r="AM162" s="240" t="e" cm="1">
        <f t="array" ref="AM162">bdRateExtend($G161:$G164,L161:L164,$R161:$R164,W161:W164)</f>
        <v>#VALUE!</v>
      </c>
      <c r="AN162" s="249"/>
      <c r="AO162" s="252" t="e" cm="1">
        <f t="array" ref="AO162">bdRateExtend($G161:$G164,M161:M164,$R161:$R164,X161:X164)</f>
        <v>#VALUE!</v>
      </c>
      <c r="AP162" s="249"/>
    </row>
    <row r="163" spans="1:42" ht="17.100000000000001" customHeight="1" outlineLevel="4" x14ac:dyDescent="0.25">
      <c r="A163" s="222"/>
      <c r="B163" s="219"/>
      <c r="C163" s="229"/>
      <c r="D163" s="232"/>
      <c r="E163" s="235"/>
      <c r="F163" s="16">
        <v>47</v>
      </c>
      <c r="G163" s="34"/>
      <c r="H163" s="39"/>
      <c r="I163" s="39"/>
      <c r="J163" s="39"/>
      <c r="K163" s="39"/>
      <c r="L163" s="39"/>
      <c r="M163" s="39"/>
      <c r="N163" s="39"/>
      <c r="O163" s="39"/>
      <c r="P163" s="35"/>
      <c r="Q163" s="18"/>
      <c r="R163" s="34"/>
      <c r="S163" s="39"/>
      <c r="T163" s="39"/>
      <c r="U163" s="39"/>
      <c r="V163" s="39"/>
      <c r="W163" s="39"/>
      <c r="X163" s="39"/>
      <c r="Y163" s="39"/>
      <c r="Z163" s="39"/>
      <c r="AA163" s="35"/>
      <c r="AB163" s="50" t="e">
        <f t="shared" si="6"/>
        <v>#DIV/0!</v>
      </c>
      <c r="AC163" s="51" t="e">
        <f t="shared" si="6"/>
        <v>#DIV/0!</v>
      </c>
      <c r="AD163" s="19"/>
      <c r="AE163" s="19"/>
      <c r="AF163" s="285"/>
      <c r="AG163" s="240"/>
      <c r="AH163" s="242"/>
      <c r="AI163" s="242"/>
      <c r="AJ163" s="245"/>
      <c r="AK163" s="240"/>
      <c r="AL163" s="249"/>
      <c r="AM163" s="240"/>
      <c r="AN163" s="249"/>
      <c r="AO163" s="252"/>
      <c r="AP163" s="249"/>
    </row>
    <row r="164" spans="1:42" ht="17.100000000000001" customHeight="1" outlineLevel="4" x14ac:dyDescent="0.25">
      <c r="A164" s="222"/>
      <c r="B164" s="219"/>
      <c r="C164" s="229"/>
      <c r="D164" s="232"/>
      <c r="E164" s="235"/>
      <c r="F164" s="16">
        <v>55</v>
      </c>
      <c r="G164" s="34"/>
      <c r="H164" s="39"/>
      <c r="I164" s="39"/>
      <c r="J164" s="39"/>
      <c r="K164" s="39"/>
      <c r="L164" s="39"/>
      <c r="M164" s="39"/>
      <c r="N164" s="39"/>
      <c r="O164" s="39"/>
      <c r="P164" s="35"/>
      <c r="Q164" s="18"/>
      <c r="R164" s="34"/>
      <c r="S164" s="39"/>
      <c r="T164" s="39"/>
      <c r="U164" s="39"/>
      <c r="V164" s="39"/>
      <c r="W164" s="39"/>
      <c r="X164" s="39"/>
      <c r="Y164" s="39"/>
      <c r="Z164" s="39"/>
      <c r="AA164" s="35"/>
      <c r="AB164" s="50" t="e">
        <f t="shared" si="6"/>
        <v>#DIV/0!</v>
      </c>
      <c r="AC164" s="51" t="e">
        <f t="shared" si="6"/>
        <v>#DIV/0!</v>
      </c>
      <c r="AD164" s="19"/>
      <c r="AE164" s="19"/>
      <c r="AF164" s="285" t="s">
        <v>128</v>
      </c>
      <c r="AG164" s="240" t="e" cm="1">
        <f t="array" ref="AG164">bdRateExtend($G162:$G165,G162:G165,$R162:$R165,R162:R165)</f>
        <v>#VALUE!</v>
      </c>
      <c r="AH164" s="242"/>
      <c r="AI164" s="242"/>
      <c r="AJ164" s="245"/>
      <c r="AK164" s="240" t="e" cm="1">
        <f t="array" ref="AK164">bdRateExtend($G162:$G165,K162:K165,$R162:$R165,V162:V165)</f>
        <v>#VALUE!</v>
      </c>
      <c r="AL164" s="249"/>
      <c r="AM164" s="240" t="e" cm="1">
        <f t="array" ref="AM164">bdRateExtend($G162:$G165,L162:L165,$R162:$R165,W162:W165)</f>
        <v>#VALUE!</v>
      </c>
      <c r="AN164" s="249"/>
      <c r="AO164" s="252" t="e" cm="1">
        <f t="array" ref="AO164">bdRateExtend($G162:$G165,M162:M165,$R162:$R165,X162:X165)</f>
        <v>#VALUE!</v>
      </c>
      <c r="AP164" s="249"/>
    </row>
    <row r="165" spans="1:42" ht="17.100000000000001" customHeight="1" outlineLevel="4" thickBot="1" x14ac:dyDescent="0.3">
      <c r="A165" s="222"/>
      <c r="B165" s="220"/>
      <c r="C165" s="230"/>
      <c r="D165" s="233"/>
      <c r="E165" s="236"/>
      <c r="F165" s="9">
        <v>63</v>
      </c>
      <c r="G165" s="36"/>
      <c r="H165" s="37"/>
      <c r="I165" s="37"/>
      <c r="J165" s="37"/>
      <c r="K165" s="37"/>
      <c r="L165" s="37"/>
      <c r="M165" s="37"/>
      <c r="N165" s="37"/>
      <c r="O165" s="37"/>
      <c r="P165" s="38"/>
      <c r="Q165" s="18"/>
      <c r="R165" s="36"/>
      <c r="S165" s="37"/>
      <c r="T165" s="37"/>
      <c r="U165" s="37"/>
      <c r="V165" s="37"/>
      <c r="W165" s="37"/>
      <c r="X165" s="37"/>
      <c r="Y165" s="37"/>
      <c r="Z165" s="37"/>
      <c r="AA165" s="38"/>
      <c r="AB165" s="52" t="e">
        <f t="shared" si="6"/>
        <v>#DIV/0!</v>
      </c>
      <c r="AC165" s="53" t="e">
        <f t="shared" si="6"/>
        <v>#DIV/0!</v>
      </c>
      <c r="AD165" s="19"/>
      <c r="AE165" s="19"/>
      <c r="AF165" s="286"/>
      <c r="AG165" s="247"/>
      <c r="AH165" s="243"/>
      <c r="AI165" s="243"/>
      <c r="AJ165" s="246"/>
      <c r="AK165" s="247"/>
      <c r="AL165" s="250"/>
      <c r="AM165" s="247"/>
      <c r="AN165" s="250"/>
      <c r="AO165" s="253"/>
      <c r="AP165" s="250"/>
    </row>
    <row r="166" spans="1:42" ht="17.100000000000001" customHeight="1" outlineLevel="4" x14ac:dyDescent="0.25">
      <c r="A166" s="221" t="s">
        <v>111</v>
      </c>
      <c r="B166" s="218" t="s">
        <v>24</v>
      </c>
      <c r="C166" s="228" t="s">
        <v>56</v>
      </c>
      <c r="D166" s="231">
        <v>30</v>
      </c>
      <c r="E166" s="234" t="s">
        <v>23</v>
      </c>
      <c r="F166" s="7">
        <v>23</v>
      </c>
      <c r="G166" s="31"/>
      <c r="H166" s="32"/>
      <c r="I166" s="32"/>
      <c r="J166" s="32"/>
      <c r="K166" s="32"/>
      <c r="L166" s="32"/>
      <c r="M166" s="32"/>
      <c r="N166" s="32"/>
      <c r="O166" s="32"/>
      <c r="P166" s="33"/>
      <c r="Q166" s="18"/>
      <c r="R166" s="31"/>
      <c r="S166" s="32"/>
      <c r="T166" s="32"/>
      <c r="U166" s="32"/>
      <c r="V166" s="32"/>
      <c r="W166" s="32"/>
      <c r="X166" s="32"/>
      <c r="Y166" s="32"/>
      <c r="Z166" s="32"/>
      <c r="AA166" s="33"/>
      <c r="AB166" s="48" t="e">
        <f t="shared" ref="AB166:AC229" si="7">Y166/N166</f>
        <v>#DIV/0!</v>
      </c>
      <c r="AC166" s="49" t="e">
        <f t="shared" si="7"/>
        <v>#DIV/0!</v>
      </c>
      <c r="AD166" s="19"/>
      <c r="AE166" s="19"/>
      <c r="AF166" s="284" t="s">
        <v>126</v>
      </c>
      <c r="AG166" s="239" t="e" cm="1">
        <f t="array" ref="AG166">bdRateExtend($G166:$G169,G166:G169,$R166:$R169,R166:R169)</f>
        <v>#VALUE!</v>
      </c>
      <c r="AH166" s="241" t="e" cm="1">
        <f t="array" ref="AH166">bdRateExtend($G166:$G171,H166:H171,$R166:$R171,S166:S171)</f>
        <v>#VALUE!</v>
      </c>
      <c r="AI166" s="241" t="e" cm="1">
        <f t="array" ref="AI166">bdRateExtend($G166:$G171,I166:I171,$R166:$R171,T166:T171)</f>
        <v>#VALUE!</v>
      </c>
      <c r="AJ166" s="244" t="e" cm="1">
        <f t="array" ref="AJ166">bdRateExtend($G166:$G171,J166:J171,$R166:$R171,U166:U171)</f>
        <v>#VALUE!</v>
      </c>
      <c r="AK166" s="239" t="e" cm="1">
        <f t="array" ref="AK166">bdRateExtend($G166:$G169,K166:K169,$R166:$R169,V166:V169)</f>
        <v>#VALUE!</v>
      </c>
      <c r="AL166" s="248" t="e" cm="1">
        <f t="array" ref="AL166">bdRateExtend($G166:$G171,K166:K171,$R166:$R171,V166:V171)</f>
        <v>#VALUE!</v>
      </c>
      <c r="AM166" s="239" t="e" cm="1">
        <f t="array" ref="AM166">bdRateExtend($G166:$G169,L166:L169,$R166:$R169,W166:W169)</f>
        <v>#VALUE!</v>
      </c>
      <c r="AN166" s="248" t="e" cm="1">
        <f t="array" ref="AN166">bdRateExtend($G166:$G171,L166:L171,$R166:$R171,W166:W171)</f>
        <v>#VALUE!</v>
      </c>
      <c r="AO166" s="254" t="e" cm="1">
        <f t="array" ref="AO166">bdRateExtend($G166:$G169,M166:M169,$R166:$R169,X166:X169)</f>
        <v>#VALUE!</v>
      </c>
      <c r="AP166" s="248" t="e" cm="1">
        <f t="array" ref="AP166">bdRateExtend($G166:$G171,M166:M171,$R166:$R171,X166:X171)</f>
        <v>#VALUE!</v>
      </c>
    </row>
    <row r="167" spans="1:42" ht="17.100000000000001" customHeight="1" outlineLevel="4" x14ac:dyDescent="0.25">
      <c r="A167" s="222"/>
      <c r="B167" s="219"/>
      <c r="C167" s="229"/>
      <c r="D167" s="232"/>
      <c r="E167" s="235"/>
      <c r="F167" s="16">
        <v>31</v>
      </c>
      <c r="G167" s="34"/>
      <c r="H167" s="39"/>
      <c r="I167" s="39"/>
      <c r="J167" s="39"/>
      <c r="K167" s="39"/>
      <c r="L167" s="39"/>
      <c r="M167" s="39"/>
      <c r="N167" s="39"/>
      <c r="O167" s="39"/>
      <c r="P167" s="35"/>
      <c r="Q167" s="18"/>
      <c r="R167" s="34"/>
      <c r="S167" s="39"/>
      <c r="T167" s="39"/>
      <c r="U167" s="39"/>
      <c r="V167" s="39"/>
      <c r="W167" s="39"/>
      <c r="X167" s="39"/>
      <c r="Y167" s="39"/>
      <c r="Z167" s="39"/>
      <c r="AA167" s="35"/>
      <c r="AB167" s="50" t="e">
        <f t="shared" si="7"/>
        <v>#DIV/0!</v>
      </c>
      <c r="AC167" s="51" t="e">
        <f t="shared" si="7"/>
        <v>#DIV/0!</v>
      </c>
      <c r="AD167" s="19"/>
      <c r="AE167" s="19"/>
      <c r="AF167" s="285"/>
      <c r="AG167" s="240"/>
      <c r="AH167" s="242"/>
      <c r="AI167" s="242"/>
      <c r="AJ167" s="245"/>
      <c r="AK167" s="240"/>
      <c r="AL167" s="249"/>
      <c r="AM167" s="240"/>
      <c r="AN167" s="249"/>
      <c r="AO167" s="252"/>
      <c r="AP167" s="249"/>
    </row>
    <row r="168" spans="1:42" ht="17.100000000000001" customHeight="1" outlineLevel="4" x14ac:dyDescent="0.25">
      <c r="A168" s="222"/>
      <c r="B168" s="219"/>
      <c r="C168" s="229"/>
      <c r="D168" s="232"/>
      <c r="E168" s="235"/>
      <c r="F168" s="16">
        <v>39</v>
      </c>
      <c r="G168" s="34"/>
      <c r="H168" s="39"/>
      <c r="I168" s="39"/>
      <c r="J168" s="39"/>
      <c r="K168" s="39"/>
      <c r="L168" s="39"/>
      <c r="M168" s="39"/>
      <c r="N168" s="39"/>
      <c r="O168" s="39"/>
      <c r="P168" s="35"/>
      <c r="Q168" s="18"/>
      <c r="R168" s="34"/>
      <c r="S168" s="39"/>
      <c r="T168" s="39"/>
      <c r="U168" s="39"/>
      <c r="V168" s="39"/>
      <c r="W168" s="39"/>
      <c r="X168" s="39"/>
      <c r="Y168" s="39"/>
      <c r="Z168" s="39"/>
      <c r="AA168" s="35"/>
      <c r="AB168" s="50" t="e">
        <f t="shared" si="7"/>
        <v>#DIV/0!</v>
      </c>
      <c r="AC168" s="51" t="e">
        <f t="shared" si="7"/>
        <v>#DIV/0!</v>
      </c>
      <c r="AD168" s="19"/>
      <c r="AE168" s="19"/>
      <c r="AF168" s="285" t="s">
        <v>127</v>
      </c>
      <c r="AG168" s="240" t="e" cm="1">
        <f t="array" ref="AG168">bdRateExtend($G167:$G170,G167:G170,$R167:$R170,R167:R170)</f>
        <v>#VALUE!</v>
      </c>
      <c r="AH168" s="242"/>
      <c r="AI168" s="242"/>
      <c r="AJ168" s="245"/>
      <c r="AK168" s="240" t="e" cm="1">
        <f t="array" ref="AK168">bdRateExtend($G167:$G170,K167:K170,$R167:$R170,V167:V170)</f>
        <v>#VALUE!</v>
      </c>
      <c r="AL168" s="249"/>
      <c r="AM168" s="240" t="e" cm="1">
        <f t="array" ref="AM168">bdRateExtend($G167:$G170,L167:L170,$R167:$R170,W167:W170)</f>
        <v>#VALUE!</v>
      </c>
      <c r="AN168" s="249"/>
      <c r="AO168" s="252" t="e" cm="1">
        <f t="array" ref="AO168">bdRateExtend($G167:$G170,M167:M170,$R167:$R170,X167:X170)</f>
        <v>#VALUE!</v>
      </c>
      <c r="AP168" s="249"/>
    </row>
    <row r="169" spans="1:42" ht="17.100000000000001" customHeight="1" outlineLevel="4" x14ac:dyDescent="0.25">
      <c r="A169" s="222"/>
      <c r="B169" s="219"/>
      <c r="C169" s="229"/>
      <c r="D169" s="232"/>
      <c r="E169" s="235"/>
      <c r="F169" s="16">
        <v>47</v>
      </c>
      <c r="G169" s="34"/>
      <c r="H169" s="39"/>
      <c r="I169" s="39"/>
      <c r="J169" s="39"/>
      <c r="K169" s="39"/>
      <c r="L169" s="39"/>
      <c r="M169" s="39"/>
      <c r="N169" s="39"/>
      <c r="O169" s="39"/>
      <c r="P169" s="35"/>
      <c r="Q169" s="18"/>
      <c r="R169" s="34"/>
      <c r="S169" s="39"/>
      <c r="T169" s="39"/>
      <c r="U169" s="39"/>
      <c r="V169" s="39"/>
      <c r="W169" s="39"/>
      <c r="X169" s="39"/>
      <c r="Y169" s="39"/>
      <c r="Z169" s="39"/>
      <c r="AA169" s="35"/>
      <c r="AB169" s="50" t="e">
        <f t="shared" si="7"/>
        <v>#DIV/0!</v>
      </c>
      <c r="AC169" s="51" t="e">
        <f t="shared" si="7"/>
        <v>#DIV/0!</v>
      </c>
      <c r="AD169" s="19"/>
      <c r="AE169" s="19"/>
      <c r="AF169" s="285"/>
      <c r="AG169" s="240"/>
      <c r="AH169" s="242"/>
      <c r="AI169" s="242"/>
      <c r="AJ169" s="245"/>
      <c r="AK169" s="240"/>
      <c r="AL169" s="249"/>
      <c r="AM169" s="240"/>
      <c r="AN169" s="249"/>
      <c r="AO169" s="252"/>
      <c r="AP169" s="249"/>
    </row>
    <row r="170" spans="1:42" ht="17.100000000000001" customHeight="1" outlineLevel="4" x14ac:dyDescent="0.25">
      <c r="A170" s="222"/>
      <c r="B170" s="219"/>
      <c r="C170" s="229"/>
      <c r="D170" s="232"/>
      <c r="E170" s="235"/>
      <c r="F170" s="16">
        <v>55</v>
      </c>
      <c r="G170" s="34"/>
      <c r="H170" s="39"/>
      <c r="I170" s="39"/>
      <c r="J170" s="39"/>
      <c r="K170" s="39"/>
      <c r="L170" s="39"/>
      <c r="M170" s="39"/>
      <c r="N170" s="39"/>
      <c r="O170" s="39"/>
      <c r="P170" s="35"/>
      <c r="Q170" s="18"/>
      <c r="R170" s="34"/>
      <c r="S170" s="39"/>
      <c r="T170" s="39"/>
      <c r="U170" s="39"/>
      <c r="V170" s="39"/>
      <c r="W170" s="39"/>
      <c r="X170" s="39"/>
      <c r="Y170" s="39"/>
      <c r="Z170" s="39"/>
      <c r="AA170" s="35"/>
      <c r="AB170" s="50" t="e">
        <f t="shared" si="7"/>
        <v>#DIV/0!</v>
      </c>
      <c r="AC170" s="51" t="e">
        <f t="shared" si="7"/>
        <v>#DIV/0!</v>
      </c>
      <c r="AD170" s="19"/>
      <c r="AE170" s="19"/>
      <c r="AF170" s="285" t="s">
        <v>128</v>
      </c>
      <c r="AG170" s="240" t="e" cm="1">
        <f t="array" ref="AG170">bdRateExtend($G168:$G171,G168:G171,$R168:$R171,R168:R171)</f>
        <v>#VALUE!</v>
      </c>
      <c r="AH170" s="242"/>
      <c r="AI170" s="242"/>
      <c r="AJ170" s="245"/>
      <c r="AK170" s="240" t="e" cm="1">
        <f t="array" ref="AK170">bdRateExtend($G168:$G171,K168:K171,$R168:$R171,V168:V171)</f>
        <v>#VALUE!</v>
      </c>
      <c r="AL170" s="249"/>
      <c r="AM170" s="240" t="e" cm="1">
        <f t="array" ref="AM170">bdRateExtend($G168:$G171,L168:L171,$R168:$R171,W168:W171)</f>
        <v>#VALUE!</v>
      </c>
      <c r="AN170" s="249"/>
      <c r="AO170" s="252" t="e" cm="1">
        <f t="array" ref="AO170">bdRateExtend($G168:$G171,M168:M171,$R168:$R171,X168:X171)</f>
        <v>#VALUE!</v>
      </c>
      <c r="AP170" s="249"/>
    </row>
    <row r="171" spans="1:42" ht="17.100000000000001" customHeight="1" outlineLevel="4" thickBot="1" x14ac:dyDescent="0.3">
      <c r="A171" s="222"/>
      <c r="B171" s="220"/>
      <c r="C171" s="230"/>
      <c r="D171" s="233"/>
      <c r="E171" s="236"/>
      <c r="F171" s="9">
        <v>63</v>
      </c>
      <c r="G171" s="36"/>
      <c r="H171" s="37"/>
      <c r="I171" s="37"/>
      <c r="J171" s="37"/>
      <c r="K171" s="37"/>
      <c r="L171" s="37"/>
      <c r="M171" s="37"/>
      <c r="N171" s="37"/>
      <c r="O171" s="37"/>
      <c r="P171" s="38"/>
      <c r="Q171" s="18"/>
      <c r="R171" s="36"/>
      <c r="S171" s="37"/>
      <c r="T171" s="37"/>
      <c r="U171" s="37"/>
      <c r="V171" s="37"/>
      <c r="W171" s="37"/>
      <c r="X171" s="37"/>
      <c r="Y171" s="37"/>
      <c r="Z171" s="37"/>
      <c r="AA171" s="38"/>
      <c r="AB171" s="52" t="e">
        <f t="shared" si="7"/>
        <v>#DIV/0!</v>
      </c>
      <c r="AC171" s="53" t="e">
        <f t="shared" si="7"/>
        <v>#DIV/0!</v>
      </c>
      <c r="AD171" s="19"/>
      <c r="AE171" s="19"/>
      <c r="AF171" s="286"/>
      <c r="AG171" s="247"/>
      <c r="AH171" s="243"/>
      <c r="AI171" s="243"/>
      <c r="AJ171" s="246"/>
      <c r="AK171" s="247"/>
      <c r="AL171" s="250"/>
      <c r="AM171" s="247"/>
      <c r="AN171" s="250"/>
      <c r="AO171" s="253"/>
      <c r="AP171" s="250"/>
    </row>
    <row r="172" spans="1:42" ht="17.100000000000001" customHeight="1" outlineLevel="4" x14ac:dyDescent="0.25">
      <c r="A172" s="222"/>
      <c r="B172" s="218" t="s">
        <v>24</v>
      </c>
      <c r="C172" s="228" t="s">
        <v>57</v>
      </c>
      <c r="D172" s="231">
        <v>59.94</v>
      </c>
      <c r="E172" s="234">
        <v>10</v>
      </c>
      <c r="F172" s="7">
        <v>23</v>
      </c>
      <c r="G172" s="31"/>
      <c r="H172" s="32"/>
      <c r="I172" s="32"/>
      <c r="J172" s="32"/>
      <c r="K172" s="32"/>
      <c r="L172" s="32"/>
      <c r="M172" s="32"/>
      <c r="N172" s="32"/>
      <c r="O172" s="32"/>
      <c r="P172" s="33"/>
      <c r="Q172" s="18"/>
      <c r="R172" s="31"/>
      <c r="S172" s="32"/>
      <c r="T172" s="32"/>
      <c r="U172" s="32"/>
      <c r="V172" s="32"/>
      <c r="W172" s="32"/>
      <c r="X172" s="32"/>
      <c r="Y172" s="32"/>
      <c r="Z172" s="32"/>
      <c r="AA172" s="33"/>
      <c r="AB172" s="48" t="e">
        <f t="shared" si="7"/>
        <v>#DIV/0!</v>
      </c>
      <c r="AC172" s="49" t="e">
        <f t="shared" si="7"/>
        <v>#DIV/0!</v>
      </c>
      <c r="AD172" s="19"/>
      <c r="AE172" s="19"/>
      <c r="AF172" s="284" t="s">
        <v>126</v>
      </c>
      <c r="AG172" s="239" t="e" cm="1">
        <f t="array" ref="AG172">bdRateExtend($G172:$G175,G172:G175,$R172:$R175,R172:R175)</f>
        <v>#VALUE!</v>
      </c>
      <c r="AH172" s="241" t="e" cm="1">
        <f t="array" ref="AH172">bdRateExtend($G172:$G177,H172:H177,$R172:$R177,S172:S177)</f>
        <v>#VALUE!</v>
      </c>
      <c r="AI172" s="241" t="e" cm="1">
        <f t="array" ref="AI172">bdRateExtend($G172:$G177,I172:I177,$R172:$R177,T172:T177)</f>
        <v>#VALUE!</v>
      </c>
      <c r="AJ172" s="244" t="e" cm="1">
        <f t="array" ref="AJ172">bdRateExtend($G172:$G177,J172:J177,$R172:$R177,U172:U177)</f>
        <v>#VALUE!</v>
      </c>
      <c r="AK172" s="239" t="e" cm="1">
        <f t="array" ref="AK172">bdRateExtend($G172:$G175,K172:K175,$R172:$R175,V172:V175)</f>
        <v>#VALUE!</v>
      </c>
      <c r="AL172" s="248" t="e" cm="1">
        <f t="array" ref="AL172">bdRateExtend($G172:$G177,K172:K177,$R172:$R177,V172:V177)</f>
        <v>#VALUE!</v>
      </c>
      <c r="AM172" s="239" t="e" cm="1">
        <f t="array" ref="AM172">bdRateExtend($G172:$G175,L172:L175,$R172:$R175,W172:W175)</f>
        <v>#VALUE!</v>
      </c>
      <c r="AN172" s="248" t="e" cm="1">
        <f t="array" ref="AN172">bdRateExtend($G172:$G177,L172:L177,$R172:$R177,W172:W177)</f>
        <v>#VALUE!</v>
      </c>
      <c r="AO172" s="254" t="e" cm="1">
        <f t="array" ref="AO172">bdRateExtend($G172:$G175,M172:M175,$R172:$R175,X172:X175)</f>
        <v>#VALUE!</v>
      </c>
      <c r="AP172" s="248" t="e" cm="1">
        <f t="array" ref="AP172">bdRateExtend($G172:$G177,M172:M177,$R172:$R177,X172:X177)</f>
        <v>#VALUE!</v>
      </c>
    </row>
    <row r="173" spans="1:42" ht="17.100000000000001" customHeight="1" outlineLevel="4" x14ac:dyDescent="0.25">
      <c r="A173" s="222"/>
      <c r="B173" s="219"/>
      <c r="C173" s="229"/>
      <c r="D173" s="232"/>
      <c r="E173" s="235"/>
      <c r="F173" s="16">
        <v>31</v>
      </c>
      <c r="G173" s="34"/>
      <c r="H173" s="39"/>
      <c r="I173" s="39"/>
      <c r="J173" s="39"/>
      <c r="K173" s="39"/>
      <c r="L173" s="39"/>
      <c r="M173" s="39"/>
      <c r="N173" s="39"/>
      <c r="O173" s="39"/>
      <c r="P173" s="35"/>
      <c r="Q173" s="18"/>
      <c r="R173" s="34"/>
      <c r="S173" s="39"/>
      <c r="T173" s="39"/>
      <c r="U173" s="39"/>
      <c r="V173" s="39"/>
      <c r="W173" s="39"/>
      <c r="X173" s="39"/>
      <c r="Y173" s="39"/>
      <c r="Z173" s="39"/>
      <c r="AA173" s="35"/>
      <c r="AB173" s="50" t="e">
        <f t="shared" si="7"/>
        <v>#DIV/0!</v>
      </c>
      <c r="AC173" s="51" t="e">
        <f t="shared" si="7"/>
        <v>#DIV/0!</v>
      </c>
      <c r="AD173" s="19"/>
      <c r="AE173" s="19"/>
      <c r="AF173" s="285"/>
      <c r="AG173" s="240"/>
      <c r="AH173" s="242"/>
      <c r="AI173" s="242"/>
      <c r="AJ173" s="245"/>
      <c r="AK173" s="240"/>
      <c r="AL173" s="249"/>
      <c r="AM173" s="240"/>
      <c r="AN173" s="249"/>
      <c r="AO173" s="252"/>
      <c r="AP173" s="249"/>
    </row>
    <row r="174" spans="1:42" ht="17.100000000000001" customHeight="1" outlineLevel="4" x14ac:dyDescent="0.25">
      <c r="A174" s="222"/>
      <c r="B174" s="219"/>
      <c r="C174" s="229"/>
      <c r="D174" s="232"/>
      <c r="E174" s="235"/>
      <c r="F174" s="16">
        <v>39</v>
      </c>
      <c r="G174" s="34"/>
      <c r="H174" s="39"/>
      <c r="I174" s="39"/>
      <c r="J174" s="39"/>
      <c r="K174" s="39"/>
      <c r="L174" s="39"/>
      <c r="M174" s="39"/>
      <c r="N174" s="39"/>
      <c r="O174" s="39"/>
      <c r="P174" s="35"/>
      <c r="Q174" s="18"/>
      <c r="R174" s="34"/>
      <c r="S174" s="39"/>
      <c r="T174" s="39"/>
      <c r="U174" s="39"/>
      <c r="V174" s="39"/>
      <c r="W174" s="39"/>
      <c r="X174" s="39"/>
      <c r="Y174" s="39"/>
      <c r="Z174" s="39"/>
      <c r="AA174" s="35"/>
      <c r="AB174" s="50" t="e">
        <f t="shared" si="7"/>
        <v>#DIV/0!</v>
      </c>
      <c r="AC174" s="51" t="e">
        <f t="shared" si="7"/>
        <v>#DIV/0!</v>
      </c>
      <c r="AD174" s="19"/>
      <c r="AE174" s="19"/>
      <c r="AF174" s="285" t="s">
        <v>127</v>
      </c>
      <c r="AG174" s="240" t="e" cm="1">
        <f t="array" ref="AG174">bdRateExtend($G173:$G176,G173:G176,$R173:$R176,R173:R176)</f>
        <v>#VALUE!</v>
      </c>
      <c r="AH174" s="242"/>
      <c r="AI174" s="242"/>
      <c r="AJ174" s="245"/>
      <c r="AK174" s="240" t="e" cm="1">
        <f t="array" ref="AK174">bdRateExtend($G173:$G176,K173:K176,$R173:$R176,V173:V176)</f>
        <v>#VALUE!</v>
      </c>
      <c r="AL174" s="249"/>
      <c r="AM174" s="240" t="e" cm="1">
        <f t="array" ref="AM174">bdRateExtend($G173:$G176,L173:L176,$R173:$R176,W173:W176)</f>
        <v>#VALUE!</v>
      </c>
      <c r="AN174" s="249"/>
      <c r="AO174" s="252" t="e" cm="1">
        <f t="array" ref="AO174">bdRateExtend($G173:$G176,M173:M176,$R173:$R176,X173:X176)</f>
        <v>#VALUE!</v>
      </c>
      <c r="AP174" s="249"/>
    </row>
    <row r="175" spans="1:42" ht="17.100000000000001" customHeight="1" outlineLevel="4" x14ac:dyDescent="0.25">
      <c r="A175" s="222"/>
      <c r="B175" s="219"/>
      <c r="C175" s="229"/>
      <c r="D175" s="232"/>
      <c r="E175" s="235"/>
      <c r="F175" s="16">
        <v>47</v>
      </c>
      <c r="G175" s="34"/>
      <c r="H175" s="39"/>
      <c r="I175" s="39"/>
      <c r="J175" s="39"/>
      <c r="K175" s="39"/>
      <c r="L175" s="39"/>
      <c r="M175" s="39"/>
      <c r="N175" s="39"/>
      <c r="O175" s="39"/>
      <c r="P175" s="35"/>
      <c r="Q175" s="18"/>
      <c r="R175" s="34"/>
      <c r="S175" s="39"/>
      <c r="T175" s="39"/>
      <c r="U175" s="39"/>
      <c r="V175" s="39"/>
      <c r="W175" s="39"/>
      <c r="X175" s="39"/>
      <c r="Y175" s="39"/>
      <c r="Z175" s="39"/>
      <c r="AA175" s="35"/>
      <c r="AB175" s="50" t="e">
        <f t="shared" si="7"/>
        <v>#DIV/0!</v>
      </c>
      <c r="AC175" s="51" t="e">
        <f t="shared" si="7"/>
        <v>#DIV/0!</v>
      </c>
      <c r="AD175" s="19"/>
      <c r="AE175" s="19"/>
      <c r="AF175" s="285"/>
      <c r="AG175" s="240"/>
      <c r="AH175" s="242"/>
      <c r="AI175" s="242"/>
      <c r="AJ175" s="245"/>
      <c r="AK175" s="240"/>
      <c r="AL175" s="249"/>
      <c r="AM175" s="240"/>
      <c r="AN175" s="249"/>
      <c r="AO175" s="252"/>
      <c r="AP175" s="249"/>
    </row>
    <row r="176" spans="1:42" ht="17.100000000000001" customHeight="1" outlineLevel="4" x14ac:dyDescent="0.25">
      <c r="A176" s="222"/>
      <c r="B176" s="219"/>
      <c r="C176" s="229"/>
      <c r="D176" s="232"/>
      <c r="E176" s="235"/>
      <c r="F176" s="16">
        <v>55</v>
      </c>
      <c r="G176" s="34"/>
      <c r="H176" s="39"/>
      <c r="I176" s="39"/>
      <c r="J176" s="39"/>
      <c r="K176" s="39"/>
      <c r="L176" s="39"/>
      <c r="M176" s="39"/>
      <c r="N176" s="39"/>
      <c r="O176" s="39"/>
      <c r="P176" s="35"/>
      <c r="Q176" s="18"/>
      <c r="R176" s="34"/>
      <c r="S176" s="39"/>
      <c r="T176" s="39"/>
      <c r="U176" s="39"/>
      <c r="V176" s="39"/>
      <c r="W176" s="39"/>
      <c r="X176" s="39"/>
      <c r="Y176" s="39"/>
      <c r="Z176" s="39"/>
      <c r="AA176" s="35"/>
      <c r="AB176" s="50" t="e">
        <f t="shared" si="7"/>
        <v>#DIV/0!</v>
      </c>
      <c r="AC176" s="51" t="e">
        <f t="shared" si="7"/>
        <v>#DIV/0!</v>
      </c>
      <c r="AD176" s="19"/>
      <c r="AE176" s="19"/>
      <c r="AF176" s="285" t="s">
        <v>128</v>
      </c>
      <c r="AG176" s="240" t="e" cm="1">
        <f t="array" ref="AG176">bdRateExtend($G174:$G177,G174:G177,$R174:$R177,R174:R177)</f>
        <v>#VALUE!</v>
      </c>
      <c r="AH176" s="242"/>
      <c r="AI176" s="242"/>
      <c r="AJ176" s="245"/>
      <c r="AK176" s="240" t="e" cm="1">
        <f t="array" ref="AK176">bdRateExtend($G174:$G177,K174:K177,$R174:$R177,V174:V177)</f>
        <v>#VALUE!</v>
      </c>
      <c r="AL176" s="249"/>
      <c r="AM176" s="240" t="e" cm="1">
        <f t="array" ref="AM176">bdRateExtend($G174:$G177,L174:L177,$R174:$R177,W174:W177)</f>
        <v>#VALUE!</v>
      </c>
      <c r="AN176" s="249"/>
      <c r="AO176" s="252" t="e" cm="1">
        <f t="array" ref="AO176">bdRateExtend($G174:$G177,M174:M177,$R174:$R177,X174:X177)</f>
        <v>#VALUE!</v>
      </c>
      <c r="AP176" s="249"/>
    </row>
    <row r="177" spans="1:42" ht="17.100000000000001" customHeight="1" outlineLevel="4" thickBot="1" x14ac:dyDescent="0.3">
      <c r="A177" s="222"/>
      <c r="B177" s="220"/>
      <c r="C177" s="230"/>
      <c r="D177" s="233"/>
      <c r="E177" s="236"/>
      <c r="F177" s="9">
        <v>63</v>
      </c>
      <c r="G177" s="36"/>
      <c r="H177" s="37"/>
      <c r="I177" s="37"/>
      <c r="J177" s="37"/>
      <c r="K177" s="37"/>
      <c r="L177" s="37"/>
      <c r="M177" s="37"/>
      <c r="N177" s="37"/>
      <c r="O177" s="37"/>
      <c r="P177" s="38"/>
      <c r="Q177" s="18"/>
      <c r="R177" s="36"/>
      <c r="S177" s="37"/>
      <c r="T177" s="37"/>
      <c r="U177" s="37"/>
      <c r="V177" s="37"/>
      <c r="W177" s="37"/>
      <c r="X177" s="37"/>
      <c r="Y177" s="37"/>
      <c r="Z177" s="37"/>
      <c r="AA177" s="38"/>
      <c r="AB177" s="52" t="e">
        <f t="shared" si="7"/>
        <v>#DIV/0!</v>
      </c>
      <c r="AC177" s="53" t="e">
        <f t="shared" si="7"/>
        <v>#DIV/0!</v>
      </c>
      <c r="AD177" s="19"/>
      <c r="AE177" s="19"/>
      <c r="AF177" s="286"/>
      <c r="AG177" s="247"/>
      <c r="AH177" s="243"/>
      <c r="AI177" s="243"/>
      <c r="AJ177" s="246"/>
      <c r="AK177" s="247"/>
      <c r="AL177" s="250"/>
      <c r="AM177" s="247"/>
      <c r="AN177" s="250"/>
      <c r="AO177" s="253"/>
      <c r="AP177" s="250"/>
    </row>
    <row r="178" spans="1:42" ht="17.100000000000001" customHeight="1" outlineLevel="4" x14ac:dyDescent="0.25">
      <c r="A178" s="222"/>
      <c r="B178" s="218" t="s">
        <v>24</v>
      </c>
      <c r="C178" s="228" t="s">
        <v>58</v>
      </c>
      <c r="D178" s="231">
        <v>60</v>
      </c>
      <c r="E178" s="234" t="s">
        <v>23</v>
      </c>
      <c r="F178" s="7">
        <v>23</v>
      </c>
      <c r="G178" s="31"/>
      <c r="H178" s="32"/>
      <c r="I178" s="32"/>
      <c r="J178" s="32"/>
      <c r="K178" s="32"/>
      <c r="L178" s="32"/>
      <c r="M178" s="32"/>
      <c r="N178" s="32"/>
      <c r="O178" s="32"/>
      <c r="P178" s="33"/>
      <c r="Q178" s="18"/>
      <c r="R178" s="31"/>
      <c r="S178" s="32"/>
      <c r="T178" s="32"/>
      <c r="U178" s="32"/>
      <c r="V178" s="32"/>
      <c r="W178" s="32"/>
      <c r="X178" s="32"/>
      <c r="Y178" s="32"/>
      <c r="Z178" s="32"/>
      <c r="AA178" s="33"/>
      <c r="AB178" s="48" t="e">
        <f t="shared" si="7"/>
        <v>#DIV/0!</v>
      </c>
      <c r="AC178" s="49" t="e">
        <f t="shared" si="7"/>
        <v>#DIV/0!</v>
      </c>
      <c r="AD178" s="19"/>
      <c r="AE178" s="19"/>
      <c r="AF178" s="284" t="s">
        <v>126</v>
      </c>
      <c r="AG178" s="239" t="e" cm="1">
        <f t="array" ref="AG178">bdRateExtend($G178:$G181,G178:G181,$R178:$R181,R178:R181)</f>
        <v>#VALUE!</v>
      </c>
      <c r="AH178" s="241" t="e" cm="1">
        <f t="array" ref="AH178">bdRateExtend($G178:$G183,H178:H183,$R178:$R183,S178:S183)</f>
        <v>#VALUE!</v>
      </c>
      <c r="AI178" s="241" t="e" cm="1">
        <f t="array" ref="AI178">bdRateExtend($G178:$G183,I178:I183,$R178:$R183,T178:T183)</f>
        <v>#VALUE!</v>
      </c>
      <c r="AJ178" s="244" t="e" cm="1">
        <f t="array" ref="AJ178">bdRateExtend($G178:$G183,J178:J183,$R178:$R183,U178:U183)</f>
        <v>#VALUE!</v>
      </c>
      <c r="AK178" s="239" t="e" cm="1">
        <f t="array" ref="AK178">bdRateExtend($G178:$G181,K178:K181,$R178:$R181,V178:V181)</f>
        <v>#VALUE!</v>
      </c>
      <c r="AL178" s="248" t="e" cm="1">
        <f t="array" ref="AL178">bdRateExtend($G178:$G183,K178:K183,$R178:$R183,V178:V183)</f>
        <v>#VALUE!</v>
      </c>
      <c r="AM178" s="239" t="e" cm="1">
        <f t="array" ref="AM178">bdRateExtend($G178:$G181,L178:L181,$R178:$R181,W178:W181)</f>
        <v>#VALUE!</v>
      </c>
      <c r="AN178" s="248" t="e" cm="1">
        <f t="array" ref="AN178">bdRateExtend($G178:$G183,L178:L183,$R178:$R183,W178:W183)</f>
        <v>#VALUE!</v>
      </c>
      <c r="AO178" s="254" t="e" cm="1">
        <f t="array" ref="AO178">bdRateExtend($G178:$G181,M178:M181,$R178:$R181,X178:X181)</f>
        <v>#VALUE!</v>
      </c>
      <c r="AP178" s="248" t="e" cm="1">
        <f t="array" ref="AP178">bdRateExtend($G178:$G183,M178:M183,$R178:$R183,X178:X183)</f>
        <v>#VALUE!</v>
      </c>
    </row>
    <row r="179" spans="1:42" ht="17.100000000000001" customHeight="1" outlineLevel="4" x14ac:dyDescent="0.25">
      <c r="A179" s="222"/>
      <c r="B179" s="219"/>
      <c r="C179" s="229"/>
      <c r="D179" s="232"/>
      <c r="E179" s="235"/>
      <c r="F179" s="16">
        <v>31</v>
      </c>
      <c r="G179" s="34"/>
      <c r="H179" s="39"/>
      <c r="I179" s="39"/>
      <c r="J179" s="39"/>
      <c r="K179" s="39"/>
      <c r="L179" s="39"/>
      <c r="M179" s="39"/>
      <c r="N179" s="39"/>
      <c r="O179" s="39"/>
      <c r="P179" s="35"/>
      <c r="Q179" s="18"/>
      <c r="R179" s="34"/>
      <c r="S179" s="39"/>
      <c r="T179" s="39"/>
      <c r="U179" s="39"/>
      <c r="V179" s="39"/>
      <c r="W179" s="39"/>
      <c r="X179" s="39"/>
      <c r="Y179" s="39"/>
      <c r="Z179" s="39"/>
      <c r="AA179" s="35"/>
      <c r="AB179" s="50" t="e">
        <f t="shared" si="7"/>
        <v>#DIV/0!</v>
      </c>
      <c r="AC179" s="51" t="e">
        <f t="shared" si="7"/>
        <v>#DIV/0!</v>
      </c>
      <c r="AD179" s="19"/>
      <c r="AE179" s="19"/>
      <c r="AF179" s="285"/>
      <c r="AG179" s="240"/>
      <c r="AH179" s="242"/>
      <c r="AI179" s="242"/>
      <c r="AJ179" s="245"/>
      <c r="AK179" s="240"/>
      <c r="AL179" s="249"/>
      <c r="AM179" s="240"/>
      <c r="AN179" s="249"/>
      <c r="AO179" s="252"/>
      <c r="AP179" s="249"/>
    </row>
    <row r="180" spans="1:42" ht="17.100000000000001" customHeight="1" outlineLevel="4" x14ac:dyDescent="0.25">
      <c r="A180" s="222"/>
      <c r="B180" s="219"/>
      <c r="C180" s="229"/>
      <c r="D180" s="232"/>
      <c r="E180" s="235"/>
      <c r="F180" s="16">
        <v>39</v>
      </c>
      <c r="G180" s="34"/>
      <c r="H180" s="39"/>
      <c r="I180" s="39"/>
      <c r="J180" s="39"/>
      <c r="K180" s="39"/>
      <c r="L180" s="39"/>
      <c r="M180" s="39"/>
      <c r="N180" s="39"/>
      <c r="O180" s="39"/>
      <c r="P180" s="35"/>
      <c r="Q180" s="18"/>
      <c r="R180" s="34"/>
      <c r="S180" s="39"/>
      <c r="T180" s="39"/>
      <c r="U180" s="39"/>
      <c r="V180" s="39"/>
      <c r="W180" s="39"/>
      <c r="X180" s="39"/>
      <c r="Y180" s="39"/>
      <c r="Z180" s="39"/>
      <c r="AA180" s="35"/>
      <c r="AB180" s="50" t="e">
        <f t="shared" si="7"/>
        <v>#DIV/0!</v>
      </c>
      <c r="AC180" s="51" t="e">
        <f t="shared" si="7"/>
        <v>#DIV/0!</v>
      </c>
      <c r="AD180" s="19"/>
      <c r="AE180" s="19"/>
      <c r="AF180" s="285" t="s">
        <v>127</v>
      </c>
      <c r="AG180" s="240" t="e" cm="1">
        <f t="array" ref="AG180">bdRateExtend($G179:$G182,G179:G182,$R179:$R182,R179:R182)</f>
        <v>#VALUE!</v>
      </c>
      <c r="AH180" s="242"/>
      <c r="AI180" s="242"/>
      <c r="AJ180" s="245"/>
      <c r="AK180" s="240" t="e" cm="1">
        <f t="array" ref="AK180">bdRateExtend($G179:$G182,K179:K182,$R179:$R182,V179:V182)</f>
        <v>#VALUE!</v>
      </c>
      <c r="AL180" s="249"/>
      <c r="AM180" s="240" t="e" cm="1">
        <f t="array" ref="AM180">bdRateExtend($G179:$G182,L179:L182,$R179:$R182,W179:W182)</f>
        <v>#VALUE!</v>
      </c>
      <c r="AN180" s="249"/>
      <c r="AO180" s="252" t="e" cm="1">
        <f t="array" ref="AO180">bdRateExtend($G179:$G182,M179:M182,$R179:$R182,X179:X182)</f>
        <v>#VALUE!</v>
      </c>
      <c r="AP180" s="249"/>
    </row>
    <row r="181" spans="1:42" ht="17.100000000000001" customHeight="1" outlineLevel="4" x14ac:dyDescent="0.25">
      <c r="A181" s="222"/>
      <c r="B181" s="219"/>
      <c r="C181" s="229"/>
      <c r="D181" s="232"/>
      <c r="E181" s="235"/>
      <c r="F181" s="16">
        <v>47</v>
      </c>
      <c r="G181" s="34"/>
      <c r="H181" s="39"/>
      <c r="I181" s="39"/>
      <c r="J181" s="39"/>
      <c r="K181" s="39"/>
      <c r="L181" s="39"/>
      <c r="M181" s="39"/>
      <c r="N181" s="39"/>
      <c r="O181" s="39"/>
      <c r="P181" s="35"/>
      <c r="Q181" s="18"/>
      <c r="R181" s="34"/>
      <c r="S181" s="39"/>
      <c r="T181" s="39"/>
      <c r="U181" s="39"/>
      <c r="V181" s="39"/>
      <c r="W181" s="39"/>
      <c r="X181" s="39"/>
      <c r="Y181" s="39"/>
      <c r="Z181" s="39"/>
      <c r="AA181" s="35"/>
      <c r="AB181" s="50" t="e">
        <f t="shared" si="7"/>
        <v>#DIV/0!</v>
      </c>
      <c r="AC181" s="51" t="e">
        <f t="shared" si="7"/>
        <v>#DIV/0!</v>
      </c>
      <c r="AD181" s="19"/>
      <c r="AE181" s="19"/>
      <c r="AF181" s="285"/>
      <c r="AG181" s="240"/>
      <c r="AH181" s="242"/>
      <c r="AI181" s="242"/>
      <c r="AJ181" s="245"/>
      <c r="AK181" s="240"/>
      <c r="AL181" s="249"/>
      <c r="AM181" s="240"/>
      <c r="AN181" s="249"/>
      <c r="AO181" s="252"/>
      <c r="AP181" s="249"/>
    </row>
    <row r="182" spans="1:42" ht="17.100000000000001" customHeight="1" outlineLevel="4" x14ac:dyDescent="0.25">
      <c r="A182" s="222"/>
      <c r="B182" s="219"/>
      <c r="C182" s="229"/>
      <c r="D182" s="232"/>
      <c r="E182" s="235"/>
      <c r="F182" s="16">
        <v>55</v>
      </c>
      <c r="G182" s="34"/>
      <c r="H182" s="39"/>
      <c r="I182" s="39"/>
      <c r="J182" s="39"/>
      <c r="K182" s="39"/>
      <c r="L182" s="39"/>
      <c r="M182" s="39"/>
      <c r="N182" s="39"/>
      <c r="O182" s="39"/>
      <c r="P182" s="35"/>
      <c r="Q182" s="18"/>
      <c r="R182" s="34"/>
      <c r="S182" s="39"/>
      <c r="T182" s="39"/>
      <c r="U182" s="39"/>
      <c r="V182" s="39"/>
      <c r="W182" s="39"/>
      <c r="X182" s="39"/>
      <c r="Y182" s="39"/>
      <c r="Z182" s="39"/>
      <c r="AA182" s="35"/>
      <c r="AB182" s="50" t="e">
        <f t="shared" si="7"/>
        <v>#DIV/0!</v>
      </c>
      <c r="AC182" s="51" t="e">
        <f t="shared" si="7"/>
        <v>#DIV/0!</v>
      </c>
      <c r="AD182" s="19"/>
      <c r="AE182" s="19"/>
      <c r="AF182" s="285" t="s">
        <v>128</v>
      </c>
      <c r="AG182" s="240" t="e" cm="1">
        <f t="array" ref="AG182">bdRateExtend($G180:$G183,G180:G183,$R180:$R183,R180:R183)</f>
        <v>#VALUE!</v>
      </c>
      <c r="AH182" s="242"/>
      <c r="AI182" s="242"/>
      <c r="AJ182" s="245"/>
      <c r="AK182" s="240" t="e" cm="1">
        <f t="array" ref="AK182">bdRateExtend($G180:$G183,K180:K183,$R180:$R183,V180:V183)</f>
        <v>#VALUE!</v>
      </c>
      <c r="AL182" s="249"/>
      <c r="AM182" s="240" t="e" cm="1">
        <f t="array" ref="AM182">bdRateExtend($G180:$G183,L180:L183,$R180:$R183,W180:W183)</f>
        <v>#VALUE!</v>
      </c>
      <c r="AN182" s="249"/>
      <c r="AO182" s="252" t="e" cm="1">
        <f t="array" ref="AO182">bdRateExtend($G180:$G183,M180:M183,$R180:$R183,X180:X183)</f>
        <v>#VALUE!</v>
      </c>
      <c r="AP182" s="249"/>
    </row>
    <row r="183" spans="1:42" ht="17.100000000000001" customHeight="1" outlineLevel="4" thickBot="1" x14ac:dyDescent="0.3">
      <c r="A183" s="222"/>
      <c r="B183" s="220"/>
      <c r="C183" s="230"/>
      <c r="D183" s="233"/>
      <c r="E183" s="236"/>
      <c r="F183" s="9">
        <v>63</v>
      </c>
      <c r="G183" s="36"/>
      <c r="H183" s="37"/>
      <c r="I183" s="37"/>
      <c r="J183" s="37"/>
      <c r="K183" s="37"/>
      <c r="L183" s="37"/>
      <c r="M183" s="37"/>
      <c r="N183" s="37"/>
      <c r="O183" s="37"/>
      <c r="P183" s="38"/>
      <c r="Q183" s="18"/>
      <c r="R183" s="36"/>
      <c r="S183" s="37"/>
      <c r="T183" s="37"/>
      <c r="U183" s="37"/>
      <c r="V183" s="37"/>
      <c r="W183" s="37"/>
      <c r="X183" s="37"/>
      <c r="Y183" s="37"/>
      <c r="Z183" s="37"/>
      <c r="AA183" s="38"/>
      <c r="AB183" s="52" t="e">
        <f t="shared" si="7"/>
        <v>#DIV/0!</v>
      </c>
      <c r="AC183" s="53" t="e">
        <f t="shared" si="7"/>
        <v>#DIV/0!</v>
      </c>
      <c r="AD183" s="19"/>
      <c r="AE183" s="19"/>
      <c r="AF183" s="286"/>
      <c r="AG183" s="247"/>
      <c r="AH183" s="243"/>
      <c r="AI183" s="243"/>
      <c r="AJ183" s="246"/>
      <c r="AK183" s="247"/>
      <c r="AL183" s="250"/>
      <c r="AM183" s="247"/>
      <c r="AN183" s="250"/>
      <c r="AO183" s="253"/>
      <c r="AP183" s="250"/>
    </row>
    <row r="184" spans="1:42" ht="17.100000000000001" customHeight="1" outlineLevel="4" x14ac:dyDescent="0.25">
      <c r="A184" s="222"/>
      <c r="B184" s="218" t="s">
        <v>24</v>
      </c>
      <c r="C184" s="228" t="s">
        <v>59</v>
      </c>
      <c r="D184" s="231">
        <v>60</v>
      </c>
      <c r="E184" s="234" t="s">
        <v>23</v>
      </c>
      <c r="F184" s="7">
        <v>23</v>
      </c>
      <c r="G184" s="31"/>
      <c r="H184" s="32"/>
      <c r="I184" s="32"/>
      <c r="J184" s="32"/>
      <c r="K184" s="32"/>
      <c r="L184" s="32"/>
      <c r="M184" s="32"/>
      <c r="N184" s="32"/>
      <c r="O184" s="32"/>
      <c r="P184" s="33"/>
      <c r="Q184" s="18"/>
      <c r="R184" s="31"/>
      <c r="S184" s="32"/>
      <c r="T184" s="32"/>
      <c r="U184" s="32"/>
      <c r="V184" s="32"/>
      <c r="W184" s="32"/>
      <c r="X184" s="32"/>
      <c r="Y184" s="32"/>
      <c r="Z184" s="32"/>
      <c r="AA184" s="33"/>
      <c r="AB184" s="48" t="e">
        <f t="shared" si="7"/>
        <v>#DIV/0!</v>
      </c>
      <c r="AC184" s="49" t="e">
        <f t="shared" si="7"/>
        <v>#DIV/0!</v>
      </c>
      <c r="AD184" s="19"/>
      <c r="AE184" s="19"/>
      <c r="AF184" s="284" t="s">
        <v>126</v>
      </c>
      <c r="AG184" s="239" t="e" cm="1">
        <f t="array" ref="AG184">bdRateExtend($G184:$G187,G184:G187,$R184:$R187,R184:R187)</f>
        <v>#VALUE!</v>
      </c>
      <c r="AH184" s="241" t="e" cm="1">
        <f t="array" ref="AH184">bdRateExtend($G184:$G189,H184:H189,$R184:$R189,S184:S189)</f>
        <v>#VALUE!</v>
      </c>
      <c r="AI184" s="241" t="e" cm="1">
        <f t="array" ref="AI184">bdRateExtend($G184:$G189,I184:I189,$R184:$R189,T184:T189)</f>
        <v>#VALUE!</v>
      </c>
      <c r="AJ184" s="244" t="e" cm="1">
        <f t="array" ref="AJ184">bdRateExtend($G184:$G189,J184:J189,$R184:$R189,U184:U189)</f>
        <v>#VALUE!</v>
      </c>
      <c r="AK184" s="239" t="e" cm="1">
        <f t="array" ref="AK184">bdRateExtend($G184:$G187,K184:K187,$R184:$R187,V184:V187)</f>
        <v>#VALUE!</v>
      </c>
      <c r="AL184" s="248" t="e" cm="1">
        <f t="array" ref="AL184">bdRateExtend($G184:$G189,K184:K189,$R184:$R189,V184:V189)</f>
        <v>#VALUE!</v>
      </c>
      <c r="AM184" s="239" t="e" cm="1">
        <f t="array" ref="AM184">bdRateExtend($G184:$G187,L184:L187,$R184:$R187,W184:W187)</f>
        <v>#VALUE!</v>
      </c>
      <c r="AN184" s="248" t="e" cm="1">
        <f t="array" ref="AN184">bdRateExtend($G184:$G189,L184:L189,$R184:$R189,W184:W189)</f>
        <v>#VALUE!</v>
      </c>
      <c r="AO184" s="254" t="e" cm="1">
        <f t="array" ref="AO184">bdRateExtend($G184:$G187,M184:M187,$R184:$R187,X184:X187)</f>
        <v>#VALUE!</v>
      </c>
      <c r="AP184" s="248" t="e" cm="1">
        <f t="array" ref="AP184">bdRateExtend($G184:$G189,M184:M189,$R184:$R189,X184:X189)</f>
        <v>#VALUE!</v>
      </c>
    </row>
    <row r="185" spans="1:42" ht="17.100000000000001" customHeight="1" outlineLevel="4" x14ac:dyDescent="0.25">
      <c r="A185" s="222"/>
      <c r="B185" s="219"/>
      <c r="C185" s="229"/>
      <c r="D185" s="232"/>
      <c r="E185" s="235"/>
      <c r="F185" s="16">
        <v>31</v>
      </c>
      <c r="G185" s="34"/>
      <c r="H185" s="39"/>
      <c r="I185" s="39"/>
      <c r="J185" s="39"/>
      <c r="K185" s="39"/>
      <c r="L185" s="39"/>
      <c r="M185" s="39"/>
      <c r="N185" s="39"/>
      <c r="O185" s="39"/>
      <c r="P185" s="35"/>
      <c r="Q185" s="18"/>
      <c r="R185" s="34"/>
      <c r="S185" s="39"/>
      <c r="T185" s="39"/>
      <c r="U185" s="39"/>
      <c r="V185" s="39"/>
      <c r="W185" s="39"/>
      <c r="X185" s="39"/>
      <c r="Y185" s="39"/>
      <c r="Z185" s="39"/>
      <c r="AA185" s="35"/>
      <c r="AB185" s="50" t="e">
        <f t="shared" si="7"/>
        <v>#DIV/0!</v>
      </c>
      <c r="AC185" s="51" t="e">
        <f t="shared" si="7"/>
        <v>#DIV/0!</v>
      </c>
      <c r="AD185" s="19"/>
      <c r="AE185" s="19"/>
      <c r="AF185" s="285"/>
      <c r="AG185" s="240"/>
      <c r="AH185" s="242"/>
      <c r="AI185" s="242"/>
      <c r="AJ185" s="245"/>
      <c r="AK185" s="240"/>
      <c r="AL185" s="249"/>
      <c r="AM185" s="240"/>
      <c r="AN185" s="249"/>
      <c r="AO185" s="252"/>
      <c r="AP185" s="249"/>
    </row>
    <row r="186" spans="1:42" ht="17.100000000000001" customHeight="1" outlineLevel="4" x14ac:dyDescent="0.25">
      <c r="A186" s="222"/>
      <c r="B186" s="219"/>
      <c r="C186" s="229"/>
      <c r="D186" s="232"/>
      <c r="E186" s="235"/>
      <c r="F186" s="16">
        <v>39</v>
      </c>
      <c r="G186" s="34"/>
      <c r="H186" s="39"/>
      <c r="I186" s="39"/>
      <c r="J186" s="39"/>
      <c r="K186" s="39"/>
      <c r="L186" s="39"/>
      <c r="M186" s="39"/>
      <c r="N186" s="39"/>
      <c r="O186" s="39"/>
      <c r="P186" s="35"/>
      <c r="Q186" s="18"/>
      <c r="R186" s="34"/>
      <c r="S186" s="39"/>
      <c r="T186" s="39"/>
      <c r="U186" s="39"/>
      <c r="V186" s="39"/>
      <c r="W186" s="39"/>
      <c r="X186" s="39"/>
      <c r="Y186" s="39"/>
      <c r="Z186" s="39"/>
      <c r="AA186" s="35"/>
      <c r="AB186" s="50" t="e">
        <f t="shared" si="7"/>
        <v>#DIV/0!</v>
      </c>
      <c r="AC186" s="51" t="e">
        <f t="shared" si="7"/>
        <v>#DIV/0!</v>
      </c>
      <c r="AD186" s="19"/>
      <c r="AE186" s="19"/>
      <c r="AF186" s="285" t="s">
        <v>127</v>
      </c>
      <c r="AG186" s="240" t="e" cm="1">
        <f t="array" ref="AG186">bdRateExtend($G185:$G188,G185:G188,$R185:$R188,R185:R188)</f>
        <v>#VALUE!</v>
      </c>
      <c r="AH186" s="242"/>
      <c r="AI186" s="242"/>
      <c r="AJ186" s="245"/>
      <c r="AK186" s="240" t="e" cm="1">
        <f t="array" ref="AK186">bdRateExtend($G185:$G188,K185:K188,$R185:$R188,V185:V188)</f>
        <v>#VALUE!</v>
      </c>
      <c r="AL186" s="249"/>
      <c r="AM186" s="240" t="e" cm="1">
        <f t="array" ref="AM186">bdRateExtend($G185:$G188,L185:L188,$R185:$R188,W185:W188)</f>
        <v>#VALUE!</v>
      </c>
      <c r="AN186" s="249"/>
      <c r="AO186" s="252" t="e" cm="1">
        <f t="array" ref="AO186">bdRateExtend($G185:$G188,M185:M188,$R185:$R188,X185:X188)</f>
        <v>#VALUE!</v>
      </c>
      <c r="AP186" s="249"/>
    </row>
    <row r="187" spans="1:42" ht="17.100000000000001" customHeight="1" outlineLevel="4" x14ac:dyDescent="0.25">
      <c r="A187" s="222"/>
      <c r="B187" s="219"/>
      <c r="C187" s="229"/>
      <c r="D187" s="232"/>
      <c r="E187" s="235"/>
      <c r="F187" s="16">
        <v>47</v>
      </c>
      <c r="G187" s="34"/>
      <c r="H187" s="39"/>
      <c r="I187" s="39"/>
      <c r="J187" s="39"/>
      <c r="K187" s="39"/>
      <c r="L187" s="39"/>
      <c r="M187" s="39"/>
      <c r="N187" s="39"/>
      <c r="O187" s="39"/>
      <c r="P187" s="35"/>
      <c r="Q187" s="18"/>
      <c r="R187" s="34"/>
      <c r="S187" s="39"/>
      <c r="T187" s="39"/>
      <c r="U187" s="39"/>
      <c r="V187" s="39"/>
      <c r="W187" s="39"/>
      <c r="X187" s="39"/>
      <c r="Y187" s="39"/>
      <c r="Z187" s="39"/>
      <c r="AA187" s="35"/>
      <c r="AB187" s="50" t="e">
        <f t="shared" si="7"/>
        <v>#DIV/0!</v>
      </c>
      <c r="AC187" s="51" t="e">
        <f t="shared" si="7"/>
        <v>#DIV/0!</v>
      </c>
      <c r="AD187" s="19"/>
      <c r="AE187" s="19"/>
      <c r="AF187" s="285"/>
      <c r="AG187" s="240"/>
      <c r="AH187" s="242"/>
      <c r="AI187" s="242"/>
      <c r="AJ187" s="245"/>
      <c r="AK187" s="240"/>
      <c r="AL187" s="249"/>
      <c r="AM187" s="240"/>
      <c r="AN187" s="249"/>
      <c r="AO187" s="252"/>
      <c r="AP187" s="249"/>
    </row>
    <row r="188" spans="1:42" ht="17.100000000000001" customHeight="1" outlineLevel="4" x14ac:dyDescent="0.25">
      <c r="A188" s="222"/>
      <c r="B188" s="219"/>
      <c r="C188" s="229"/>
      <c r="D188" s="232"/>
      <c r="E188" s="235"/>
      <c r="F188" s="16">
        <v>55</v>
      </c>
      <c r="G188" s="34"/>
      <c r="H188" s="39"/>
      <c r="I188" s="39"/>
      <c r="J188" s="39"/>
      <c r="K188" s="39"/>
      <c r="L188" s="39"/>
      <c r="M188" s="39"/>
      <c r="N188" s="39"/>
      <c r="O188" s="39"/>
      <c r="P188" s="35"/>
      <c r="Q188" s="18"/>
      <c r="R188" s="34"/>
      <c r="S188" s="39"/>
      <c r="T188" s="39"/>
      <c r="U188" s="39"/>
      <c r="V188" s="39"/>
      <c r="W188" s="39"/>
      <c r="X188" s="39"/>
      <c r="Y188" s="39"/>
      <c r="Z188" s="39"/>
      <c r="AA188" s="35"/>
      <c r="AB188" s="50" t="e">
        <f t="shared" si="7"/>
        <v>#DIV/0!</v>
      </c>
      <c r="AC188" s="51" t="e">
        <f t="shared" si="7"/>
        <v>#DIV/0!</v>
      </c>
      <c r="AD188" s="19"/>
      <c r="AE188" s="19"/>
      <c r="AF188" s="285" t="s">
        <v>128</v>
      </c>
      <c r="AG188" s="240" t="e" cm="1">
        <f t="array" ref="AG188">bdRateExtend($G186:$G189,G186:G189,$R186:$R189,R186:R189)</f>
        <v>#VALUE!</v>
      </c>
      <c r="AH188" s="242"/>
      <c r="AI188" s="242"/>
      <c r="AJ188" s="245"/>
      <c r="AK188" s="240" t="e" cm="1">
        <f t="array" ref="AK188">bdRateExtend($G186:$G189,K186:K189,$R186:$R189,V186:V189)</f>
        <v>#VALUE!</v>
      </c>
      <c r="AL188" s="249"/>
      <c r="AM188" s="240" t="e" cm="1">
        <f t="array" ref="AM188">bdRateExtend($G186:$G189,L186:L189,$R186:$R189,W186:W189)</f>
        <v>#VALUE!</v>
      </c>
      <c r="AN188" s="249"/>
      <c r="AO188" s="252" t="e" cm="1">
        <f t="array" ref="AO188">bdRateExtend($G186:$G189,M186:M189,$R186:$R189,X186:X189)</f>
        <v>#VALUE!</v>
      </c>
      <c r="AP188" s="249"/>
    </row>
    <row r="189" spans="1:42" ht="17.100000000000001" customHeight="1" outlineLevel="4" thickBot="1" x14ac:dyDescent="0.3">
      <c r="A189" s="222"/>
      <c r="B189" s="220"/>
      <c r="C189" s="230"/>
      <c r="D189" s="233"/>
      <c r="E189" s="236"/>
      <c r="F189" s="9">
        <v>63</v>
      </c>
      <c r="G189" s="36"/>
      <c r="H189" s="37"/>
      <c r="I189" s="37"/>
      <c r="J189" s="37"/>
      <c r="K189" s="37"/>
      <c r="L189" s="37"/>
      <c r="M189" s="37"/>
      <c r="N189" s="37"/>
      <c r="O189" s="37"/>
      <c r="P189" s="38"/>
      <c r="Q189" s="18"/>
      <c r="R189" s="36"/>
      <c r="S189" s="37"/>
      <c r="T189" s="37"/>
      <c r="U189" s="37"/>
      <c r="V189" s="37"/>
      <c r="W189" s="37"/>
      <c r="X189" s="37"/>
      <c r="Y189" s="37"/>
      <c r="Z189" s="37"/>
      <c r="AA189" s="38"/>
      <c r="AB189" s="52" t="e">
        <f t="shared" si="7"/>
        <v>#DIV/0!</v>
      </c>
      <c r="AC189" s="53" t="e">
        <f t="shared" si="7"/>
        <v>#DIV/0!</v>
      </c>
      <c r="AD189" s="19"/>
      <c r="AE189" s="19"/>
      <c r="AF189" s="286"/>
      <c r="AG189" s="247"/>
      <c r="AH189" s="243"/>
      <c r="AI189" s="243"/>
      <c r="AJ189" s="246"/>
      <c r="AK189" s="247"/>
      <c r="AL189" s="250"/>
      <c r="AM189" s="247"/>
      <c r="AN189" s="250"/>
      <c r="AO189" s="253"/>
      <c r="AP189" s="250"/>
    </row>
    <row r="190" spans="1:42" ht="17.100000000000001" customHeight="1" outlineLevel="4" x14ac:dyDescent="0.25">
      <c r="A190" s="222"/>
      <c r="B190" s="218" t="s">
        <v>24</v>
      </c>
      <c r="C190" s="228" t="s">
        <v>60</v>
      </c>
      <c r="D190" s="231">
        <v>59.94</v>
      </c>
      <c r="E190" s="234">
        <v>10</v>
      </c>
      <c r="F190" s="7">
        <v>23</v>
      </c>
      <c r="G190" s="31"/>
      <c r="H190" s="32"/>
      <c r="I190" s="32"/>
      <c r="J190" s="32"/>
      <c r="K190" s="32"/>
      <c r="L190" s="32"/>
      <c r="M190" s="32"/>
      <c r="N190" s="32"/>
      <c r="O190" s="32"/>
      <c r="P190" s="33"/>
      <c r="Q190" s="18"/>
      <c r="R190" s="31"/>
      <c r="S190" s="32"/>
      <c r="T190" s="32"/>
      <c r="U190" s="32"/>
      <c r="V190" s="32"/>
      <c r="W190" s="32"/>
      <c r="X190" s="32"/>
      <c r="Y190" s="32"/>
      <c r="Z190" s="32"/>
      <c r="AA190" s="33"/>
      <c r="AB190" s="48" t="e">
        <f t="shared" si="7"/>
        <v>#DIV/0!</v>
      </c>
      <c r="AC190" s="49" t="e">
        <f t="shared" si="7"/>
        <v>#DIV/0!</v>
      </c>
      <c r="AD190" s="19"/>
      <c r="AE190" s="19"/>
      <c r="AF190" s="284" t="s">
        <v>126</v>
      </c>
      <c r="AG190" s="239" t="e" cm="1">
        <f t="array" ref="AG190">bdRateExtend($G190:$G193,G190:G193,$R190:$R193,R190:R193)</f>
        <v>#VALUE!</v>
      </c>
      <c r="AH190" s="241" t="e" cm="1">
        <f t="array" ref="AH190">bdRateExtend($G190:$G195,H190:H195,$R190:$R195,S190:S195)</f>
        <v>#VALUE!</v>
      </c>
      <c r="AI190" s="241" t="e" cm="1">
        <f t="array" ref="AI190">bdRateExtend($G190:$G195,I190:I195,$R190:$R195,T190:T195)</f>
        <v>#VALUE!</v>
      </c>
      <c r="AJ190" s="244" t="e" cm="1">
        <f t="array" ref="AJ190">bdRateExtend($G190:$G195,J190:J195,$R190:$R195,U190:U195)</f>
        <v>#VALUE!</v>
      </c>
      <c r="AK190" s="239" t="e" cm="1">
        <f t="array" ref="AK190">bdRateExtend($G190:$G193,K190:K193,$R190:$R193,V190:V193)</f>
        <v>#VALUE!</v>
      </c>
      <c r="AL190" s="248" t="e" cm="1">
        <f t="array" ref="AL190">bdRateExtend($G190:$G195,K190:K195,$R190:$R195,V190:V195)</f>
        <v>#VALUE!</v>
      </c>
      <c r="AM190" s="239" t="e" cm="1">
        <f t="array" ref="AM190">bdRateExtend($G190:$G193,L190:L193,$R190:$R193,W190:W193)</f>
        <v>#VALUE!</v>
      </c>
      <c r="AN190" s="248" t="e" cm="1">
        <f t="array" ref="AN190">bdRateExtend($G190:$G195,L190:L195,$R190:$R195,W190:W195)</f>
        <v>#VALUE!</v>
      </c>
      <c r="AO190" s="254" t="e" cm="1">
        <f t="array" ref="AO190">bdRateExtend($G190:$G193,M190:M193,$R190:$R193,X190:X193)</f>
        <v>#VALUE!</v>
      </c>
      <c r="AP190" s="248" t="e" cm="1">
        <f t="array" ref="AP190">bdRateExtend($G190:$G195,M190:M195,$R190:$R195,X190:X195)</f>
        <v>#VALUE!</v>
      </c>
    </row>
    <row r="191" spans="1:42" ht="17.100000000000001" customHeight="1" outlineLevel="4" x14ac:dyDescent="0.25">
      <c r="A191" s="222"/>
      <c r="B191" s="219"/>
      <c r="C191" s="229"/>
      <c r="D191" s="232"/>
      <c r="E191" s="235"/>
      <c r="F191" s="16">
        <v>31</v>
      </c>
      <c r="G191" s="34"/>
      <c r="H191" s="39"/>
      <c r="I191" s="39"/>
      <c r="J191" s="39"/>
      <c r="K191" s="39"/>
      <c r="L191" s="39"/>
      <c r="M191" s="39"/>
      <c r="N191" s="39"/>
      <c r="O191" s="39"/>
      <c r="P191" s="35"/>
      <c r="Q191" s="18"/>
      <c r="R191" s="34"/>
      <c r="S191" s="39"/>
      <c r="T191" s="39"/>
      <c r="U191" s="39"/>
      <c r="V191" s="39"/>
      <c r="W191" s="39"/>
      <c r="X191" s="39"/>
      <c r="Y191" s="39"/>
      <c r="Z191" s="39"/>
      <c r="AA191" s="35"/>
      <c r="AB191" s="50" t="e">
        <f t="shared" si="7"/>
        <v>#DIV/0!</v>
      </c>
      <c r="AC191" s="51" t="e">
        <f t="shared" si="7"/>
        <v>#DIV/0!</v>
      </c>
      <c r="AD191" s="19"/>
      <c r="AE191" s="19"/>
      <c r="AF191" s="285"/>
      <c r="AG191" s="240"/>
      <c r="AH191" s="242"/>
      <c r="AI191" s="242"/>
      <c r="AJ191" s="245"/>
      <c r="AK191" s="240"/>
      <c r="AL191" s="249"/>
      <c r="AM191" s="240"/>
      <c r="AN191" s="249"/>
      <c r="AO191" s="252"/>
      <c r="AP191" s="249"/>
    </row>
    <row r="192" spans="1:42" ht="17.100000000000001" customHeight="1" outlineLevel="4" x14ac:dyDescent="0.25">
      <c r="A192" s="222"/>
      <c r="B192" s="219"/>
      <c r="C192" s="229"/>
      <c r="D192" s="232"/>
      <c r="E192" s="235"/>
      <c r="F192" s="16">
        <v>39</v>
      </c>
      <c r="G192" s="34"/>
      <c r="H192" s="39"/>
      <c r="I192" s="39"/>
      <c r="J192" s="39"/>
      <c r="K192" s="39"/>
      <c r="L192" s="39"/>
      <c r="M192" s="39"/>
      <c r="N192" s="39"/>
      <c r="O192" s="39"/>
      <c r="P192" s="35"/>
      <c r="Q192" s="18"/>
      <c r="R192" s="34"/>
      <c r="S192" s="39"/>
      <c r="T192" s="39"/>
      <c r="U192" s="39"/>
      <c r="V192" s="39"/>
      <c r="W192" s="39"/>
      <c r="X192" s="39"/>
      <c r="Y192" s="39"/>
      <c r="Z192" s="39"/>
      <c r="AA192" s="35"/>
      <c r="AB192" s="50" t="e">
        <f t="shared" si="7"/>
        <v>#DIV/0!</v>
      </c>
      <c r="AC192" s="51" t="e">
        <f t="shared" si="7"/>
        <v>#DIV/0!</v>
      </c>
      <c r="AD192" s="19"/>
      <c r="AE192" s="19"/>
      <c r="AF192" s="285" t="s">
        <v>127</v>
      </c>
      <c r="AG192" s="240" t="e" cm="1">
        <f t="array" ref="AG192">bdRateExtend($G191:$G194,G191:G194,$R191:$R194,R191:R194)</f>
        <v>#VALUE!</v>
      </c>
      <c r="AH192" s="242"/>
      <c r="AI192" s="242"/>
      <c r="AJ192" s="245"/>
      <c r="AK192" s="240" t="e" cm="1">
        <f t="array" ref="AK192">bdRateExtend($G191:$G194,K191:K194,$R191:$R194,V191:V194)</f>
        <v>#VALUE!</v>
      </c>
      <c r="AL192" s="249"/>
      <c r="AM192" s="240" t="e" cm="1">
        <f t="array" ref="AM192">bdRateExtend($G191:$G194,L191:L194,$R191:$R194,W191:W194)</f>
        <v>#VALUE!</v>
      </c>
      <c r="AN192" s="249"/>
      <c r="AO192" s="252" t="e" cm="1">
        <f t="array" ref="AO192">bdRateExtend($G191:$G194,M191:M194,$R191:$R194,X191:X194)</f>
        <v>#VALUE!</v>
      </c>
      <c r="AP192" s="249"/>
    </row>
    <row r="193" spans="1:42" ht="17.100000000000001" customHeight="1" outlineLevel="4" x14ac:dyDescent="0.25">
      <c r="A193" s="222"/>
      <c r="B193" s="219"/>
      <c r="C193" s="229"/>
      <c r="D193" s="232"/>
      <c r="E193" s="235"/>
      <c r="F193" s="16">
        <v>47</v>
      </c>
      <c r="G193" s="34"/>
      <c r="H193" s="39"/>
      <c r="I193" s="39"/>
      <c r="J193" s="39"/>
      <c r="K193" s="39"/>
      <c r="L193" s="39"/>
      <c r="M193" s="39"/>
      <c r="N193" s="39"/>
      <c r="O193" s="39"/>
      <c r="P193" s="35"/>
      <c r="Q193" s="18"/>
      <c r="R193" s="34"/>
      <c r="S193" s="39"/>
      <c r="T193" s="39"/>
      <c r="U193" s="39"/>
      <c r="V193" s="39"/>
      <c r="W193" s="39"/>
      <c r="X193" s="39"/>
      <c r="Y193" s="39"/>
      <c r="Z193" s="39"/>
      <c r="AA193" s="35"/>
      <c r="AB193" s="50" t="e">
        <f t="shared" si="7"/>
        <v>#DIV/0!</v>
      </c>
      <c r="AC193" s="51" t="e">
        <f t="shared" si="7"/>
        <v>#DIV/0!</v>
      </c>
      <c r="AD193" s="19"/>
      <c r="AE193" s="19"/>
      <c r="AF193" s="285"/>
      <c r="AG193" s="240"/>
      <c r="AH193" s="242"/>
      <c r="AI193" s="242"/>
      <c r="AJ193" s="245"/>
      <c r="AK193" s="240"/>
      <c r="AL193" s="249"/>
      <c r="AM193" s="240"/>
      <c r="AN193" s="249"/>
      <c r="AO193" s="252"/>
      <c r="AP193" s="249"/>
    </row>
    <row r="194" spans="1:42" ht="17.100000000000001" customHeight="1" outlineLevel="4" x14ac:dyDescent="0.25">
      <c r="A194" s="222"/>
      <c r="B194" s="219"/>
      <c r="C194" s="229"/>
      <c r="D194" s="232"/>
      <c r="E194" s="235"/>
      <c r="F194" s="16">
        <v>55</v>
      </c>
      <c r="G194" s="34"/>
      <c r="H194" s="39"/>
      <c r="I194" s="39"/>
      <c r="J194" s="39"/>
      <c r="K194" s="39"/>
      <c r="L194" s="39"/>
      <c r="M194" s="39"/>
      <c r="N194" s="39"/>
      <c r="O194" s="39"/>
      <c r="P194" s="35"/>
      <c r="Q194" s="18"/>
      <c r="R194" s="34"/>
      <c r="S194" s="39"/>
      <c r="T194" s="39"/>
      <c r="U194" s="39"/>
      <c r="V194" s="39"/>
      <c r="W194" s="39"/>
      <c r="X194" s="39"/>
      <c r="Y194" s="39"/>
      <c r="Z194" s="39"/>
      <c r="AA194" s="35"/>
      <c r="AB194" s="50" t="e">
        <f t="shared" si="7"/>
        <v>#DIV/0!</v>
      </c>
      <c r="AC194" s="51" t="e">
        <f t="shared" si="7"/>
        <v>#DIV/0!</v>
      </c>
      <c r="AD194" s="19"/>
      <c r="AE194" s="19"/>
      <c r="AF194" s="285" t="s">
        <v>128</v>
      </c>
      <c r="AG194" s="240" t="e" cm="1">
        <f t="array" ref="AG194">bdRateExtend($G192:$G195,G192:G195,$R192:$R195,R192:R195)</f>
        <v>#VALUE!</v>
      </c>
      <c r="AH194" s="242"/>
      <c r="AI194" s="242"/>
      <c r="AJ194" s="245"/>
      <c r="AK194" s="240" t="e" cm="1">
        <f t="array" ref="AK194">bdRateExtend($G192:$G195,K192:K195,$R192:$R195,V192:V195)</f>
        <v>#VALUE!</v>
      </c>
      <c r="AL194" s="249"/>
      <c r="AM194" s="240" t="e" cm="1">
        <f t="array" ref="AM194">bdRateExtend($G192:$G195,L192:L195,$R192:$R195,W192:W195)</f>
        <v>#VALUE!</v>
      </c>
      <c r="AN194" s="249"/>
      <c r="AO194" s="252" t="e" cm="1">
        <f t="array" ref="AO194">bdRateExtend($G192:$G195,M192:M195,$R192:$R195,X192:X195)</f>
        <v>#VALUE!</v>
      </c>
      <c r="AP194" s="249"/>
    </row>
    <row r="195" spans="1:42" ht="17.100000000000001" customHeight="1" outlineLevel="4" thickBot="1" x14ac:dyDescent="0.3">
      <c r="A195" s="222"/>
      <c r="B195" s="220"/>
      <c r="C195" s="230"/>
      <c r="D195" s="233"/>
      <c r="E195" s="236"/>
      <c r="F195" s="9">
        <v>63</v>
      </c>
      <c r="G195" s="36"/>
      <c r="H195" s="37"/>
      <c r="I195" s="37"/>
      <c r="J195" s="37"/>
      <c r="K195" s="37"/>
      <c r="L195" s="37"/>
      <c r="M195" s="37"/>
      <c r="N195" s="37"/>
      <c r="O195" s="37"/>
      <c r="P195" s="38"/>
      <c r="Q195" s="18"/>
      <c r="R195" s="36"/>
      <c r="S195" s="37"/>
      <c r="T195" s="37"/>
      <c r="U195" s="37"/>
      <c r="V195" s="37"/>
      <c r="W195" s="37"/>
      <c r="X195" s="37"/>
      <c r="Y195" s="37"/>
      <c r="Z195" s="37"/>
      <c r="AA195" s="38"/>
      <c r="AB195" s="52" t="e">
        <f t="shared" si="7"/>
        <v>#DIV/0!</v>
      </c>
      <c r="AC195" s="53" t="e">
        <f t="shared" si="7"/>
        <v>#DIV/0!</v>
      </c>
      <c r="AD195" s="19"/>
      <c r="AE195" s="19"/>
      <c r="AF195" s="286"/>
      <c r="AG195" s="247"/>
      <c r="AH195" s="243"/>
      <c r="AI195" s="243"/>
      <c r="AJ195" s="246"/>
      <c r="AK195" s="247"/>
      <c r="AL195" s="250"/>
      <c r="AM195" s="247"/>
      <c r="AN195" s="250"/>
      <c r="AO195" s="253"/>
      <c r="AP195" s="250"/>
    </row>
    <row r="196" spans="1:42" ht="17.100000000000001" customHeight="1" outlineLevel="4" x14ac:dyDescent="0.25">
      <c r="A196" s="222"/>
      <c r="B196" s="218" t="s">
        <v>24</v>
      </c>
      <c r="C196" s="228" t="s">
        <v>61</v>
      </c>
      <c r="D196" s="231">
        <v>60</v>
      </c>
      <c r="E196" s="234">
        <v>8</v>
      </c>
      <c r="F196" s="7">
        <v>23</v>
      </c>
      <c r="G196" s="31"/>
      <c r="H196" s="32"/>
      <c r="I196" s="32"/>
      <c r="J196" s="32"/>
      <c r="K196" s="32"/>
      <c r="L196" s="32"/>
      <c r="M196" s="32"/>
      <c r="N196" s="32"/>
      <c r="O196" s="32"/>
      <c r="P196" s="33"/>
      <c r="Q196" s="18"/>
      <c r="R196" s="31"/>
      <c r="S196" s="32"/>
      <c r="T196" s="32"/>
      <c r="U196" s="32"/>
      <c r="V196" s="32"/>
      <c r="W196" s="32"/>
      <c r="X196" s="32"/>
      <c r="Y196" s="32"/>
      <c r="Z196" s="32"/>
      <c r="AA196" s="33"/>
      <c r="AB196" s="48" t="e">
        <f t="shared" si="7"/>
        <v>#DIV/0!</v>
      </c>
      <c r="AC196" s="49" t="e">
        <f t="shared" si="7"/>
        <v>#DIV/0!</v>
      </c>
      <c r="AD196" s="19"/>
      <c r="AE196" s="19"/>
      <c r="AF196" s="284" t="s">
        <v>126</v>
      </c>
      <c r="AG196" s="239" t="e" cm="1">
        <f t="array" ref="AG196">bdRateExtend($G196:$G199,G196:G199,$R196:$R199,R196:R199)</f>
        <v>#VALUE!</v>
      </c>
      <c r="AH196" s="241" t="e" cm="1">
        <f t="array" ref="AH196">bdRateExtend($G196:$G201,H196:H201,$R196:$R201,S196:S201)</f>
        <v>#VALUE!</v>
      </c>
      <c r="AI196" s="241" t="e" cm="1">
        <f t="array" ref="AI196">bdRateExtend($G196:$G201,I196:I201,$R196:$R201,T196:T201)</f>
        <v>#VALUE!</v>
      </c>
      <c r="AJ196" s="244" t="e" cm="1">
        <f t="array" ref="AJ196">bdRateExtend($G196:$G201,J196:J201,$R196:$R201,U196:U201)</f>
        <v>#VALUE!</v>
      </c>
      <c r="AK196" s="239" t="e" cm="1">
        <f t="array" ref="AK196">bdRateExtend($G196:$G199,K196:K199,$R196:$R199,V196:V199)</f>
        <v>#VALUE!</v>
      </c>
      <c r="AL196" s="248" t="e" cm="1">
        <f t="array" ref="AL196">bdRateExtend($G196:$G201,K196:K201,$R196:$R201,V196:V201)</f>
        <v>#VALUE!</v>
      </c>
      <c r="AM196" s="239" t="e" cm="1">
        <f t="array" ref="AM196">bdRateExtend($G196:$G199,L196:L199,$R196:$R199,W196:W199)</f>
        <v>#VALUE!</v>
      </c>
      <c r="AN196" s="248" t="e" cm="1">
        <f t="array" ref="AN196">bdRateExtend($G196:$G201,L196:L201,$R196:$R201,W196:W201)</f>
        <v>#VALUE!</v>
      </c>
      <c r="AO196" s="254" t="e" cm="1">
        <f t="array" ref="AO196">bdRateExtend($G196:$G199,M196:M199,$R196:$R199,X196:X199)</f>
        <v>#VALUE!</v>
      </c>
      <c r="AP196" s="248" t="e" cm="1">
        <f t="array" ref="AP196">bdRateExtend($G196:$G201,M196:M201,$R196:$R201,X196:X201)</f>
        <v>#VALUE!</v>
      </c>
    </row>
    <row r="197" spans="1:42" ht="17.100000000000001" customHeight="1" outlineLevel="4" x14ac:dyDescent="0.25">
      <c r="A197" s="222"/>
      <c r="B197" s="219"/>
      <c r="C197" s="229"/>
      <c r="D197" s="232"/>
      <c r="E197" s="235"/>
      <c r="F197" s="16">
        <v>31</v>
      </c>
      <c r="G197" s="34"/>
      <c r="H197" s="39"/>
      <c r="I197" s="39"/>
      <c r="J197" s="39"/>
      <c r="K197" s="39"/>
      <c r="L197" s="39"/>
      <c r="M197" s="39"/>
      <c r="N197" s="39"/>
      <c r="O197" s="39"/>
      <c r="P197" s="35"/>
      <c r="Q197" s="18"/>
      <c r="R197" s="34"/>
      <c r="S197" s="39"/>
      <c r="T197" s="39"/>
      <c r="U197" s="39"/>
      <c r="V197" s="39"/>
      <c r="W197" s="39"/>
      <c r="X197" s="39"/>
      <c r="Y197" s="39"/>
      <c r="Z197" s="39"/>
      <c r="AA197" s="35"/>
      <c r="AB197" s="50" t="e">
        <f t="shared" si="7"/>
        <v>#DIV/0!</v>
      </c>
      <c r="AC197" s="51" t="e">
        <f t="shared" si="7"/>
        <v>#DIV/0!</v>
      </c>
      <c r="AD197" s="19"/>
      <c r="AE197" s="19"/>
      <c r="AF197" s="285"/>
      <c r="AG197" s="240"/>
      <c r="AH197" s="242"/>
      <c r="AI197" s="242"/>
      <c r="AJ197" s="245"/>
      <c r="AK197" s="240"/>
      <c r="AL197" s="249"/>
      <c r="AM197" s="240"/>
      <c r="AN197" s="249"/>
      <c r="AO197" s="252"/>
      <c r="AP197" s="249"/>
    </row>
    <row r="198" spans="1:42" ht="17.100000000000001" customHeight="1" outlineLevel="4" x14ac:dyDescent="0.25">
      <c r="A198" s="222"/>
      <c r="B198" s="219"/>
      <c r="C198" s="229"/>
      <c r="D198" s="232"/>
      <c r="E198" s="235"/>
      <c r="F198" s="16">
        <v>39</v>
      </c>
      <c r="G198" s="34"/>
      <c r="H198" s="39"/>
      <c r="I198" s="39"/>
      <c r="J198" s="39"/>
      <c r="K198" s="39"/>
      <c r="L198" s="39"/>
      <c r="M198" s="39"/>
      <c r="N198" s="39"/>
      <c r="O198" s="39"/>
      <c r="P198" s="35"/>
      <c r="Q198" s="18"/>
      <c r="R198" s="34"/>
      <c r="S198" s="39"/>
      <c r="T198" s="39"/>
      <c r="U198" s="39"/>
      <c r="V198" s="39"/>
      <c r="W198" s="39"/>
      <c r="X198" s="39"/>
      <c r="Y198" s="39"/>
      <c r="Z198" s="39"/>
      <c r="AA198" s="35"/>
      <c r="AB198" s="50" t="e">
        <f t="shared" si="7"/>
        <v>#DIV/0!</v>
      </c>
      <c r="AC198" s="51" t="e">
        <f t="shared" si="7"/>
        <v>#DIV/0!</v>
      </c>
      <c r="AD198" s="19"/>
      <c r="AE198" s="19"/>
      <c r="AF198" s="285" t="s">
        <v>127</v>
      </c>
      <c r="AG198" s="240" t="e" cm="1">
        <f t="array" ref="AG198">bdRateExtend($G197:$G200,G197:G200,$R197:$R200,R197:R200)</f>
        <v>#VALUE!</v>
      </c>
      <c r="AH198" s="242"/>
      <c r="AI198" s="242"/>
      <c r="AJ198" s="245"/>
      <c r="AK198" s="240" t="e" cm="1">
        <f t="array" ref="AK198">bdRateExtend($G197:$G200,K197:K200,$R197:$R200,V197:V200)</f>
        <v>#VALUE!</v>
      </c>
      <c r="AL198" s="249"/>
      <c r="AM198" s="240" t="e" cm="1">
        <f t="array" ref="AM198">bdRateExtend($G197:$G200,L197:L200,$R197:$R200,W197:W200)</f>
        <v>#VALUE!</v>
      </c>
      <c r="AN198" s="249"/>
      <c r="AO198" s="252" t="e" cm="1">
        <f t="array" ref="AO198">bdRateExtend($G197:$G200,M197:M200,$R197:$R200,X197:X200)</f>
        <v>#VALUE!</v>
      </c>
      <c r="AP198" s="249"/>
    </row>
    <row r="199" spans="1:42" ht="17.100000000000001" customHeight="1" outlineLevel="4" x14ac:dyDescent="0.25">
      <c r="A199" s="222"/>
      <c r="B199" s="219"/>
      <c r="C199" s="229"/>
      <c r="D199" s="232"/>
      <c r="E199" s="235"/>
      <c r="F199" s="16">
        <v>47</v>
      </c>
      <c r="G199" s="34"/>
      <c r="H199" s="39"/>
      <c r="I199" s="39"/>
      <c r="J199" s="39"/>
      <c r="K199" s="39"/>
      <c r="L199" s="39"/>
      <c r="M199" s="39"/>
      <c r="N199" s="39"/>
      <c r="O199" s="39"/>
      <c r="P199" s="35"/>
      <c r="Q199" s="18"/>
      <c r="R199" s="34"/>
      <c r="S199" s="39"/>
      <c r="T199" s="39"/>
      <c r="U199" s="39"/>
      <c r="V199" s="39"/>
      <c r="W199" s="39"/>
      <c r="X199" s="39"/>
      <c r="Y199" s="39"/>
      <c r="Z199" s="39"/>
      <c r="AA199" s="35"/>
      <c r="AB199" s="50" t="e">
        <f t="shared" si="7"/>
        <v>#DIV/0!</v>
      </c>
      <c r="AC199" s="51" t="e">
        <f t="shared" si="7"/>
        <v>#DIV/0!</v>
      </c>
      <c r="AD199" s="19"/>
      <c r="AE199" s="19"/>
      <c r="AF199" s="285"/>
      <c r="AG199" s="240"/>
      <c r="AH199" s="242"/>
      <c r="AI199" s="242"/>
      <c r="AJ199" s="245"/>
      <c r="AK199" s="240"/>
      <c r="AL199" s="249"/>
      <c r="AM199" s="240"/>
      <c r="AN199" s="249"/>
      <c r="AO199" s="252"/>
      <c r="AP199" s="249"/>
    </row>
    <row r="200" spans="1:42" ht="17.100000000000001" customHeight="1" outlineLevel="4" x14ac:dyDescent="0.25">
      <c r="A200" s="222"/>
      <c r="B200" s="219"/>
      <c r="C200" s="229"/>
      <c r="D200" s="232"/>
      <c r="E200" s="235"/>
      <c r="F200" s="16">
        <v>55</v>
      </c>
      <c r="G200" s="34"/>
      <c r="H200" s="39"/>
      <c r="I200" s="39"/>
      <c r="J200" s="39"/>
      <c r="K200" s="39"/>
      <c r="L200" s="39"/>
      <c r="M200" s="39"/>
      <c r="N200" s="39"/>
      <c r="O200" s="39"/>
      <c r="P200" s="35"/>
      <c r="Q200" s="18"/>
      <c r="R200" s="34"/>
      <c r="S200" s="39"/>
      <c r="T200" s="39"/>
      <c r="U200" s="39"/>
      <c r="V200" s="39"/>
      <c r="W200" s="39"/>
      <c r="X200" s="39"/>
      <c r="Y200" s="39"/>
      <c r="Z200" s="39"/>
      <c r="AA200" s="35"/>
      <c r="AB200" s="50" t="e">
        <f t="shared" si="7"/>
        <v>#DIV/0!</v>
      </c>
      <c r="AC200" s="51" t="e">
        <f t="shared" si="7"/>
        <v>#DIV/0!</v>
      </c>
      <c r="AD200" s="19"/>
      <c r="AE200" s="19"/>
      <c r="AF200" s="285" t="s">
        <v>128</v>
      </c>
      <c r="AG200" s="240" t="e" cm="1">
        <f t="array" ref="AG200">bdRateExtend($G198:$G201,G198:G201,$R198:$R201,R198:R201)</f>
        <v>#VALUE!</v>
      </c>
      <c r="AH200" s="242"/>
      <c r="AI200" s="242"/>
      <c r="AJ200" s="245"/>
      <c r="AK200" s="240" t="e" cm="1">
        <f t="array" ref="AK200">bdRateExtend($G198:$G201,K198:K201,$R198:$R201,V198:V201)</f>
        <v>#VALUE!</v>
      </c>
      <c r="AL200" s="249"/>
      <c r="AM200" s="240" t="e" cm="1">
        <f t="array" ref="AM200">bdRateExtend($G198:$G201,L198:L201,$R198:$R201,W198:W201)</f>
        <v>#VALUE!</v>
      </c>
      <c r="AN200" s="249"/>
      <c r="AO200" s="252" t="e" cm="1">
        <f t="array" ref="AO200">bdRateExtend($G198:$G201,M198:M201,$R198:$R201,X198:X201)</f>
        <v>#VALUE!</v>
      </c>
      <c r="AP200" s="249"/>
    </row>
    <row r="201" spans="1:42" ht="17.100000000000001" customHeight="1" outlineLevel="4" thickBot="1" x14ac:dyDescent="0.3">
      <c r="A201" s="222"/>
      <c r="B201" s="220"/>
      <c r="C201" s="230"/>
      <c r="D201" s="233"/>
      <c r="E201" s="236"/>
      <c r="F201" s="9">
        <v>63</v>
      </c>
      <c r="G201" s="36"/>
      <c r="H201" s="37"/>
      <c r="I201" s="37"/>
      <c r="J201" s="37"/>
      <c r="K201" s="37"/>
      <c r="L201" s="37"/>
      <c r="M201" s="37"/>
      <c r="N201" s="37"/>
      <c r="O201" s="37"/>
      <c r="P201" s="38"/>
      <c r="Q201" s="18"/>
      <c r="R201" s="36"/>
      <c r="S201" s="37"/>
      <c r="T201" s="37"/>
      <c r="U201" s="37"/>
      <c r="V201" s="37"/>
      <c r="W201" s="37"/>
      <c r="X201" s="37"/>
      <c r="Y201" s="37"/>
      <c r="Z201" s="37"/>
      <c r="AA201" s="38"/>
      <c r="AB201" s="52" t="e">
        <f t="shared" si="7"/>
        <v>#DIV/0!</v>
      </c>
      <c r="AC201" s="53" t="e">
        <f t="shared" si="7"/>
        <v>#DIV/0!</v>
      </c>
      <c r="AD201" s="19"/>
      <c r="AE201" s="19"/>
      <c r="AF201" s="286"/>
      <c r="AG201" s="247"/>
      <c r="AH201" s="243"/>
      <c r="AI201" s="243"/>
      <c r="AJ201" s="246"/>
      <c r="AK201" s="247"/>
      <c r="AL201" s="250"/>
      <c r="AM201" s="247"/>
      <c r="AN201" s="250"/>
      <c r="AO201" s="253"/>
      <c r="AP201" s="250"/>
    </row>
    <row r="202" spans="1:42" ht="17.100000000000001" customHeight="1" outlineLevel="4" x14ac:dyDescent="0.25">
      <c r="A202" s="222"/>
      <c r="B202" s="218" t="s">
        <v>24</v>
      </c>
      <c r="C202" s="228" t="s">
        <v>62</v>
      </c>
      <c r="D202" s="231">
        <v>60</v>
      </c>
      <c r="E202" s="234">
        <v>8</v>
      </c>
      <c r="F202" s="7">
        <v>23</v>
      </c>
      <c r="G202" s="31"/>
      <c r="H202" s="32"/>
      <c r="I202" s="32"/>
      <c r="J202" s="32"/>
      <c r="K202" s="32"/>
      <c r="L202" s="32"/>
      <c r="M202" s="32"/>
      <c r="N202" s="32"/>
      <c r="O202" s="32"/>
      <c r="P202" s="33"/>
      <c r="Q202" s="18"/>
      <c r="R202" s="31"/>
      <c r="S202" s="32"/>
      <c r="T202" s="32"/>
      <c r="U202" s="32"/>
      <c r="V202" s="32"/>
      <c r="W202" s="32"/>
      <c r="X202" s="32"/>
      <c r="Y202" s="32"/>
      <c r="Z202" s="32"/>
      <c r="AA202" s="33"/>
      <c r="AB202" s="48" t="e">
        <f t="shared" si="7"/>
        <v>#DIV/0!</v>
      </c>
      <c r="AC202" s="49" t="e">
        <f t="shared" si="7"/>
        <v>#DIV/0!</v>
      </c>
      <c r="AD202" s="19"/>
      <c r="AE202" s="19"/>
      <c r="AF202" s="284" t="s">
        <v>126</v>
      </c>
      <c r="AG202" s="239" t="e" cm="1">
        <f t="array" ref="AG202">bdRateExtend($G202:$G205,G202:G205,$R202:$R205,R202:R205)</f>
        <v>#VALUE!</v>
      </c>
      <c r="AH202" s="241" t="e" cm="1">
        <f t="array" ref="AH202">bdRateExtend($G202:$G207,H202:H207,$R202:$R207,S202:S207)</f>
        <v>#VALUE!</v>
      </c>
      <c r="AI202" s="241" t="e" cm="1">
        <f t="array" ref="AI202">bdRateExtend($G202:$G207,I202:I207,$R202:$R207,T202:T207)</f>
        <v>#VALUE!</v>
      </c>
      <c r="AJ202" s="244" t="e" cm="1">
        <f t="array" ref="AJ202">bdRateExtend($G202:$G207,J202:J207,$R202:$R207,U202:U207)</f>
        <v>#VALUE!</v>
      </c>
      <c r="AK202" s="239" t="e" cm="1">
        <f t="array" ref="AK202">bdRateExtend($G202:$G205,K202:K205,$R202:$R205,V202:V205)</f>
        <v>#VALUE!</v>
      </c>
      <c r="AL202" s="248" t="e" cm="1">
        <f t="array" ref="AL202">bdRateExtend($G202:$G207,K202:K207,$R202:$R207,V202:V207)</f>
        <v>#VALUE!</v>
      </c>
      <c r="AM202" s="239" t="e" cm="1">
        <f t="array" ref="AM202">bdRateExtend($G202:$G205,L202:L205,$R202:$R205,W202:W205)</f>
        <v>#VALUE!</v>
      </c>
      <c r="AN202" s="248" t="e" cm="1">
        <f t="array" ref="AN202">bdRateExtend($G202:$G207,L202:L207,$R202:$R207,W202:W207)</f>
        <v>#VALUE!</v>
      </c>
      <c r="AO202" s="254" t="e" cm="1">
        <f t="array" ref="AO202">bdRateExtend($G202:$G205,M202:M205,$R202:$R205,X202:X205)</f>
        <v>#VALUE!</v>
      </c>
      <c r="AP202" s="248" t="e" cm="1">
        <f t="array" ref="AP202">bdRateExtend($G202:$G207,M202:M207,$R202:$R207,X202:X207)</f>
        <v>#VALUE!</v>
      </c>
    </row>
    <row r="203" spans="1:42" ht="17.100000000000001" customHeight="1" outlineLevel="4" x14ac:dyDescent="0.25">
      <c r="A203" s="222"/>
      <c r="B203" s="219"/>
      <c r="C203" s="229"/>
      <c r="D203" s="232"/>
      <c r="E203" s="235"/>
      <c r="F203" s="16">
        <v>31</v>
      </c>
      <c r="G203" s="34"/>
      <c r="H203" s="39"/>
      <c r="I203" s="39"/>
      <c r="J203" s="39"/>
      <c r="K203" s="39"/>
      <c r="L203" s="39"/>
      <c r="M203" s="39"/>
      <c r="N203" s="39"/>
      <c r="O203" s="39"/>
      <c r="P203" s="35"/>
      <c r="Q203" s="18"/>
      <c r="R203" s="34"/>
      <c r="S203" s="39"/>
      <c r="T203" s="39"/>
      <c r="U203" s="39"/>
      <c r="V203" s="39"/>
      <c r="W203" s="39"/>
      <c r="X203" s="39"/>
      <c r="Y203" s="39"/>
      <c r="Z203" s="39"/>
      <c r="AA203" s="35"/>
      <c r="AB203" s="50" t="e">
        <f t="shared" si="7"/>
        <v>#DIV/0!</v>
      </c>
      <c r="AC203" s="51" t="e">
        <f t="shared" si="7"/>
        <v>#DIV/0!</v>
      </c>
      <c r="AD203" s="19"/>
      <c r="AE203" s="19"/>
      <c r="AF203" s="285"/>
      <c r="AG203" s="240"/>
      <c r="AH203" s="242"/>
      <c r="AI203" s="242"/>
      <c r="AJ203" s="245"/>
      <c r="AK203" s="240"/>
      <c r="AL203" s="249"/>
      <c r="AM203" s="240"/>
      <c r="AN203" s="249"/>
      <c r="AO203" s="252"/>
      <c r="AP203" s="249"/>
    </row>
    <row r="204" spans="1:42" ht="17.100000000000001" customHeight="1" outlineLevel="4" x14ac:dyDescent="0.25">
      <c r="A204" s="222"/>
      <c r="B204" s="219"/>
      <c r="C204" s="229"/>
      <c r="D204" s="232"/>
      <c r="E204" s="235"/>
      <c r="F204" s="16">
        <v>39</v>
      </c>
      <c r="G204" s="34"/>
      <c r="H204" s="39"/>
      <c r="I204" s="39"/>
      <c r="J204" s="39"/>
      <c r="K204" s="39"/>
      <c r="L204" s="39"/>
      <c r="M204" s="39"/>
      <c r="N204" s="39"/>
      <c r="O204" s="39"/>
      <c r="P204" s="35"/>
      <c r="Q204" s="18"/>
      <c r="R204" s="34"/>
      <c r="S204" s="39"/>
      <c r="T204" s="39"/>
      <c r="U204" s="39"/>
      <c r="V204" s="39"/>
      <c r="W204" s="39"/>
      <c r="X204" s="39"/>
      <c r="Y204" s="39"/>
      <c r="Z204" s="39"/>
      <c r="AA204" s="35"/>
      <c r="AB204" s="50" t="e">
        <f t="shared" si="7"/>
        <v>#DIV/0!</v>
      </c>
      <c r="AC204" s="51" t="e">
        <f t="shared" si="7"/>
        <v>#DIV/0!</v>
      </c>
      <c r="AD204" s="19"/>
      <c r="AE204" s="19"/>
      <c r="AF204" s="285" t="s">
        <v>127</v>
      </c>
      <c r="AG204" s="240" t="e" cm="1">
        <f t="array" ref="AG204">bdRateExtend($G203:$G206,G203:G206,$R203:$R206,R203:R206)</f>
        <v>#VALUE!</v>
      </c>
      <c r="AH204" s="242"/>
      <c r="AI204" s="242"/>
      <c r="AJ204" s="245"/>
      <c r="AK204" s="240" t="e" cm="1">
        <f t="array" ref="AK204">bdRateExtend($G203:$G206,K203:K206,$R203:$R206,V203:V206)</f>
        <v>#VALUE!</v>
      </c>
      <c r="AL204" s="249"/>
      <c r="AM204" s="240" t="e" cm="1">
        <f t="array" ref="AM204">bdRateExtend($G203:$G206,L203:L206,$R203:$R206,W203:W206)</f>
        <v>#VALUE!</v>
      </c>
      <c r="AN204" s="249"/>
      <c r="AO204" s="252" t="e" cm="1">
        <f t="array" ref="AO204">bdRateExtend($G203:$G206,M203:M206,$R203:$R206,X203:X206)</f>
        <v>#VALUE!</v>
      </c>
      <c r="AP204" s="249"/>
    </row>
    <row r="205" spans="1:42" ht="17.100000000000001" customHeight="1" outlineLevel="4" x14ac:dyDescent="0.25">
      <c r="A205" s="222"/>
      <c r="B205" s="219"/>
      <c r="C205" s="229"/>
      <c r="D205" s="232"/>
      <c r="E205" s="235"/>
      <c r="F205" s="16">
        <v>47</v>
      </c>
      <c r="G205" s="34"/>
      <c r="H205" s="39"/>
      <c r="I205" s="39"/>
      <c r="J205" s="39"/>
      <c r="K205" s="39"/>
      <c r="L205" s="39"/>
      <c r="M205" s="39"/>
      <c r="N205" s="39"/>
      <c r="O205" s="39"/>
      <c r="P205" s="35"/>
      <c r="Q205" s="18"/>
      <c r="R205" s="34"/>
      <c r="S205" s="39"/>
      <c r="T205" s="39"/>
      <c r="U205" s="39"/>
      <c r="V205" s="39"/>
      <c r="W205" s="39"/>
      <c r="X205" s="39"/>
      <c r="Y205" s="39"/>
      <c r="Z205" s="39"/>
      <c r="AA205" s="35"/>
      <c r="AB205" s="50" t="e">
        <f t="shared" si="7"/>
        <v>#DIV/0!</v>
      </c>
      <c r="AC205" s="51" t="e">
        <f t="shared" si="7"/>
        <v>#DIV/0!</v>
      </c>
      <c r="AD205" s="19"/>
      <c r="AE205" s="19"/>
      <c r="AF205" s="285"/>
      <c r="AG205" s="240"/>
      <c r="AH205" s="242"/>
      <c r="AI205" s="242"/>
      <c r="AJ205" s="245"/>
      <c r="AK205" s="240"/>
      <c r="AL205" s="249"/>
      <c r="AM205" s="240"/>
      <c r="AN205" s="249"/>
      <c r="AO205" s="252"/>
      <c r="AP205" s="249"/>
    </row>
    <row r="206" spans="1:42" ht="17.100000000000001" customHeight="1" outlineLevel="4" x14ac:dyDescent="0.25">
      <c r="A206" s="222"/>
      <c r="B206" s="219"/>
      <c r="C206" s="229"/>
      <c r="D206" s="232"/>
      <c r="E206" s="235"/>
      <c r="F206" s="16">
        <v>55</v>
      </c>
      <c r="G206" s="34"/>
      <c r="H206" s="39"/>
      <c r="I206" s="39"/>
      <c r="J206" s="39"/>
      <c r="K206" s="39"/>
      <c r="L206" s="39"/>
      <c r="M206" s="39"/>
      <c r="N206" s="39"/>
      <c r="O206" s="39"/>
      <c r="P206" s="35"/>
      <c r="Q206" s="18"/>
      <c r="R206" s="34"/>
      <c r="S206" s="39"/>
      <c r="T206" s="39"/>
      <c r="U206" s="39"/>
      <c r="V206" s="39"/>
      <c r="W206" s="39"/>
      <c r="X206" s="39"/>
      <c r="Y206" s="39"/>
      <c r="Z206" s="39"/>
      <c r="AA206" s="35"/>
      <c r="AB206" s="50" t="e">
        <f t="shared" si="7"/>
        <v>#DIV/0!</v>
      </c>
      <c r="AC206" s="51" t="e">
        <f t="shared" si="7"/>
        <v>#DIV/0!</v>
      </c>
      <c r="AD206" s="19"/>
      <c r="AE206" s="19"/>
      <c r="AF206" s="285" t="s">
        <v>128</v>
      </c>
      <c r="AG206" s="240" t="e" cm="1">
        <f t="array" ref="AG206">bdRateExtend($G204:$G207,G204:G207,$R204:$R207,R204:R207)</f>
        <v>#VALUE!</v>
      </c>
      <c r="AH206" s="242"/>
      <c r="AI206" s="242"/>
      <c r="AJ206" s="245"/>
      <c r="AK206" s="240" t="e" cm="1">
        <f t="array" ref="AK206">bdRateExtend($G204:$G207,K204:K207,$R204:$R207,V204:V207)</f>
        <v>#VALUE!</v>
      </c>
      <c r="AL206" s="249"/>
      <c r="AM206" s="240" t="e" cm="1">
        <f t="array" ref="AM206">bdRateExtend($G204:$G207,L204:L207,$R204:$R207,W204:W207)</f>
        <v>#VALUE!</v>
      </c>
      <c r="AN206" s="249"/>
      <c r="AO206" s="252" t="e" cm="1">
        <f t="array" ref="AO206">bdRateExtend($G204:$G207,M204:M207,$R204:$R207,X204:X207)</f>
        <v>#VALUE!</v>
      </c>
      <c r="AP206" s="249"/>
    </row>
    <row r="207" spans="1:42" ht="17.100000000000001" customHeight="1" outlineLevel="4" thickBot="1" x14ac:dyDescent="0.3">
      <c r="A207" s="222"/>
      <c r="B207" s="220"/>
      <c r="C207" s="230"/>
      <c r="D207" s="233"/>
      <c r="E207" s="236"/>
      <c r="F207" s="9">
        <v>63</v>
      </c>
      <c r="G207" s="36"/>
      <c r="H207" s="37"/>
      <c r="I207" s="37"/>
      <c r="J207" s="37"/>
      <c r="K207" s="37"/>
      <c r="L207" s="37"/>
      <c r="M207" s="37"/>
      <c r="N207" s="37"/>
      <c r="O207" s="37"/>
      <c r="P207" s="38"/>
      <c r="Q207" s="18"/>
      <c r="R207" s="36"/>
      <c r="S207" s="37"/>
      <c r="T207" s="37"/>
      <c r="U207" s="37"/>
      <c r="V207" s="37"/>
      <c r="W207" s="37"/>
      <c r="X207" s="37"/>
      <c r="Y207" s="37"/>
      <c r="Z207" s="37"/>
      <c r="AA207" s="38"/>
      <c r="AB207" s="52" t="e">
        <f t="shared" si="7"/>
        <v>#DIV/0!</v>
      </c>
      <c r="AC207" s="53" t="e">
        <f t="shared" si="7"/>
        <v>#DIV/0!</v>
      </c>
      <c r="AD207" s="19"/>
      <c r="AE207" s="19"/>
      <c r="AF207" s="286"/>
      <c r="AG207" s="247"/>
      <c r="AH207" s="243"/>
      <c r="AI207" s="243"/>
      <c r="AJ207" s="246"/>
      <c r="AK207" s="247"/>
      <c r="AL207" s="250"/>
      <c r="AM207" s="247"/>
      <c r="AN207" s="250"/>
      <c r="AO207" s="253"/>
      <c r="AP207" s="250"/>
    </row>
    <row r="208" spans="1:42" ht="17.100000000000001" customHeight="1" outlineLevel="4" x14ac:dyDescent="0.25">
      <c r="A208" s="222"/>
      <c r="B208" s="218" t="s">
        <v>24</v>
      </c>
      <c r="C208" s="228" t="s">
        <v>63</v>
      </c>
      <c r="D208" s="231">
        <v>30</v>
      </c>
      <c r="E208" s="234" t="s">
        <v>23</v>
      </c>
      <c r="F208" s="7">
        <v>23</v>
      </c>
      <c r="G208" s="31"/>
      <c r="H208" s="32"/>
      <c r="I208" s="32"/>
      <c r="J208" s="32"/>
      <c r="K208" s="32"/>
      <c r="L208" s="32"/>
      <c r="M208" s="32"/>
      <c r="N208" s="32"/>
      <c r="O208" s="32"/>
      <c r="P208" s="33"/>
      <c r="Q208" s="18"/>
      <c r="R208" s="31"/>
      <c r="S208" s="32"/>
      <c r="T208" s="32"/>
      <c r="U208" s="32"/>
      <c r="V208" s="32"/>
      <c r="W208" s="32"/>
      <c r="X208" s="32"/>
      <c r="Y208" s="32"/>
      <c r="Z208" s="32"/>
      <c r="AA208" s="33"/>
      <c r="AB208" s="48" t="e">
        <f t="shared" si="7"/>
        <v>#DIV/0!</v>
      </c>
      <c r="AC208" s="49" t="e">
        <f t="shared" si="7"/>
        <v>#DIV/0!</v>
      </c>
      <c r="AD208" s="19"/>
      <c r="AE208" s="19"/>
      <c r="AF208" s="284" t="s">
        <v>126</v>
      </c>
      <c r="AG208" s="239" t="e" cm="1">
        <f t="array" ref="AG208">bdRateExtend($G208:$G211,G208:G211,$R208:$R211,R208:R211)</f>
        <v>#VALUE!</v>
      </c>
      <c r="AH208" s="241" t="e" cm="1">
        <f t="array" ref="AH208">bdRateExtend($G208:$G213,H208:H213,$R208:$R213,S208:S213)</f>
        <v>#VALUE!</v>
      </c>
      <c r="AI208" s="241" t="e" cm="1">
        <f t="array" ref="AI208">bdRateExtend($G208:$G213,I208:I213,$R208:$R213,T208:T213)</f>
        <v>#VALUE!</v>
      </c>
      <c r="AJ208" s="244" t="e" cm="1">
        <f t="array" ref="AJ208">bdRateExtend($G208:$G213,J208:J213,$R208:$R213,U208:U213)</f>
        <v>#VALUE!</v>
      </c>
      <c r="AK208" s="239" t="e" cm="1">
        <f t="array" ref="AK208">bdRateExtend($G208:$G211,K208:K211,$R208:$R211,V208:V211)</f>
        <v>#VALUE!</v>
      </c>
      <c r="AL208" s="248" t="e" cm="1">
        <f t="array" ref="AL208">bdRateExtend($G208:$G213,K208:K213,$R208:$R213,V208:V213)</f>
        <v>#VALUE!</v>
      </c>
      <c r="AM208" s="239" t="e" cm="1">
        <f t="array" ref="AM208">bdRateExtend($G208:$G211,L208:L211,$R208:$R211,W208:W211)</f>
        <v>#VALUE!</v>
      </c>
      <c r="AN208" s="248" t="e" cm="1">
        <f t="array" ref="AN208">bdRateExtend($G208:$G213,L208:L213,$R208:$R213,W208:W213)</f>
        <v>#VALUE!</v>
      </c>
      <c r="AO208" s="254" t="e" cm="1">
        <f t="array" ref="AO208">bdRateExtend($G208:$G211,M208:M211,$R208:$R211,X208:X211)</f>
        <v>#VALUE!</v>
      </c>
      <c r="AP208" s="248" t="e" cm="1">
        <f t="array" ref="AP208">bdRateExtend($G208:$G213,M208:M213,$R208:$R213,X208:X213)</f>
        <v>#VALUE!</v>
      </c>
    </row>
    <row r="209" spans="1:42" ht="17.100000000000001" customHeight="1" outlineLevel="4" x14ac:dyDescent="0.25">
      <c r="A209" s="222"/>
      <c r="B209" s="219"/>
      <c r="C209" s="229"/>
      <c r="D209" s="232"/>
      <c r="E209" s="235"/>
      <c r="F209" s="16">
        <v>31</v>
      </c>
      <c r="G209" s="34"/>
      <c r="H209" s="39"/>
      <c r="I209" s="39"/>
      <c r="J209" s="39"/>
      <c r="K209" s="39"/>
      <c r="L209" s="39"/>
      <c r="M209" s="39"/>
      <c r="N209" s="39"/>
      <c r="O209" s="39"/>
      <c r="P209" s="35"/>
      <c r="Q209" s="18"/>
      <c r="R209" s="34"/>
      <c r="S209" s="39"/>
      <c r="T209" s="39"/>
      <c r="U209" s="39"/>
      <c r="V209" s="39"/>
      <c r="W209" s="39"/>
      <c r="X209" s="39"/>
      <c r="Y209" s="39"/>
      <c r="Z209" s="39"/>
      <c r="AA209" s="35"/>
      <c r="AB209" s="50" t="e">
        <f t="shared" si="7"/>
        <v>#DIV/0!</v>
      </c>
      <c r="AC209" s="51" t="e">
        <f t="shared" si="7"/>
        <v>#DIV/0!</v>
      </c>
      <c r="AD209" s="19"/>
      <c r="AE209" s="19"/>
      <c r="AF209" s="285"/>
      <c r="AG209" s="240"/>
      <c r="AH209" s="242"/>
      <c r="AI209" s="242"/>
      <c r="AJ209" s="245"/>
      <c r="AK209" s="240"/>
      <c r="AL209" s="249"/>
      <c r="AM209" s="240"/>
      <c r="AN209" s="249"/>
      <c r="AO209" s="252"/>
      <c r="AP209" s="249"/>
    </row>
    <row r="210" spans="1:42" ht="17.100000000000001" customHeight="1" outlineLevel="4" x14ac:dyDescent="0.25">
      <c r="A210" s="222"/>
      <c r="B210" s="219"/>
      <c r="C210" s="229"/>
      <c r="D210" s="232"/>
      <c r="E210" s="235"/>
      <c r="F210" s="16">
        <v>39</v>
      </c>
      <c r="G210" s="34"/>
      <c r="H210" s="39"/>
      <c r="I210" s="39"/>
      <c r="J210" s="39"/>
      <c r="K210" s="39"/>
      <c r="L210" s="39"/>
      <c r="M210" s="39"/>
      <c r="N210" s="39"/>
      <c r="O210" s="39"/>
      <c r="P210" s="35"/>
      <c r="Q210" s="18"/>
      <c r="R210" s="34"/>
      <c r="S210" s="39"/>
      <c r="T210" s="39"/>
      <c r="U210" s="39"/>
      <c r="V210" s="39"/>
      <c r="W210" s="39"/>
      <c r="X210" s="39"/>
      <c r="Y210" s="39"/>
      <c r="Z210" s="39"/>
      <c r="AA210" s="35"/>
      <c r="AB210" s="50" t="e">
        <f t="shared" si="7"/>
        <v>#DIV/0!</v>
      </c>
      <c r="AC210" s="51" t="e">
        <f t="shared" si="7"/>
        <v>#DIV/0!</v>
      </c>
      <c r="AD210" s="19"/>
      <c r="AE210" s="19"/>
      <c r="AF210" s="285" t="s">
        <v>127</v>
      </c>
      <c r="AG210" s="240" t="e" cm="1">
        <f t="array" ref="AG210">bdRateExtend($G209:$G212,G209:G212,$R209:$R212,R209:R212)</f>
        <v>#VALUE!</v>
      </c>
      <c r="AH210" s="242"/>
      <c r="AI210" s="242"/>
      <c r="AJ210" s="245"/>
      <c r="AK210" s="240" t="e" cm="1">
        <f t="array" ref="AK210">bdRateExtend($G209:$G212,K209:K212,$R209:$R212,V209:V212)</f>
        <v>#VALUE!</v>
      </c>
      <c r="AL210" s="249"/>
      <c r="AM210" s="240" t="e" cm="1">
        <f t="array" ref="AM210">bdRateExtend($G209:$G212,L209:L212,$R209:$R212,W209:W212)</f>
        <v>#VALUE!</v>
      </c>
      <c r="AN210" s="249"/>
      <c r="AO210" s="252" t="e" cm="1">
        <f t="array" ref="AO210">bdRateExtend($G209:$G212,M209:M212,$R209:$R212,X209:X212)</f>
        <v>#VALUE!</v>
      </c>
      <c r="AP210" s="249"/>
    </row>
    <row r="211" spans="1:42" ht="17.100000000000001" customHeight="1" outlineLevel="4" x14ac:dyDescent="0.25">
      <c r="A211" s="222"/>
      <c r="B211" s="219"/>
      <c r="C211" s="229"/>
      <c r="D211" s="232"/>
      <c r="E211" s="235"/>
      <c r="F211" s="16">
        <v>47</v>
      </c>
      <c r="G211" s="34"/>
      <c r="H211" s="39"/>
      <c r="I211" s="39"/>
      <c r="J211" s="39"/>
      <c r="K211" s="39"/>
      <c r="L211" s="39"/>
      <c r="M211" s="39"/>
      <c r="N211" s="39"/>
      <c r="O211" s="39"/>
      <c r="P211" s="35"/>
      <c r="Q211" s="18"/>
      <c r="R211" s="34"/>
      <c r="S211" s="39"/>
      <c r="T211" s="39"/>
      <c r="U211" s="39"/>
      <c r="V211" s="39"/>
      <c r="W211" s="39"/>
      <c r="X211" s="39"/>
      <c r="Y211" s="39"/>
      <c r="Z211" s="39"/>
      <c r="AA211" s="35"/>
      <c r="AB211" s="50" t="e">
        <f t="shared" si="7"/>
        <v>#DIV/0!</v>
      </c>
      <c r="AC211" s="51" t="e">
        <f t="shared" si="7"/>
        <v>#DIV/0!</v>
      </c>
      <c r="AD211" s="19"/>
      <c r="AE211" s="19"/>
      <c r="AF211" s="285"/>
      <c r="AG211" s="240"/>
      <c r="AH211" s="242"/>
      <c r="AI211" s="242"/>
      <c r="AJ211" s="245"/>
      <c r="AK211" s="240"/>
      <c r="AL211" s="249"/>
      <c r="AM211" s="240"/>
      <c r="AN211" s="249"/>
      <c r="AO211" s="252"/>
      <c r="AP211" s="249"/>
    </row>
    <row r="212" spans="1:42" ht="17.100000000000001" customHeight="1" outlineLevel="4" x14ac:dyDescent="0.25">
      <c r="A212" s="222"/>
      <c r="B212" s="219"/>
      <c r="C212" s="229"/>
      <c r="D212" s="232"/>
      <c r="E212" s="235"/>
      <c r="F212" s="16">
        <v>55</v>
      </c>
      <c r="G212" s="34"/>
      <c r="H212" s="39"/>
      <c r="I212" s="39"/>
      <c r="J212" s="39"/>
      <c r="K212" s="39"/>
      <c r="L212" s="39"/>
      <c r="M212" s="39"/>
      <c r="N212" s="39"/>
      <c r="O212" s="39"/>
      <c r="P212" s="35"/>
      <c r="Q212" s="18"/>
      <c r="R212" s="34"/>
      <c r="S212" s="39"/>
      <c r="T212" s="39"/>
      <c r="U212" s="39"/>
      <c r="V212" s="39"/>
      <c r="W212" s="39"/>
      <c r="X212" s="39"/>
      <c r="Y212" s="39"/>
      <c r="Z212" s="39"/>
      <c r="AA212" s="35"/>
      <c r="AB212" s="50" t="e">
        <f t="shared" si="7"/>
        <v>#DIV/0!</v>
      </c>
      <c r="AC212" s="51" t="e">
        <f t="shared" si="7"/>
        <v>#DIV/0!</v>
      </c>
      <c r="AD212" s="19"/>
      <c r="AE212" s="19"/>
      <c r="AF212" s="285" t="s">
        <v>128</v>
      </c>
      <c r="AG212" s="240" t="e" cm="1">
        <f t="array" ref="AG212">bdRateExtend($G210:$G213,G210:G213,$R210:$R213,R210:R213)</f>
        <v>#VALUE!</v>
      </c>
      <c r="AH212" s="242"/>
      <c r="AI212" s="242"/>
      <c r="AJ212" s="245"/>
      <c r="AK212" s="240" t="e" cm="1">
        <f t="array" ref="AK212">bdRateExtend($G210:$G213,K210:K213,$R210:$R213,V210:V213)</f>
        <v>#VALUE!</v>
      </c>
      <c r="AL212" s="249"/>
      <c r="AM212" s="240" t="e" cm="1">
        <f t="array" ref="AM212">bdRateExtend($G210:$G213,L210:L213,$R210:$R213,W210:W213)</f>
        <v>#VALUE!</v>
      </c>
      <c r="AN212" s="249"/>
      <c r="AO212" s="252" t="e" cm="1">
        <f t="array" ref="AO212">bdRateExtend($G210:$G213,M210:M213,$R210:$R213,X210:X213)</f>
        <v>#VALUE!</v>
      </c>
      <c r="AP212" s="249"/>
    </row>
    <row r="213" spans="1:42" ht="17.100000000000001" customHeight="1" outlineLevel="4" thickBot="1" x14ac:dyDescent="0.3">
      <c r="A213" s="222"/>
      <c r="B213" s="220"/>
      <c r="C213" s="230"/>
      <c r="D213" s="233"/>
      <c r="E213" s="236"/>
      <c r="F213" s="9">
        <v>63</v>
      </c>
      <c r="G213" s="36"/>
      <c r="H213" s="37"/>
      <c r="I213" s="37"/>
      <c r="J213" s="37"/>
      <c r="K213" s="37"/>
      <c r="L213" s="37"/>
      <c r="M213" s="37"/>
      <c r="N213" s="37"/>
      <c r="O213" s="37"/>
      <c r="P213" s="38"/>
      <c r="Q213" s="18"/>
      <c r="R213" s="36"/>
      <c r="S213" s="37"/>
      <c r="T213" s="37"/>
      <c r="U213" s="37"/>
      <c r="V213" s="37"/>
      <c r="W213" s="37"/>
      <c r="X213" s="37"/>
      <c r="Y213" s="37"/>
      <c r="Z213" s="37"/>
      <c r="AA213" s="38"/>
      <c r="AB213" s="52" t="e">
        <f t="shared" si="7"/>
        <v>#DIV/0!</v>
      </c>
      <c r="AC213" s="53" t="e">
        <f t="shared" si="7"/>
        <v>#DIV/0!</v>
      </c>
      <c r="AD213" s="19"/>
      <c r="AE213" s="19"/>
      <c r="AF213" s="286"/>
      <c r="AG213" s="247"/>
      <c r="AH213" s="243"/>
      <c r="AI213" s="243"/>
      <c r="AJ213" s="246"/>
      <c r="AK213" s="247"/>
      <c r="AL213" s="250"/>
      <c r="AM213" s="247"/>
      <c r="AN213" s="250"/>
      <c r="AO213" s="253"/>
      <c r="AP213" s="250"/>
    </row>
    <row r="214" spans="1:42" ht="17.100000000000001" customHeight="1" outlineLevel="4" x14ac:dyDescent="0.25">
      <c r="A214" s="221" t="s">
        <v>110</v>
      </c>
      <c r="B214" s="218" t="s">
        <v>25</v>
      </c>
      <c r="C214" s="228" t="s">
        <v>64</v>
      </c>
      <c r="D214" s="231">
        <v>25</v>
      </c>
      <c r="E214" s="234"/>
      <c r="F214" s="7">
        <v>23</v>
      </c>
      <c r="G214" s="31"/>
      <c r="H214" s="32"/>
      <c r="I214" s="32"/>
      <c r="J214" s="32"/>
      <c r="K214" s="32"/>
      <c r="L214" s="32"/>
      <c r="M214" s="32"/>
      <c r="N214" s="32"/>
      <c r="O214" s="32"/>
      <c r="P214" s="33"/>
      <c r="Q214" s="18"/>
      <c r="R214" s="31"/>
      <c r="S214" s="32"/>
      <c r="T214" s="32"/>
      <c r="U214" s="32"/>
      <c r="V214" s="32"/>
      <c r="W214" s="32"/>
      <c r="X214" s="32"/>
      <c r="Y214" s="32"/>
      <c r="Z214" s="32"/>
      <c r="AA214" s="33"/>
      <c r="AB214" s="48" t="e">
        <f t="shared" si="7"/>
        <v>#DIV/0!</v>
      </c>
      <c r="AC214" s="49" t="e">
        <f t="shared" si="7"/>
        <v>#DIV/0!</v>
      </c>
      <c r="AD214" s="19"/>
      <c r="AE214" s="19"/>
      <c r="AF214" s="284" t="s">
        <v>126</v>
      </c>
      <c r="AG214" s="239" t="e" cm="1">
        <f t="array" ref="AG214">bdRateExtend($G214:$G217,G214:G217,$R214:$R217,R214:R217)</f>
        <v>#VALUE!</v>
      </c>
      <c r="AH214" s="241" t="e" cm="1">
        <f t="array" ref="AH214">bdRateExtend($G214:$G219,H214:H219,$R214:$R219,S214:S219)</f>
        <v>#VALUE!</v>
      </c>
      <c r="AI214" s="241" t="e" cm="1">
        <f t="array" ref="AI214">bdRateExtend($G214:$G219,I214:I219,$R214:$R219,T214:T219)</f>
        <v>#VALUE!</v>
      </c>
      <c r="AJ214" s="244" t="e" cm="1">
        <f t="array" ref="AJ214">bdRateExtend($G214:$G219,J214:J219,$R214:$R219,U214:U219)</f>
        <v>#VALUE!</v>
      </c>
      <c r="AK214" s="239" t="e" cm="1">
        <f t="array" ref="AK214">bdRateExtend($G214:$G217,K214:K217,$R214:$R217,V214:V217)</f>
        <v>#VALUE!</v>
      </c>
      <c r="AL214" s="248" t="e" cm="1">
        <f t="array" ref="AL214">bdRateExtend($G214:$G219,K214:K219,$R214:$R219,V214:V219)</f>
        <v>#VALUE!</v>
      </c>
      <c r="AM214" s="239" t="e" cm="1">
        <f t="array" ref="AM214">bdRateExtend($G214:$G217,L214:L217,$R214:$R217,W214:W217)</f>
        <v>#VALUE!</v>
      </c>
      <c r="AN214" s="248" t="e" cm="1">
        <f t="array" ref="AN214">bdRateExtend($G214:$G219,L214:L219,$R214:$R219,W214:W219)</f>
        <v>#VALUE!</v>
      </c>
      <c r="AO214" s="254" t="e" cm="1">
        <f t="array" ref="AO214">bdRateExtend($G214:$G217,M214:M217,$R214:$R217,X214:X217)</f>
        <v>#VALUE!</v>
      </c>
      <c r="AP214" s="248" t="e" cm="1">
        <f t="array" ref="AP214">bdRateExtend($G214:$G219,M214:M219,$R214:$R219,X214:X219)</f>
        <v>#VALUE!</v>
      </c>
    </row>
    <row r="215" spans="1:42" ht="17.100000000000001" customHeight="1" outlineLevel="4" x14ac:dyDescent="0.25">
      <c r="A215" s="222"/>
      <c r="B215" s="219"/>
      <c r="C215" s="229"/>
      <c r="D215" s="232"/>
      <c r="E215" s="235"/>
      <c r="F215" s="16">
        <v>31</v>
      </c>
      <c r="G215" s="34"/>
      <c r="H215" s="39"/>
      <c r="I215" s="39"/>
      <c r="J215" s="39"/>
      <c r="K215" s="39"/>
      <c r="L215" s="39"/>
      <c r="M215" s="39"/>
      <c r="N215" s="39"/>
      <c r="O215" s="39"/>
      <c r="P215" s="35"/>
      <c r="Q215" s="18"/>
      <c r="R215" s="34"/>
      <c r="S215" s="39"/>
      <c r="T215" s="39"/>
      <c r="U215" s="39"/>
      <c r="V215" s="39"/>
      <c r="W215" s="39"/>
      <c r="X215" s="39"/>
      <c r="Y215" s="39"/>
      <c r="Z215" s="39"/>
      <c r="AA215" s="35"/>
      <c r="AB215" s="50" t="e">
        <f t="shared" si="7"/>
        <v>#DIV/0!</v>
      </c>
      <c r="AC215" s="51" t="e">
        <f t="shared" si="7"/>
        <v>#DIV/0!</v>
      </c>
      <c r="AD215" s="19"/>
      <c r="AE215" s="19"/>
      <c r="AF215" s="285"/>
      <c r="AG215" s="240"/>
      <c r="AH215" s="242"/>
      <c r="AI215" s="242"/>
      <c r="AJ215" s="245"/>
      <c r="AK215" s="240"/>
      <c r="AL215" s="249"/>
      <c r="AM215" s="240"/>
      <c r="AN215" s="249"/>
      <c r="AO215" s="252"/>
      <c r="AP215" s="249"/>
    </row>
    <row r="216" spans="1:42" ht="17.100000000000001" customHeight="1" outlineLevel="4" x14ac:dyDescent="0.25">
      <c r="A216" s="222"/>
      <c r="B216" s="219"/>
      <c r="C216" s="229"/>
      <c r="D216" s="232"/>
      <c r="E216" s="235"/>
      <c r="F216" s="16">
        <v>39</v>
      </c>
      <c r="G216" s="34"/>
      <c r="H216" s="39"/>
      <c r="I216" s="39"/>
      <c r="J216" s="39"/>
      <c r="K216" s="39"/>
      <c r="L216" s="39"/>
      <c r="M216" s="39"/>
      <c r="N216" s="39"/>
      <c r="O216" s="39"/>
      <c r="P216" s="35"/>
      <c r="Q216" s="18"/>
      <c r="R216" s="34"/>
      <c r="S216" s="39"/>
      <c r="T216" s="39"/>
      <c r="U216" s="39"/>
      <c r="V216" s="39"/>
      <c r="W216" s="39"/>
      <c r="X216" s="39"/>
      <c r="Y216" s="39"/>
      <c r="Z216" s="39"/>
      <c r="AA216" s="35"/>
      <c r="AB216" s="50" t="e">
        <f t="shared" si="7"/>
        <v>#DIV/0!</v>
      </c>
      <c r="AC216" s="51" t="e">
        <f t="shared" si="7"/>
        <v>#DIV/0!</v>
      </c>
      <c r="AD216" s="19"/>
      <c r="AE216" s="19"/>
      <c r="AF216" s="285" t="s">
        <v>127</v>
      </c>
      <c r="AG216" s="240" t="e" cm="1">
        <f t="array" ref="AG216">bdRateExtend($G215:$G218,G215:G218,$R215:$R218,R215:R218)</f>
        <v>#VALUE!</v>
      </c>
      <c r="AH216" s="242"/>
      <c r="AI216" s="242"/>
      <c r="AJ216" s="245"/>
      <c r="AK216" s="240" t="e" cm="1">
        <f t="array" ref="AK216">bdRateExtend($G215:$G218,K215:K218,$R215:$R218,V215:V218)</f>
        <v>#VALUE!</v>
      </c>
      <c r="AL216" s="249"/>
      <c r="AM216" s="240" t="e" cm="1">
        <f t="array" ref="AM216">bdRateExtend($G215:$G218,L215:L218,$R215:$R218,W215:W218)</f>
        <v>#VALUE!</v>
      </c>
      <c r="AN216" s="249"/>
      <c r="AO216" s="252" t="e" cm="1">
        <f t="array" ref="AO216">bdRateExtend($G215:$G218,M215:M218,$R215:$R218,X215:X218)</f>
        <v>#VALUE!</v>
      </c>
      <c r="AP216" s="249"/>
    </row>
    <row r="217" spans="1:42" ht="17.100000000000001" customHeight="1" outlineLevel="4" x14ac:dyDescent="0.25">
      <c r="A217" s="222"/>
      <c r="B217" s="219"/>
      <c r="C217" s="229"/>
      <c r="D217" s="232"/>
      <c r="E217" s="235"/>
      <c r="F217" s="16">
        <v>47</v>
      </c>
      <c r="G217" s="34"/>
      <c r="H217" s="39"/>
      <c r="I217" s="39"/>
      <c r="J217" s="39"/>
      <c r="K217" s="39"/>
      <c r="L217" s="39"/>
      <c r="M217" s="39"/>
      <c r="N217" s="39"/>
      <c r="O217" s="39"/>
      <c r="P217" s="35"/>
      <c r="Q217" s="18"/>
      <c r="R217" s="34"/>
      <c r="S217" s="39"/>
      <c r="T217" s="39"/>
      <c r="U217" s="39"/>
      <c r="V217" s="39"/>
      <c r="W217" s="39"/>
      <c r="X217" s="39"/>
      <c r="Y217" s="39"/>
      <c r="Z217" s="39"/>
      <c r="AA217" s="35"/>
      <c r="AB217" s="50" t="e">
        <f t="shared" si="7"/>
        <v>#DIV/0!</v>
      </c>
      <c r="AC217" s="51" t="e">
        <f t="shared" si="7"/>
        <v>#DIV/0!</v>
      </c>
      <c r="AD217" s="19"/>
      <c r="AE217" s="19"/>
      <c r="AF217" s="285"/>
      <c r="AG217" s="240"/>
      <c r="AH217" s="242"/>
      <c r="AI217" s="242"/>
      <c r="AJ217" s="245"/>
      <c r="AK217" s="240"/>
      <c r="AL217" s="249"/>
      <c r="AM217" s="240"/>
      <c r="AN217" s="249"/>
      <c r="AO217" s="252"/>
      <c r="AP217" s="249"/>
    </row>
    <row r="218" spans="1:42" ht="17.100000000000001" customHeight="1" outlineLevel="4" x14ac:dyDescent="0.25">
      <c r="A218" s="222"/>
      <c r="B218" s="219"/>
      <c r="C218" s="229"/>
      <c r="D218" s="232"/>
      <c r="E218" s="235"/>
      <c r="F218" s="16">
        <v>55</v>
      </c>
      <c r="G218" s="34"/>
      <c r="H218" s="39"/>
      <c r="I218" s="39"/>
      <c r="J218" s="39"/>
      <c r="K218" s="39"/>
      <c r="L218" s="39"/>
      <c r="M218" s="39"/>
      <c r="N218" s="39"/>
      <c r="O218" s="39"/>
      <c r="P218" s="35"/>
      <c r="Q218" s="18"/>
      <c r="R218" s="34"/>
      <c r="S218" s="39"/>
      <c r="T218" s="39"/>
      <c r="U218" s="39"/>
      <c r="V218" s="39"/>
      <c r="W218" s="39"/>
      <c r="X218" s="39"/>
      <c r="Y218" s="39"/>
      <c r="Z218" s="39"/>
      <c r="AA218" s="35"/>
      <c r="AB218" s="50" t="e">
        <f t="shared" si="7"/>
        <v>#DIV/0!</v>
      </c>
      <c r="AC218" s="51" t="e">
        <f t="shared" si="7"/>
        <v>#DIV/0!</v>
      </c>
      <c r="AD218" s="19"/>
      <c r="AE218" s="19"/>
      <c r="AF218" s="285" t="s">
        <v>128</v>
      </c>
      <c r="AG218" s="240" t="e" cm="1">
        <f t="array" ref="AG218">bdRateExtend($G216:$G219,G216:G219,$R216:$R219,R216:R219)</f>
        <v>#VALUE!</v>
      </c>
      <c r="AH218" s="242"/>
      <c r="AI218" s="242"/>
      <c r="AJ218" s="245"/>
      <c r="AK218" s="240" t="e" cm="1">
        <f t="array" ref="AK218">bdRateExtend($G216:$G219,K216:K219,$R216:$R219,V216:V219)</f>
        <v>#VALUE!</v>
      </c>
      <c r="AL218" s="249"/>
      <c r="AM218" s="240" t="e" cm="1">
        <f t="array" ref="AM218">bdRateExtend($G216:$G219,L216:L219,$R216:$R219,W216:W219)</f>
        <v>#VALUE!</v>
      </c>
      <c r="AN218" s="249"/>
      <c r="AO218" s="252" t="e" cm="1">
        <f t="array" ref="AO218">bdRateExtend($G216:$G219,M216:M219,$R216:$R219,X216:X219)</f>
        <v>#VALUE!</v>
      </c>
      <c r="AP218" s="249"/>
    </row>
    <row r="219" spans="1:42" ht="17.100000000000001" customHeight="1" outlineLevel="4" thickBot="1" x14ac:dyDescent="0.3">
      <c r="A219" s="222"/>
      <c r="B219" s="220"/>
      <c r="C219" s="230"/>
      <c r="D219" s="233"/>
      <c r="E219" s="236"/>
      <c r="F219" s="9">
        <v>63</v>
      </c>
      <c r="G219" s="36"/>
      <c r="H219" s="37"/>
      <c r="I219" s="37"/>
      <c r="J219" s="37"/>
      <c r="K219" s="37"/>
      <c r="L219" s="37"/>
      <c r="M219" s="37"/>
      <c r="N219" s="37"/>
      <c r="O219" s="37"/>
      <c r="P219" s="38"/>
      <c r="Q219" s="18"/>
      <c r="R219" s="36"/>
      <c r="S219" s="37"/>
      <c r="T219" s="37"/>
      <c r="U219" s="37"/>
      <c r="V219" s="37"/>
      <c r="W219" s="37"/>
      <c r="X219" s="37"/>
      <c r="Y219" s="37"/>
      <c r="Z219" s="37"/>
      <c r="AA219" s="38"/>
      <c r="AB219" s="52" t="e">
        <f t="shared" si="7"/>
        <v>#DIV/0!</v>
      </c>
      <c r="AC219" s="53" t="e">
        <f t="shared" si="7"/>
        <v>#DIV/0!</v>
      </c>
      <c r="AD219" s="19"/>
      <c r="AE219" s="19"/>
      <c r="AF219" s="286"/>
      <c r="AG219" s="247"/>
      <c r="AH219" s="243"/>
      <c r="AI219" s="243"/>
      <c r="AJ219" s="246"/>
      <c r="AK219" s="247"/>
      <c r="AL219" s="250"/>
      <c r="AM219" s="247"/>
      <c r="AN219" s="250"/>
      <c r="AO219" s="253"/>
      <c r="AP219" s="250"/>
    </row>
    <row r="220" spans="1:42" ht="17.100000000000001" customHeight="1" outlineLevel="4" x14ac:dyDescent="0.25">
      <c r="A220" s="222"/>
      <c r="B220" s="218" t="s">
        <v>25</v>
      </c>
      <c r="C220" s="228" t="s">
        <v>65</v>
      </c>
      <c r="D220" s="231">
        <v>29.97</v>
      </c>
      <c r="E220" s="234" t="s">
        <v>23</v>
      </c>
      <c r="F220" s="7">
        <v>23</v>
      </c>
      <c r="G220" s="31"/>
      <c r="H220" s="32"/>
      <c r="I220" s="32"/>
      <c r="J220" s="32"/>
      <c r="K220" s="32"/>
      <c r="L220" s="32"/>
      <c r="M220" s="32"/>
      <c r="N220" s="32"/>
      <c r="O220" s="32"/>
      <c r="P220" s="33"/>
      <c r="Q220" s="18"/>
      <c r="R220" s="31"/>
      <c r="S220" s="32"/>
      <c r="T220" s="32"/>
      <c r="U220" s="32"/>
      <c r="V220" s="32"/>
      <c r="W220" s="32"/>
      <c r="X220" s="32"/>
      <c r="Y220" s="32"/>
      <c r="Z220" s="32"/>
      <c r="AA220" s="33"/>
      <c r="AB220" s="48" t="e">
        <f t="shared" si="7"/>
        <v>#DIV/0!</v>
      </c>
      <c r="AC220" s="49" t="e">
        <f t="shared" si="7"/>
        <v>#DIV/0!</v>
      </c>
      <c r="AD220" s="19"/>
      <c r="AE220" s="19"/>
      <c r="AF220" s="284" t="s">
        <v>126</v>
      </c>
      <c r="AG220" s="239" t="e" cm="1">
        <f t="array" ref="AG220">bdRateExtend($G220:$G223,G220:G223,$R220:$R223,R220:R223)</f>
        <v>#VALUE!</v>
      </c>
      <c r="AH220" s="241" t="e" cm="1">
        <f t="array" ref="AH220">bdRateExtend($G220:$G225,H220:H225,$R220:$R225,S220:S225)</f>
        <v>#VALUE!</v>
      </c>
      <c r="AI220" s="241" t="e" cm="1">
        <f t="array" ref="AI220">bdRateExtend($G220:$G225,I220:I225,$R220:$R225,T220:T225)</f>
        <v>#VALUE!</v>
      </c>
      <c r="AJ220" s="244" t="e" cm="1">
        <f t="array" ref="AJ220">bdRateExtend($G220:$G225,J220:J225,$R220:$R225,U220:U225)</f>
        <v>#VALUE!</v>
      </c>
      <c r="AK220" s="239" t="e" cm="1">
        <f t="array" ref="AK220">bdRateExtend($G220:$G223,K220:K223,$R220:$R223,V220:V223)</f>
        <v>#VALUE!</v>
      </c>
      <c r="AL220" s="248" t="e" cm="1">
        <f t="array" ref="AL220">bdRateExtend($G220:$G225,K220:K225,$R220:$R225,V220:V225)</f>
        <v>#VALUE!</v>
      </c>
      <c r="AM220" s="239" t="e" cm="1">
        <f t="array" ref="AM220">bdRateExtend($G220:$G223,L220:L223,$R220:$R223,W220:W223)</f>
        <v>#VALUE!</v>
      </c>
      <c r="AN220" s="248" t="e" cm="1">
        <f t="array" ref="AN220">bdRateExtend($G220:$G225,L220:L225,$R220:$R225,W220:W225)</f>
        <v>#VALUE!</v>
      </c>
      <c r="AO220" s="254" t="e" cm="1">
        <f t="array" ref="AO220">bdRateExtend($G220:$G223,M220:M223,$R220:$R223,X220:X223)</f>
        <v>#VALUE!</v>
      </c>
      <c r="AP220" s="248" t="e" cm="1">
        <f t="array" ref="AP220">bdRateExtend($G220:$G225,M220:M225,$R220:$R225,X220:X225)</f>
        <v>#VALUE!</v>
      </c>
    </row>
    <row r="221" spans="1:42" ht="17.100000000000001" customHeight="1" outlineLevel="4" x14ac:dyDescent="0.25">
      <c r="A221" s="222"/>
      <c r="B221" s="219"/>
      <c r="C221" s="229"/>
      <c r="D221" s="232"/>
      <c r="E221" s="235"/>
      <c r="F221" s="16">
        <v>31</v>
      </c>
      <c r="G221" s="34"/>
      <c r="H221" s="39"/>
      <c r="I221" s="39"/>
      <c r="J221" s="39"/>
      <c r="K221" s="39"/>
      <c r="L221" s="39"/>
      <c r="M221" s="39"/>
      <c r="N221" s="39"/>
      <c r="O221" s="39"/>
      <c r="P221" s="35"/>
      <c r="Q221" s="18"/>
      <c r="R221" s="34"/>
      <c r="S221" s="39"/>
      <c r="T221" s="39"/>
      <c r="U221" s="39"/>
      <c r="V221" s="39"/>
      <c r="W221" s="39"/>
      <c r="X221" s="39"/>
      <c r="Y221" s="39"/>
      <c r="Z221" s="39"/>
      <c r="AA221" s="35"/>
      <c r="AB221" s="50" t="e">
        <f t="shared" si="7"/>
        <v>#DIV/0!</v>
      </c>
      <c r="AC221" s="51" t="e">
        <f t="shared" si="7"/>
        <v>#DIV/0!</v>
      </c>
      <c r="AD221" s="19"/>
      <c r="AE221" s="19"/>
      <c r="AF221" s="285"/>
      <c r="AG221" s="240"/>
      <c r="AH221" s="242"/>
      <c r="AI221" s="242"/>
      <c r="AJ221" s="245"/>
      <c r="AK221" s="240"/>
      <c r="AL221" s="249"/>
      <c r="AM221" s="240"/>
      <c r="AN221" s="249"/>
      <c r="AO221" s="252"/>
      <c r="AP221" s="249"/>
    </row>
    <row r="222" spans="1:42" ht="17.100000000000001" customHeight="1" outlineLevel="4" x14ac:dyDescent="0.25">
      <c r="A222" s="222"/>
      <c r="B222" s="219"/>
      <c r="C222" s="229"/>
      <c r="D222" s="232"/>
      <c r="E222" s="235"/>
      <c r="F222" s="16">
        <v>39</v>
      </c>
      <c r="G222" s="34"/>
      <c r="H222" s="39"/>
      <c r="I222" s="39"/>
      <c r="J222" s="39"/>
      <c r="K222" s="39"/>
      <c r="L222" s="39"/>
      <c r="M222" s="39"/>
      <c r="N222" s="39"/>
      <c r="O222" s="39"/>
      <c r="P222" s="35"/>
      <c r="Q222" s="18"/>
      <c r="R222" s="34"/>
      <c r="S222" s="39"/>
      <c r="T222" s="39"/>
      <c r="U222" s="39"/>
      <c r="V222" s="39"/>
      <c r="W222" s="39"/>
      <c r="X222" s="39"/>
      <c r="Y222" s="39"/>
      <c r="Z222" s="39"/>
      <c r="AA222" s="35"/>
      <c r="AB222" s="50" t="e">
        <f t="shared" si="7"/>
        <v>#DIV/0!</v>
      </c>
      <c r="AC222" s="51" t="e">
        <f t="shared" si="7"/>
        <v>#DIV/0!</v>
      </c>
      <c r="AD222" s="19"/>
      <c r="AE222" s="19"/>
      <c r="AF222" s="285" t="s">
        <v>127</v>
      </c>
      <c r="AG222" s="240" t="e" cm="1">
        <f t="array" ref="AG222">bdRateExtend($G221:$G224,G221:G224,$R221:$R224,R221:R224)</f>
        <v>#VALUE!</v>
      </c>
      <c r="AH222" s="242"/>
      <c r="AI222" s="242"/>
      <c r="AJ222" s="245"/>
      <c r="AK222" s="240" t="e" cm="1">
        <f t="array" ref="AK222">bdRateExtend($G221:$G224,K221:K224,$R221:$R224,V221:V224)</f>
        <v>#VALUE!</v>
      </c>
      <c r="AL222" s="249"/>
      <c r="AM222" s="240" t="e" cm="1">
        <f t="array" ref="AM222">bdRateExtend($G221:$G224,L221:L224,$R221:$R224,W221:W224)</f>
        <v>#VALUE!</v>
      </c>
      <c r="AN222" s="249"/>
      <c r="AO222" s="252" t="e" cm="1">
        <f t="array" ref="AO222">bdRateExtend($G221:$G224,M221:M224,$R221:$R224,X221:X224)</f>
        <v>#VALUE!</v>
      </c>
      <c r="AP222" s="249"/>
    </row>
    <row r="223" spans="1:42" ht="17.100000000000001" customHeight="1" outlineLevel="4" x14ac:dyDescent="0.25">
      <c r="A223" s="222"/>
      <c r="B223" s="219"/>
      <c r="C223" s="229"/>
      <c r="D223" s="232"/>
      <c r="E223" s="235"/>
      <c r="F223" s="16">
        <v>47</v>
      </c>
      <c r="G223" s="34"/>
      <c r="H223" s="39"/>
      <c r="I223" s="39"/>
      <c r="J223" s="39"/>
      <c r="K223" s="39"/>
      <c r="L223" s="39"/>
      <c r="M223" s="39"/>
      <c r="N223" s="39"/>
      <c r="O223" s="39"/>
      <c r="P223" s="35"/>
      <c r="Q223" s="18"/>
      <c r="R223" s="34"/>
      <c r="S223" s="39"/>
      <c r="T223" s="39"/>
      <c r="U223" s="39"/>
      <c r="V223" s="39"/>
      <c r="W223" s="39"/>
      <c r="X223" s="39"/>
      <c r="Y223" s="39"/>
      <c r="Z223" s="39"/>
      <c r="AA223" s="35"/>
      <c r="AB223" s="50" t="e">
        <f t="shared" si="7"/>
        <v>#DIV/0!</v>
      </c>
      <c r="AC223" s="51" t="e">
        <f t="shared" si="7"/>
        <v>#DIV/0!</v>
      </c>
      <c r="AD223" s="19"/>
      <c r="AE223" s="19"/>
      <c r="AF223" s="285"/>
      <c r="AG223" s="240"/>
      <c r="AH223" s="242"/>
      <c r="AI223" s="242"/>
      <c r="AJ223" s="245"/>
      <c r="AK223" s="240"/>
      <c r="AL223" s="249"/>
      <c r="AM223" s="240"/>
      <c r="AN223" s="249"/>
      <c r="AO223" s="252"/>
      <c r="AP223" s="249"/>
    </row>
    <row r="224" spans="1:42" ht="17.100000000000001" customHeight="1" outlineLevel="4" x14ac:dyDescent="0.25">
      <c r="A224" s="222"/>
      <c r="B224" s="219"/>
      <c r="C224" s="229"/>
      <c r="D224" s="232"/>
      <c r="E224" s="235"/>
      <c r="F224" s="16">
        <v>55</v>
      </c>
      <c r="G224" s="34"/>
      <c r="H224" s="39"/>
      <c r="I224" s="39"/>
      <c r="J224" s="39"/>
      <c r="K224" s="39"/>
      <c r="L224" s="39"/>
      <c r="M224" s="39"/>
      <c r="N224" s="39"/>
      <c r="O224" s="39"/>
      <c r="P224" s="35"/>
      <c r="Q224" s="18"/>
      <c r="R224" s="34"/>
      <c r="S224" s="39"/>
      <c r="T224" s="39"/>
      <c r="U224" s="39"/>
      <c r="V224" s="39"/>
      <c r="W224" s="39"/>
      <c r="X224" s="39"/>
      <c r="Y224" s="39"/>
      <c r="Z224" s="39"/>
      <c r="AA224" s="35"/>
      <c r="AB224" s="50" t="e">
        <f t="shared" si="7"/>
        <v>#DIV/0!</v>
      </c>
      <c r="AC224" s="51" t="e">
        <f t="shared" si="7"/>
        <v>#DIV/0!</v>
      </c>
      <c r="AD224" s="19"/>
      <c r="AE224" s="19"/>
      <c r="AF224" s="285" t="s">
        <v>128</v>
      </c>
      <c r="AG224" s="240" t="e" cm="1">
        <f t="array" ref="AG224">bdRateExtend($G222:$G225,G222:G225,$R222:$R225,R222:R225)</f>
        <v>#VALUE!</v>
      </c>
      <c r="AH224" s="242"/>
      <c r="AI224" s="242"/>
      <c r="AJ224" s="245"/>
      <c r="AK224" s="240" t="e" cm="1">
        <f t="array" ref="AK224">bdRateExtend($G222:$G225,K222:K225,$R222:$R225,V222:V225)</f>
        <v>#VALUE!</v>
      </c>
      <c r="AL224" s="249"/>
      <c r="AM224" s="240" t="e" cm="1">
        <f t="array" ref="AM224">bdRateExtend($G222:$G225,L222:L225,$R222:$R225,W222:W225)</f>
        <v>#VALUE!</v>
      </c>
      <c r="AN224" s="249"/>
      <c r="AO224" s="252" t="e" cm="1">
        <f t="array" ref="AO224">bdRateExtend($G222:$G225,M222:M225,$R222:$R225,X222:X225)</f>
        <v>#VALUE!</v>
      </c>
      <c r="AP224" s="249"/>
    </row>
    <row r="225" spans="1:42" ht="17.100000000000001" customHeight="1" outlineLevel="4" thickBot="1" x14ac:dyDescent="0.3">
      <c r="A225" s="222"/>
      <c r="B225" s="220"/>
      <c r="C225" s="230"/>
      <c r="D225" s="233"/>
      <c r="E225" s="236"/>
      <c r="F225" s="9">
        <v>63</v>
      </c>
      <c r="G225" s="36"/>
      <c r="H225" s="37"/>
      <c r="I225" s="37"/>
      <c r="J225" s="37"/>
      <c r="K225" s="37"/>
      <c r="L225" s="37"/>
      <c r="M225" s="37"/>
      <c r="N225" s="37"/>
      <c r="O225" s="37"/>
      <c r="P225" s="38"/>
      <c r="Q225" s="18"/>
      <c r="R225" s="36"/>
      <c r="S225" s="37"/>
      <c r="T225" s="37"/>
      <c r="U225" s="37"/>
      <c r="V225" s="37"/>
      <c r="W225" s="37"/>
      <c r="X225" s="37"/>
      <c r="Y225" s="37"/>
      <c r="Z225" s="37"/>
      <c r="AA225" s="38"/>
      <c r="AB225" s="52" t="e">
        <f t="shared" si="7"/>
        <v>#DIV/0!</v>
      </c>
      <c r="AC225" s="53" t="e">
        <f t="shared" si="7"/>
        <v>#DIV/0!</v>
      </c>
      <c r="AD225" s="19"/>
      <c r="AE225" s="19"/>
      <c r="AF225" s="286"/>
      <c r="AG225" s="247"/>
      <c r="AH225" s="243"/>
      <c r="AI225" s="243"/>
      <c r="AJ225" s="246"/>
      <c r="AK225" s="247"/>
      <c r="AL225" s="250"/>
      <c r="AM225" s="247"/>
      <c r="AN225" s="250"/>
      <c r="AO225" s="253"/>
      <c r="AP225" s="250"/>
    </row>
    <row r="226" spans="1:42" ht="17.100000000000001" customHeight="1" outlineLevel="4" x14ac:dyDescent="0.25">
      <c r="A226" s="222"/>
      <c r="B226" s="218" t="s">
        <v>25</v>
      </c>
      <c r="C226" s="228" t="s">
        <v>66</v>
      </c>
      <c r="D226" s="231">
        <v>29.97</v>
      </c>
      <c r="E226" s="234" t="s">
        <v>23</v>
      </c>
      <c r="F226" s="7">
        <v>23</v>
      </c>
      <c r="G226" s="31"/>
      <c r="H226" s="32"/>
      <c r="I226" s="32"/>
      <c r="J226" s="32"/>
      <c r="K226" s="32"/>
      <c r="L226" s="32"/>
      <c r="M226" s="32"/>
      <c r="N226" s="32"/>
      <c r="O226" s="32"/>
      <c r="P226" s="33"/>
      <c r="Q226" s="18"/>
      <c r="R226" s="31"/>
      <c r="S226" s="32"/>
      <c r="T226" s="32"/>
      <c r="U226" s="32"/>
      <c r="V226" s="32"/>
      <c r="W226" s="32"/>
      <c r="X226" s="32"/>
      <c r="Y226" s="32"/>
      <c r="Z226" s="32"/>
      <c r="AA226" s="33"/>
      <c r="AB226" s="48" t="e">
        <f t="shared" si="7"/>
        <v>#DIV/0!</v>
      </c>
      <c r="AC226" s="49" t="e">
        <f t="shared" si="7"/>
        <v>#DIV/0!</v>
      </c>
      <c r="AD226" s="19"/>
      <c r="AE226" s="19"/>
      <c r="AF226" s="284" t="s">
        <v>126</v>
      </c>
      <c r="AG226" s="239" t="e" cm="1">
        <f t="array" ref="AG226">bdRateExtend($G226:$G229,G226:G229,$R226:$R229,R226:R229)</f>
        <v>#VALUE!</v>
      </c>
      <c r="AH226" s="241" t="e" cm="1">
        <f t="array" ref="AH226">bdRateExtend($G226:$G231,H226:H231,$R226:$R231,S226:S231)</f>
        <v>#VALUE!</v>
      </c>
      <c r="AI226" s="241" t="e" cm="1">
        <f t="array" ref="AI226">bdRateExtend($G226:$G231,I226:I231,$R226:$R231,T226:T231)</f>
        <v>#VALUE!</v>
      </c>
      <c r="AJ226" s="244" t="e" cm="1">
        <f t="array" ref="AJ226">bdRateExtend($G226:$G231,J226:J231,$R226:$R231,U226:U231)</f>
        <v>#VALUE!</v>
      </c>
      <c r="AK226" s="239" t="e" cm="1">
        <f t="array" ref="AK226">bdRateExtend($G226:$G229,K226:K229,$R226:$R229,V226:V229)</f>
        <v>#VALUE!</v>
      </c>
      <c r="AL226" s="248" t="e" cm="1">
        <f t="array" ref="AL226">bdRateExtend($G226:$G231,K226:K231,$R226:$R231,V226:V231)</f>
        <v>#VALUE!</v>
      </c>
      <c r="AM226" s="239" t="e" cm="1">
        <f t="array" ref="AM226">bdRateExtend($G226:$G229,L226:L229,$R226:$R229,W226:W229)</f>
        <v>#VALUE!</v>
      </c>
      <c r="AN226" s="248" t="e" cm="1">
        <f t="array" ref="AN226">bdRateExtend($G226:$G231,L226:L231,$R226:$R231,W226:W231)</f>
        <v>#VALUE!</v>
      </c>
      <c r="AO226" s="254" t="e" cm="1">
        <f t="array" ref="AO226">bdRateExtend($G226:$G229,M226:M229,$R226:$R229,X226:X229)</f>
        <v>#VALUE!</v>
      </c>
      <c r="AP226" s="248" t="e" cm="1">
        <f t="array" ref="AP226">bdRateExtend($G226:$G231,M226:M231,$R226:$R231,X226:X231)</f>
        <v>#VALUE!</v>
      </c>
    </row>
    <row r="227" spans="1:42" ht="17.100000000000001" customHeight="1" outlineLevel="4" x14ac:dyDescent="0.25">
      <c r="A227" s="222"/>
      <c r="B227" s="219"/>
      <c r="C227" s="229"/>
      <c r="D227" s="232"/>
      <c r="E227" s="235"/>
      <c r="F227" s="16">
        <v>31</v>
      </c>
      <c r="G227" s="34"/>
      <c r="H227" s="39"/>
      <c r="I227" s="39"/>
      <c r="J227" s="39"/>
      <c r="K227" s="39"/>
      <c r="L227" s="39"/>
      <c r="M227" s="39"/>
      <c r="N227" s="39"/>
      <c r="O227" s="39"/>
      <c r="P227" s="35"/>
      <c r="Q227" s="18"/>
      <c r="R227" s="34"/>
      <c r="S227" s="39"/>
      <c r="T227" s="39"/>
      <c r="U227" s="39"/>
      <c r="V227" s="39"/>
      <c r="W227" s="39"/>
      <c r="X227" s="39"/>
      <c r="Y227" s="39"/>
      <c r="Z227" s="39"/>
      <c r="AA227" s="35"/>
      <c r="AB227" s="50" t="e">
        <f t="shared" si="7"/>
        <v>#DIV/0!</v>
      </c>
      <c r="AC227" s="51" t="e">
        <f t="shared" si="7"/>
        <v>#DIV/0!</v>
      </c>
      <c r="AD227" s="19"/>
      <c r="AE227" s="19"/>
      <c r="AF227" s="285"/>
      <c r="AG227" s="240"/>
      <c r="AH227" s="242"/>
      <c r="AI227" s="242"/>
      <c r="AJ227" s="245"/>
      <c r="AK227" s="240"/>
      <c r="AL227" s="249"/>
      <c r="AM227" s="240"/>
      <c r="AN227" s="249"/>
      <c r="AO227" s="252"/>
      <c r="AP227" s="249"/>
    </row>
    <row r="228" spans="1:42" ht="17.100000000000001" customHeight="1" outlineLevel="4" x14ac:dyDescent="0.25">
      <c r="A228" s="222"/>
      <c r="B228" s="219"/>
      <c r="C228" s="229"/>
      <c r="D228" s="232"/>
      <c r="E228" s="235"/>
      <c r="F228" s="16">
        <v>39</v>
      </c>
      <c r="G228" s="34"/>
      <c r="H228" s="39"/>
      <c r="I228" s="39"/>
      <c r="J228" s="39"/>
      <c r="K228" s="39"/>
      <c r="L228" s="39"/>
      <c r="M228" s="39"/>
      <c r="N228" s="39"/>
      <c r="O228" s="39"/>
      <c r="P228" s="35"/>
      <c r="Q228" s="18"/>
      <c r="R228" s="34"/>
      <c r="S228" s="39"/>
      <c r="T228" s="39"/>
      <c r="U228" s="39"/>
      <c r="V228" s="39"/>
      <c r="W228" s="39"/>
      <c r="X228" s="39"/>
      <c r="Y228" s="39"/>
      <c r="Z228" s="39"/>
      <c r="AA228" s="35"/>
      <c r="AB228" s="50" t="e">
        <f t="shared" si="7"/>
        <v>#DIV/0!</v>
      </c>
      <c r="AC228" s="51" t="e">
        <f t="shared" si="7"/>
        <v>#DIV/0!</v>
      </c>
      <c r="AD228" s="19"/>
      <c r="AE228" s="19"/>
      <c r="AF228" s="285" t="s">
        <v>127</v>
      </c>
      <c r="AG228" s="240" t="e" cm="1">
        <f t="array" ref="AG228">bdRateExtend($G227:$G230,G227:G230,$R227:$R230,R227:R230)</f>
        <v>#VALUE!</v>
      </c>
      <c r="AH228" s="242"/>
      <c r="AI228" s="242"/>
      <c r="AJ228" s="245"/>
      <c r="AK228" s="240" t="e" cm="1">
        <f t="array" ref="AK228">bdRateExtend($G227:$G230,K227:K230,$R227:$R230,V227:V230)</f>
        <v>#VALUE!</v>
      </c>
      <c r="AL228" s="249"/>
      <c r="AM228" s="240" t="e" cm="1">
        <f t="array" ref="AM228">bdRateExtend($G227:$G230,L227:L230,$R227:$R230,W227:W230)</f>
        <v>#VALUE!</v>
      </c>
      <c r="AN228" s="249"/>
      <c r="AO228" s="252" t="e" cm="1">
        <f t="array" ref="AO228">bdRateExtend($G227:$G230,M227:M230,$R227:$R230,X227:X230)</f>
        <v>#VALUE!</v>
      </c>
      <c r="AP228" s="249"/>
    </row>
    <row r="229" spans="1:42" ht="17.100000000000001" customHeight="1" outlineLevel="4" x14ac:dyDescent="0.25">
      <c r="A229" s="222"/>
      <c r="B229" s="219"/>
      <c r="C229" s="229"/>
      <c r="D229" s="232"/>
      <c r="E229" s="235"/>
      <c r="F229" s="16">
        <v>47</v>
      </c>
      <c r="G229" s="34"/>
      <c r="H229" s="39"/>
      <c r="I229" s="39"/>
      <c r="J229" s="39"/>
      <c r="K229" s="39"/>
      <c r="L229" s="39"/>
      <c r="M229" s="39"/>
      <c r="N229" s="39"/>
      <c r="O229" s="39"/>
      <c r="P229" s="35"/>
      <c r="Q229" s="18"/>
      <c r="R229" s="34"/>
      <c r="S229" s="39"/>
      <c r="T229" s="39"/>
      <c r="U229" s="39"/>
      <c r="V229" s="39"/>
      <c r="W229" s="39"/>
      <c r="X229" s="39"/>
      <c r="Y229" s="39"/>
      <c r="Z229" s="39"/>
      <c r="AA229" s="35"/>
      <c r="AB229" s="50" t="e">
        <f t="shared" si="7"/>
        <v>#DIV/0!</v>
      </c>
      <c r="AC229" s="51" t="e">
        <f t="shared" si="7"/>
        <v>#DIV/0!</v>
      </c>
      <c r="AD229" s="19"/>
      <c r="AE229" s="19"/>
      <c r="AF229" s="285"/>
      <c r="AG229" s="240"/>
      <c r="AH229" s="242"/>
      <c r="AI229" s="242"/>
      <c r="AJ229" s="245"/>
      <c r="AK229" s="240"/>
      <c r="AL229" s="249"/>
      <c r="AM229" s="240"/>
      <c r="AN229" s="249"/>
      <c r="AO229" s="252"/>
      <c r="AP229" s="249"/>
    </row>
    <row r="230" spans="1:42" ht="17.100000000000001" customHeight="1" outlineLevel="4" x14ac:dyDescent="0.25">
      <c r="A230" s="222"/>
      <c r="B230" s="219"/>
      <c r="C230" s="229"/>
      <c r="D230" s="232"/>
      <c r="E230" s="235"/>
      <c r="F230" s="16">
        <v>55</v>
      </c>
      <c r="G230" s="34"/>
      <c r="H230" s="39"/>
      <c r="I230" s="39"/>
      <c r="J230" s="39"/>
      <c r="K230" s="39"/>
      <c r="L230" s="39"/>
      <c r="M230" s="39"/>
      <c r="N230" s="39"/>
      <c r="O230" s="39"/>
      <c r="P230" s="35"/>
      <c r="Q230" s="18"/>
      <c r="R230" s="34"/>
      <c r="S230" s="39"/>
      <c r="T230" s="39"/>
      <c r="U230" s="39"/>
      <c r="V230" s="39"/>
      <c r="W230" s="39"/>
      <c r="X230" s="39"/>
      <c r="Y230" s="39"/>
      <c r="Z230" s="39"/>
      <c r="AA230" s="35"/>
      <c r="AB230" s="50" t="e">
        <f t="shared" ref="AB230:AC293" si="8">Y230/N230</f>
        <v>#DIV/0!</v>
      </c>
      <c r="AC230" s="51" t="e">
        <f t="shared" si="8"/>
        <v>#DIV/0!</v>
      </c>
      <c r="AD230" s="19"/>
      <c r="AE230" s="19"/>
      <c r="AF230" s="285" t="s">
        <v>128</v>
      </c>
      <c r="AG230" s="240" t="e" cm="1">
        <f t="array" ref="AG230">bdRateExtend($G228:$G231,G228:G231,$R228:$R231,R228:R231)</f>
        <v>#VALUE!</v>
      </c>
      <c r="AH230" s="242"/>
      <c r="AI230" s="242"/>
      <c r="AJ230" s="245"/>
      <c r="AK230" s="240" t="e" cm="1">
        <f t="array" ref="AK230">bdRateExtend($G228:$G231,K228:K231,$R228:$R231,V228:V231)</f>
        <v>#VALUE!</v>
      </c>
      <c r="AL230" s="249"/>
      <c r="AM230" s="240" t="e" cm="1">
        <f t="array" ref="AM230">bdRateExtend($G228:$G231,L228:L231,$R228:$R231,W228:W231)</f>
        <v>#VALUE!</v>
      </c>
      <c r="AN230" s="249"/>
      <c r="AO230" s="252" t="e" cm="1">
        <f t="array" ref="AO230">bdRateExtend($G228:$G231,M228:M231,$R228:$R231,X228:X231)</f>
        <v>#VALUE!</v>
      </c>
      <c r="AP230" s="249"/>
    </row>
    <row r="231" spans="1:42" ht="17.100000000000001" customHeight="1" outlineLevel="4" thickBot="1" x14ac:dyDescent="0.3">
      <c r="A231" s="222"/>
      <c r="B231" s="220"/>
      <c r="C231" s="230"/>
      <c r="D231" s="233"/>
      <c r="E231" s="236"/>
      <c r="F231" s="9">
        <v>63</v>
      </c>
      <c r="G231" s="36"/>
      <c r="H231" s="37"/>
      <c r="I231" s="37"/>
      <c r="J231" s="37"/>
      <c r="K231" s="37"/>
      <c r="L231" s="37"/>
      <c r="M231" s="37"/>
      <c r="N231" s="37"/>
      <c r="O231" s="37"/>
      <c r="P231" s="38"/>
      <c r="Q231" s="18"/>
      <c r="R231" s="36"/>
      <c r="S231" s="37"/>
      <c r="T231" s="37"/>
      <c r="U231" s="37"/>
      <c r="V231" s="37"/>
      <c r="W231" s="37"/>
      <c r="X231" s="37"/>
      <c r="Y231" s="37"/>
      <c r="Z231" s="37"/>
      <c r="AA231" s="38"/>
      <c r="AB231" s="52" t="e">
        <f t="shared" si="8"/>
        <v>#DIV/0!</v>
      </c>
      <c r="AC231" s="53" t="e">
        <f t="shared" si="8"/>
        <v>#DIV/0!</v>
      </c>
      <c r="AD231" s="19"/>
      <c r="AE231" s="19"/>
      <c r="AF231" s="286"/>
      <c r="AG231" s="247"/>
      <c r="AH231" s="243"/>
      <c r="AI231" s="243"/>
      <c r="AJ231" s="246"/>
      <c r="AK231" s="247"/>
      <c r="AL231" s="250"/>
      <c r="AM231" s="247"/>
      <c r="AN231" s="250"/>
      <c r="AO231" s="253"/>
      <c r="AP231" s="250"/>
    </row>
    <row r="232" spans="1:42" ht="17.100000000000001" customHeight="1" outlineLevel="4" x14ac:dyDescent="0.25">
      <c r="A232" s="222"/>
      <c r="B232" s="218" t="s">
        <v>25</v>
      </c>
      <c r="C232" s="228" t="s">
        <v>67</v>
      </c>
      <c r="D232" s="231">
        <v>29.97</v>
      </c>
      <c r="E232" s="234"/>
      <c r="F232" s="7">
        <v>23</v>
      </c>
      <c r="G232" s="31"/>
      <c r="H232" s="32"/>
      <c r="I232" s="32"/>
      <c r="J232" s="32"/>
      <c r="K232" s="32"/>
      <c r="L232" s="32"/>
      <c r="M232" s="32"/>
      <c r="N232" s="32"/>
      <c r="O232" s="32"/>
      <c r="P232" s="33"/>
      <c r="Q232" s="18"/>
      <c r="R232" s="31"/>
      <c r="S232" s="32"/>
      <c r="T232" s="32"/>
      <c r="U232" s="32"/>
      <c r="V232" s="32"/>
      <c r="W232" s="32"/>
      <c r="X232" s="32"/>
      <c r="Y232" s="32"/>
      <c r="Z232" s="32"/>
      <c r="AA232" s="33"/>
      <c r="AB232" s="48" t="e">
        <f t="shared" si="8"/>
        <v>#DIV/0!</v>
      </c>
      <c r="AC232" s="49" t="e">
        <f t="shared" si="8"/>
        <v>#DIV/0!</v>
      </c>
      <c r="AD232" s="19"/>
      <c r="AE232" s="19"/>
      <c r="AF232" s="284" t="s">
        <v>126</v>
      </c>
      <c r="AG232" s="239" t="e" cm="1">
        <f t="array" ref="AG232">bdRateExtend($G232:$G235,G232:G235,$R232:$R235,R232:R235)</f>
        <v>#VALUE!</v>
      </c>
      <c r="AH232" s="241" t="e" cm="1">
        <f t="array" ref="AH232">bdRateExtend($G232:$G237,H232:H237,$R232:$R237,S232:S237)</f>
        <v>#VALUE!</v>
      </c>
      <c r="AI232" s="241" t="e" cm="1">
        <f t="array" ref="AI232">bdRateExtend($G232:$G237,I232:I237,$R232:$R237,T232:T237)</f>
        <v>#VALUE!</v>
      </c>
      <c r="AJ232" s="244" t="e" cm="1">
        <f t="array" ref="AJ232">bdRateExtend($G232:$G237,J232:J237,$R232:$R237,U232:U237)</f>
        <v>#VALUE!</v>
      </c>
      <c r="AK232" s="239" t="e" cm="1">
        <f t="array" ref="AK232">bdRateExtend($G232:$G235,K232:K235,$R232:$R235,V232:V235)</f>
        <v>#VALUE!</v>
      </c>
      <c r="AL232" s="248" t="e" cm="1">
        <f t="array" ref="AL232">bdRateExtend($G232:$G237,K232:K237,$R232:$R237,V232:V237)</f>
        <v>#VALUE!</v>
      </c>
      <c r="AM232" s="239" t="e" cm="1">
        <f t="array" ref="AM232">bdRateExtend($G232:$G235,L232:L235,$R232:$R235,W232:W235)</f>
        <v>#VALUE!</v>
      </c>
      <c r="AN232" s="248" t="e" cm="1">
        <f t="array" ref="AN232">bdRateExtend($G232:$G237,L232:L237,$R232:$R237,W232:W237)</f>
        <v>#VALUE!</v>
      </c>
      <c r="AO232" s="254" t="e" cm="1">
        <f t="array" ref="AO232">bdRateExtend($G232:$G235,M232:M235,$R232:$R235,X232:X235)</f>
        <v>#VALUE!</v>
      </c>
      <c r="AP232" s="248" t="e" cm="1">
        <f t="array" ref="AP232">bdRateExtend($G232:$G237,M232:M237,$R232:$R237,X232:X237)</f>
        <v>#VALUE!</v>
      </c>
    </row>
    <row r="233" spans="1:42" ht="17.100000000000001" customHeight="1" outlineLevel="4" x14ac:dyDescent="0.25">
      <c r="A233" s="222"/>
      <c r="B233" s="219"/>
      <c r="C233" s="229"/>
      <c r="D233" s="232"/>
      <c r="E233" s="235"/>
      <c r="F233" s="16">
        <v>31</v>
      </c>
      <c r="G233" s="34"/>
      <c r="H233" s="39"/>
      <c r="I233" s="39"/>
      <c r="J233" s="39"/>
      <c r="K233" s="39"/>
      <c r="L233" s="39"/>
      <c r="M233" s="39"/>
      <c r="N233" s="39"/>
      <c r="O233" s="39"/>
      <c r="P233" s="35"/>
      <c r="Q233" s="18"/>
      <c r="R233" s="34"/>
      <c r="S233" s="39"/>
      <c r="T233" s="39"/>
      <c r="U233" s="39"/>
      <c r="V233" s="39"/>
      <c r="W233" s="39"/>
      <c r="X233" s="39"/>
      <c r="Y233" s="39"/>
      <c r="Z233" s="39"/>
      <c r="AA233" s="35"/>
      <c r="AB233" s="50" t="e">
        <f t="shared" si="8"/>
        <v>#DIV/0!</v>
      </c>
      <c r="AC233" s="51" t="e">
        <f t="shared" si="8"/>
        <v>#DIV/0!</v>
      </c>
      <c r="AD233" s="19"/>
      <c r="AE233" s="19"/>
      <c r="AF233" s="285"/>
      <c r="AG233" s="240"/>
      <c r="AH233" s="242"/>
      <c r="AI233" s="242"/>
      <c r="AJ233" s="245"/>
      <c r="AK233" s="240"/>
      <c r="AL233" s="249"/>
      <c r="AM233" s="240"/>
      <c r="AN233" s="249"/>
      <c r="AO233" s="252"/>
      <c r="AP233" s="249"/>
    </row>
    <row r="234" spans="1:42" ht="17.100000000000001" customHeight="1" outlineLevel="4" x14ac:dyDescent="0.25">
      <c r="A234" s="222"/>
      <c r="B234" s="219"/>
      <c r="C234" s="229"/>
      <c r="D234" s="232"/>
      <c r="E234" s="235"/>
      <c r="F234" s="16">
        <v>39</v>
      </c>
      <c r="G234" s="34"/>
      <c r="H234" s="39"/>
      <c r="I234" s="39"/>
      <c r="J234" s="39"/>
      <c r="K234" s="39"/>
      <c r="L234" s="39"/>
      <c r="M234" s="39"/>
      <c r="N234" s="39"/>
      <c r="O234" s="39"/>
      <c r="P234" s="35"/>
      <c r="Q234" s="18"/>
      <c r="R234" s="34"/>
      <c r="S234" s="39"/>
      <c r="T234" s="39"/>
      <c r="U234" s="39"/>
      <c r="V234" s="39"/>
      <c r="W234" s="39"/>
      <c r="X234" s="39"/>
      <c r="Y234" s="39"/>
      <c r="Z234" s="39"/>
      <c r="AA234" s="35"/>
      <c r="AB234" s="50" t="e">
        <f t="shared" si="8"/>
        <v>#DIV/0!</v>
      </c>
      <c r="AC234" s="51" t="e">
        <f t="shared" si="8"/>
        <v>#DIV/0!</v>
      </c>
      <c r="AD234" s="19"/>
      <c r="AE234" s="19"/>
      <c r="AF234" s="285" t="s">
        <v>127</v>
      </c>
      <c r="AG234" s="240" t="e" cm="1">
        <f t="array" ref="AG234">bdRateExtend($G233:$G236,G233:G236,$R233:$R236,R233:R236)</f>
        <v>#VALUE!</v>
      </c>
      <c r="AH234" s="242"/>
      <c r="AI234" s="242"/>
      <c r="AJ234" s="245"/>
      <c r="AK234" s="240" t="e" cm="1">
        <f t="array" ref="AK234">bdRateExtend($G233:$G236,K233:K236,$R233:$R236,V233:V236)</f>
        <v>#VALUE!</v>
      </c>
      <c r="AL234" s="249"/>
      <c r="AM234" s="240" t="e" cm="1">
        <f t="array" ref="AM234">bdRateExtend($G233:$G236,L233:L236,$R233:$R236,W233:W236)</f>
        <v>#VALUE!</v>
      </c>
      <c r="AN234" s="249"/>
      <c r="AO234" s="252" t="e" cm="1">
        <f t="array" ref="AO234">bdRateExtend($G233:$G236,M233:M236,$R233:$R236,X233:X236)</f>
        <v>#VALUE!</v>
      </c>
      <c r="AP234" s="249"/>
    </row>
    <row r="235" spans="1:42" ht="17.100000000000001" customHeight="1" outlineLevel="4" x14ac:dyDescent="0.25">
      <c r="A235" s="222"/>
      <c r="B235" s="219"/>
      <c r="C235" s="229"/>
      <c r="D235" s="232"/>
      <c r="E235" s="235"/>
      <c r="F235" s="16">
        <v>47</v>
      </c>
      <c r="G235" s="34"/>
      <c r="H235" s="39"/>
      <c r="I235" s="39"/>
      <c r="J235" s="39"/>
      <c r="K235" s="39"/>
      <c r="L235" s="39"/>
      <c r="M235" s="39"/>
      <c r="N235" s="39"/>
      <c r="O235" s="39"/>
      <c r="P235" s="35"/>
      <c r="Q235" s="18"/>
      <c r="R235" s="34"/>
      <c r="S235" s="39"/>
      <c r="T235" s="39"/>
      <c r="U235" s="39"/>
      <c r="V235" s="39"/>
      <c r="W235" s="39"/>
      <c r="X235" s="39"/>
      <c r="Y235" s="39"/>
      <c r="Z235" s="39"/>
      <c r="AA235" s="35"/>
      <c r="AB235" s="50" t="e">
        <f t="shared" si="8"/>
        <v>#DIV/0!</v>
      </c>
      <c r="AC235" s="51" t="e">
        <f t="shared" si="8"/>
        <v>#DIV/0!</v>
      </c>
      <c r="AD235" s="19"/>
      <c r="AE235" s="19"/>
      <c r="AF235" s="285"/>
      <c r="AG235" s="240"/>
      <c r="AH235" s="242"/>
      <c r="AI235" s="242"/>
      <c r="AJ235" s="245"/>
      <c r="AK235" s="240"/>
      <c r="AL235" s="249"/>
      <c r="AM235" s="240"/>
      <c r="AN235" s="249"/>
      <c r="AO235" s="252"/>
      <c r="AP235" s="249"/>
    </row>
    <row r="236" spans="1:42" ht="17.100000000000001" customHeight="1" outlineLevel="4" x14ac:dyDescent="0.25">
      <c r="A236" s="222"/>
      <c r="B236" s="219"/>
      <c r="C236" s="229"/>
      <c r="D236" s="232"/>
      <c r="E236" s="235"/>
      <c r="F236" s="16">
        <v>55</v>
      </c>
      <c r="G236" s="34"/>
      <c r="H236" s="39"/>
      <c r="I236" s="39"/>
      <c r="J236" s="39"/>
      <c r="K236" s="39"/>
      <c r="L236" s="39"/>
      <c r="M236" s="39"/>
      <c r="N236" s="39"/>
      <c r="O236" s="39"/>
      <c r="P236" s="35"/>
      <c r="Q236" s="18"/>
      <c r="R236" s="34"/>
      <c r="S236" s="39"/>
      <c r="T236" s="39"/>
      <c r="U236" s="39"/>
      <c r="V236" s="39"/>
      <c r="W236" s="39"/>
      <c r="X236" s="39"/>
      <c r="Y236" s="39"/>
      <c r="Z236" s="39"/>
      <c r="AA236" s="35"/>
      <c r="AB236" s="50" t="e">
        <f t="shared" si="8"/>
        <v>#DIV/0!</v>
      </c>
      <c r="AC236" s="51" t="e">
        <f t="shared" si="8"/>
        <v>#DIV/0!</v>
      </c>
      <c r="AD236" s="19"/>
      <c r="AE236" s="19"/>
      <c r="AF236" s="285" t="s">
        <v>128</v>
      </c>
      <c r="AG236" s="240" t="e" cm="1">
        <f t="array" ref="AG236">bdRateExtend($G234:$G237,G234:G237,$R234:$R237,R234:R237)</f>
        <v>#VALUE!</v>
      </c>
      <c r="AH236" s="242"/>
      <c r="AI236" s="242"/>
      <c r="AJ236" s="245"/>
      <c r="AK236" s="240" t="e" cm="1">
        <f t="array" ref="AK236">bdRateExtend($G234:$G237,K234:K237,$R234:$R237,V234:V237)</f>
        <v>#VALUE!</v>
      </c>
      <c r="AL236" s="249"/>
      <c r="AM236" s="240" t="e" cm="1">
        <f t="array" ref="AM236">bdRateExtend($G234:$G237,L234:L237,$R234:$R237,W234:W237)</f>
        <v>#VALUE!</v>
      </c>
      <c r="AN236" s="249"/>
      <c r="AO236" s="252" t="e" cm="1">
        <f t="array" ref="AO236">bdRateExtend($G234:$G237,M234:M237,$R234:$R237,X234:X237)</f>
        <v>#VALUE!</v>
      </c>
      <c r="AP236" s="249"/>
    </row>
    <row r="237" spans="1:42" ht="17.100000000000001" customHeight="1" outlineLevel="4" thickBot="1" x14ac:dyDescent="0.3">
      <c r="A237" s="222"/>
      <c r="B237" s="220"/>
      <c r="C237" s="230"/>
      <c r="D237" s="233"/>
      <c r="E237" s="236"/>
      <c r="F237" s="9">
        <v>63</v>
      </c>
      <c r="G237" s="36"/>
      <c r="H237" s="37"/>
      <c r="I237" s="37"/>
      <c r="J237" s="37"/>
      <c r="K237" s="37"/>
      <c r="L237" s="37"/>
      <c r="M237" s="37"/>
      <c r="N237" s="37"/>
      <c r="O237" s="37"/>
      <c r="P237" s="38"/>
      <c r="Q237" s="18"/>
      <c r="R237" s="36"/>
      <c r="S237" s="37"/>
      <c r="T237" s="37"/>
      <c r="U237" s="37"/>
      <c r="V237" s="37"/>
      <c r="W237" s="37"/>
      <c r="X237" s="37"/>
      <c r="Y237" s="37"/>
      <c r="Z237" s="37"/>
      <c r="AA237" s="38"/>
      <c r="AB237" s="52" t="e">
        <f t="shared" si="8"/>
        <v>#DIV/0!</v>
      </c>
      <c r="AC237" s="53" t="e">
        <f t="shared" si="8"/>
        <v>#DIV/0!</v>
      </c>
      <c r="AD237" s="19"/>
      <c r="AE237" s="19"/>
      <c r="AF237" s="286"/>
      <c r="AG237" s="247"/>
      <c r="AH237" s="243"/>
      <c r="AI237" s="243"/>
      <c r="AJ237" s="246"/>
      <c r="AK237" s="247"/>
      <c r="AL237" s="250"/>
      <c r="AM237" s="247"/>
      <c r="AN237" s="250"/>
      <c r="AO237" s="253"/>
      <c r="AP237" s="250"/>
    </row>
    <row r="238" spans="1:42" ht="17.100000000000001" customHeight="1" outlineLevel="4" x14ac:dyDescent="0.25">
      <c r="A238" s="222"/>
      <c r="B238" s="218" t="s">
        <v>25</v>
      </c>
      <c r="C238" s="228" t="s">
        <v>68</v>
      </c>
      <c r="D238" s="231">
        <v>59.94</v>
      </c>
      <c r="E238" s="234"/>
      <c r="F238" s="7">
        <v>23</v>
      </c>
      <c r="G238" s="31"/>
      <c r="H238" s="32"/>
      <c r="I238" s="32"/>
      <c r="J238" s="32"/>
      <c r="K238" s="32"/>
      <c r="L238" s="32"/>
      <c r="M238" s="32"/>
      <c r="N238" s="32"/>
      <c r="O238" s="32"/>
      <c r="P238" s="33"/>
      <c r="Q238" s="18"/>
      <c r="R238" s="31"/>
      <c r="S238" s="32"/>
      <c r="T238" s="32"/>
      <c r="U238" s="32"/>
      <c r="V238" s="32"/>
      <c r="W238" s="32"/>
      <c r="X238" s="32"/>
      <c r="Y238" s="32"/>
      <c r="Z238" s="32"/>
      <c r="AA238" s="33"/>
      <c r="AB238" s="48" t="e">
        <f t="shared" si="8"/>
        <v>#DIV/0!</v>
      </c>
      <c r="AC238" s="49" t="e">
        <f t="shared" si="8"/>
        <v>#DIV/0!</v>
      </c>
      <c r="AD238" s="19"/>
      <c r="AE238" s="19"/>
      <c r="AF238" s="284" t="s">
        <v>126</v>
      </c>
      <c r="AG238" s="239" t="e" cm="1">
        <f t="array" ref="AG238">bdRateExtend($G238:$G241,G238:G241,$R238:$R241,R238:R241)</f>
        <v>#VALUE!</v>
      </c>
      <c r="AH238" s="241" t="e" cm="1">
        <f t="array" ref="AH238">bdRateExtend($G238:$G243,H238:H243,$R238:$R243,S238:S243)</f>
        <v>#VALUE!</v>
      </c>
      <c r="AI238" s="241" t="e" cm="1">
        <f t="array" ref="AI238">bdRateExtend($G238:$G243,I238:I243,$R238:$R243,T238:T243)</f>
        <v>#VALUE!</v>
      </c>
      <c r="AJ238" s="244" t="e" cm="1">
        <f t="array" ref="AJ238">bdRateExtend($G238:$G243,J238:J243,$R238:$R243,U238:U243)</f>
        <v>#VALUE!</v>
      </c>
      <c r="AK238" s="239" t="e" cm="1">
        <f t="array" ref="AK238">bdRateExtend($G238:$G241,K238:K241,$R238:$R241,V238:V241)</f>
        <v>#VALUE!</v>
      </c>
      <c r="AL238" s="248" t="e" cm="1">
        <f t="array" ref="AL238">bdRateExtend($G238:$G243,K238:K243,$R238:$R243,V238:V243)</f>
        <v>#VALUE!</v>
      </c>
      <c r="AM238" s="239" t="e" cm="1">
        <f t="array" ref="AM238">bdRateExtend($G238:$G241,L238:L241,$R238:$R241,W238:W241)</f>
        <v>#VALUE!</v>
      </c>
      <c r="AN238" s="248" t="e" cm="1">
        <f t="array" ref="AN238">bdRateExtend($G238:$G243,L238:L243,$R238:$R243,W238:W243)</f>
        <v>#VALUE!</v>
      </c>
      <c r="AO238" s="254" t="e" cm="1">
        <f t="array" ref="AO238">bdRateExtend($G238:$G241,M238:M241,$R238:$R241,X238:X241)</f>
        <v>#VALUE!</v>
      </c>
      <c r="AP238" s="248" t="e" cm="1">
        <f t="array" ref="AP238">bdRateExtend($G238:$G243,M238:M243,$R238:$R243,X238:X243)</f>
        <v>#VALUE!</v>
      </c>
    </row>
    <row r="239" spans="1:42" ht="17.100000000000001" customHeight="1" outlineLevel="4" x14ac:dyDescent="0.25">
      <c r="A239" s="222"/>
      <c r="B239" s="219"/>
      <c r="C239" s="229"/>
      <c r="D239" s="232"/>
      <c r="E239" s="235"/>
      <c r="F239" s="16">
        <v>31</v>
      </c>
      <c r="G239" s="34"/>
      <c r="H239" s="39"/>
      <c r="I239" s="39"/>
      <c r="J239" s="39"/>
      <c r="K239" s="39"/>
      <c r="L239" s="39"/>
      <c r="M239" s="39"/>
      <c r="N239" s="39"/>
      <c r="O239" s="39"/>
      <c r="P239" s="35"/>
      <c r="Q239" s="18"/>
      <c r="R239" s="34"/>
      <c r="S239" s="39"/>
      <c r="T239" s="39"/>
      <c r="U239" s="39"/>
      <c r="V239" s="39"/>
      <c r="W239" s="39"/>
      <c r="X239" s="39"/>
      <c r="Y239" s="39"/>
      <c r="Z239" s="39"/>
      <c r="AA239" s="35"/>
      <c r="AB239" s="50" t="e">
        <f t="shared" si="8"/>
        <v>#DIV/0!</v>
      </c>
      <c r="AC239" s="51" t="e">
        <f t="shared" si="8"/>
        <v>#DIV/0!</v>
      </c>
      <c r="AD239" s="19"/>
      <c r="AE239" s="19"/>
      <c r="AF239" s="285"/>
      <c r="AG239" s="240"/>
      <c r="AH239" s="242"/>
      <c r="AI239" s="242"/>
      <c r="AJ239" s="245"/>
      <c r="AK239" s="240"/>
      <c r="AL239" s="249"/>
      <c r="AM239" s="240"/>
      <c r="AN239" s="249"/>
      <c r="AO239" s="252"/>
      <c r="AP239" s="249"/>
    </row>
    <row r="240" spans="1:42" ht="17.100000000000001" customHeight="1" outlineLevel="4" x14ac:dyDescent="0.25">
      <c r="A240" s="222"/>
      <c r="B240" s="219"/>
      <c r="C240" s="229"/>
      <c r="D240" s="232"/>
      <c r="E240" s="235"/>
      <c r="F240" s="16">
        <v>39</v>
      </c>
      <c r="G240" s="34"/>
      <c r="H240" s="39"/>
      <c r="I240" s="39"/>
      <c r="J240" s="39"/>
      <c r="K240" s="39"/>
      <c r="L240" s="39"/>
      <c r="M240" s="39"/>
      <c r="N240" s="39"/>
      <c r="O240" s="39"/>
      <c r="P240" s="35"/>
      <c r="Q240" s="18"/>
      <c r="R240" s="34"/>
      <c r="S240" s="39"/>
      <c r="T240" s="39"/>
      <c r="U240" s="39"/>
      <c r="V240" s="39"/>
      <c r="W240" s="39"/>
      <c r="X240" s="39"/>
      <c r="Y240" s="39"/>
      <c r="Z240" s="39"/>
      <c r="AA240" s="35"/>
      <c r="AB240" s="50" t="e">
        <f t="shared" si="8"/>
        <v>#DIV/0!</v>
      </c>
      <c r="AC240" s="51" t="e">
        <f t="shared" si="8"/>
        <v>#DIV/0!</v>
      </c>
      <c r="AD240" s="19"/>
      <c r="AE240" s="19"/>
      <c r="AF240" s="285" t="s">
        <v>127</v>
      </c>
      <c r="AG240" s="240" t="e" cm="1">
        <f t="array" ref="AG240">bdRateExtend($G239:$G242,G239:G242,$R239:$R242,R239:R242)</f>
        <v>#VALUE!</v>
      </c>
      <c r="AH240" s="242"/>
      <c r="AI240" s="242"/>
      <c r="AJ240" s="245"/>
      <c r="AK240" s="240" t="e" cm="1">
        <f t="array" ref="AK240">bdRateExtend($G239:$G242,K239:K242,$R239:$R242,V239:V242)</f>
        <v>#VALUE!</v>
      </c>
      <c r="AL240" s="249"/>
      <c r="AM240" s="240" t="e" cm="1">
        <f t="array" ref="AM240">bdRateExtend($G239:$G242,L239:L242,$R239:$R242,W239:W242)</f>
        <v>#VALUE!</v>
      </c>
      <c r="AN240" s="249"/>
      <c r="AO240" s="252" t="e" cm="1">
        <f t="array" ref="AO240">bdRateExtend($G239:$G242,M239:M242,$R239:$R242,X239:X242)</f>
        <v>#VALUE!</v>
      </c>
      <c r="AP240" s="249"/>
    </row>
    <row r="241" spans="1:42" ht="17.100000000000001" customHeight="1" outlineLevel="4" x14ac:dyDescent="0.25">
      <c r="A241" s="222"/>
      <c r="B241" s="219"/>
      <c r="C241" s="229"/>
      <c r="D241" s="232"/>
      <c r="E241" s="235"/>
      <c r="F241" s="16">
        <v>47</v>
      </c>
      <c r="G241" s="34"/>
      <c r="H241" s="39"/>
      <c r="I241" s="39"/>
      <c r="J241" s="39"/>
      <c r="K241" s="39"/>
      <c r="L241" s="39"/>
      <c r="M241" s="39"/>
      <c r="N241" s="39"/>
      <c r="O241" s="39"/>
      <c r="P241" s="35"/>
      <c r="Q241" s="18"/>
      <c r="R241" s="34"/>
      <c r="S241" s="39"/>
      <c r="T241" s="39"/>
      <c r="U241" s="39"/>
      <c r="V241" s="39"/>
      <c r="W241" s="39"/>
      <c r="X241" s="39"/>
      <c r="Y241" s="39"/>
      <c r="Z241" s="39"/>
      <c r="AA241" s="35"/>
      <c r="AB241" s="50" t="e">
        <f t="shared" si="8"/>
        <v>#DIV/0!</v>
      </c>
      <c r="AC241" s="51" t="e">
        <f t="shared" si="8"/>
        <v>#DIV/0!</v>
      </c>
      <c r="AD241" s="19"/>
      <c r="AE241" s="19"/>
      <c r="AF241" s="285"/>
      <c r="AG241" s="240"/>
      <c r="AH241" s="242"/>
      <c r="AI241" s="242"/>
      <c r="AJ241" s="245"/>
      <c r="AK241" s="240"/>
      <c r="AL241" s="249"/>
      <c r="AM241" s="240"/>
      <c r="AN241" s="249"/>
      <c r="AO241" s="252"/>
      <c r="AP241" s="249"/>
    </row>
    <row r="242" spans="1:42" ht="17.100000000000001" customHeight="1" outlineLevel="4" x14ac:dyDescent="0.25">
      <c r="A242" s="222"/>
      <c r="B242" s="219"/>
      <c r="C242" s="229"/>
      <c r="D242" s="232"/>
      <c r="E242" s="235"/>
      <c r="F242" s="16">
        <v>55</v>
      </c>
      <c r="G242" s="34"/>
      <c r="H242" s="39"/>
      <c r="I242" s="39"/>
      <c r="J242" s="39"/>
      <c r="K242" s="39"/>
      <c r="L242" s="39"/>
      <c r="M242" s="39"/>
      <c r="N242" s="39"/>
      <c r="O242" s="39"/>
      <c r="P242" s="35"/>
      <c r="Q242" s="18"/>
      <c r="R242" s="34"/>
      <c r="S242" s="39"/>
      <c r="T242" s="39"/>
      <c r="U242" s="39"/>
      <c r="V242" s="39"/>
      <c r="W242" s="39"/>
      <c r="X242" s="39"/>
      <c r="Y242" s="39"/>
      <c r="Z242" s="39"/>
      <c r="AA242" s="35"/>
      <c r="AB242" s="50" t="e">
        <f t="shared" si="8"/>
        <v>#DIV/0!</v>
      </c>
      <c r="AC242" s="51" t="e">
        <f t="shared" si="8"/>
        <v>#DIV/0!</v>
      </c>
      <c r="AD242" s="19"/>
      <c r="AE242" s="19"/>
      <c r="AF242" s="285" t="s">
        <v>128</v>
      </c>
      <c r="AG242" s="240" t="e" cm="1">
        <f t="array" ref="AG242">bdRateExtend($G240:$G243,G240:G243,$R240:$R243,R240:R243)</f>
        <v>#VALUE!</v>
      </c>
      <c r="AH242" s="242"/>
      <c r="AI242" s="242"/>
      <c r="AJ242" s="245"/>
      <c r="AK242" s="240" t="e" cm="1">
        <f t="array" ref="AK242">bdRateExtend($G240:$G243,K240:K243,$R240:$R243,V240:V243)</f>
        <v>#VALUE!</v>
      </c>
      <c r="AL242" s="249"/>
      <c r="AM242" s="240" t="e" cm="1">
        <f t="array" ref="AM242">bdRateExtend($G240:$G243,L240:L243,$R240:$R243,W240:W243)</f>
        <v>#VALUE!</v>
      </c>
      <c r="AN242" s="249"/>
      <c r="AO242" s="252" t="e" cm="1">
        <f t="array" ref="AO242">bdRateExtend($G240:$G243,M240:M243,$R240:$R243,X240:X243)</f>
        <v>#VALUE!</v>
      </c>
      <c r="AP242" s="249"/>
    </row>
    <row r="243" spans="1:42" ht="17.100000000000001" customHeight="1" outlineLevel="4" thickBot="1" x14ac:dyDescent="0.3">
      <c r="A243" s="222"/>
      <c r="B243" s="220"/>
      <c r="C243" s="230"/>
      <c r="D243" s="233"/>
      <c r="E243" s="236"/>
      <c r="F243" s="9">
        <v>63</v>
      </c>
      <c r="G243" s="36"/>
      <c r="H243" s="37"/>
      <c r="I243" s="37"/>
      <c r="J243" s="37"/>
      <c r="K243" s="37"/>
      <c r="L243" s="37"/>
      <c r="M243" s="37"/>
      <c r="N243" s="37"/>
      <c r="O243" s="37"/>
      <c r="P243" s="38"/>
      <c r="Q243" s="18"/>
      <c r="R243" s="36"/>
      <c r="S243" s="37"/>
      <c r="T243" s="37"/>
      <c r="U243" s="37"/>
      <c r="V243" s="37"/>
      <c r="W243" s="37"/>
      <c r="X243" s="37"/>
      <c r="Y243" s="37"/>
      <c r="Z243" s="37"/>
      <c r="AA243" s="38"/>
      <c r="AB243" s="52" t="e">
        <f t="shared" si="8"/>
        <v>#DIV/0!</v>
      </c>
      <c r="AC243" s="53" t="e">
        <f t="shared" si="8"/>
        <v>#DIV/0!</v>
      </c>
      <c r="AD243" s="19"/>
      <c r="AE243" s="19"/>
      <c r="AF243" s="286"/>
      <c r="AG243" s="247"/>
      <c r="AH243" s="243"/>
      <c r="AI243" s="243"/>
      <c r="AJ243" s="246"/>
      <c r="AK243" s="247"/>
      <c r="AL243" s="250"/>
      <c r="AM243" s="247"/>
      <c r="AN243" s="250"/>
      <c r="AO243" s="253"/>
      <c r="AP243" s="250"/>
    </row>
    <row r="244" spans="1:42" ht="17.100000000000001" customHeight="1" outlineLevel="4" x14ac:dyDescent="0.25">
      <c r="A244" s="222"/>
      <c r="B244" s="218" t="s">
        <v>25</v>
      </c>
      <c r="C244" s="228" t="s">
        <v>69</v>
      </c>
      <c r="D244" s="231">
        <v>29.97</v>
      </c>
      <c r="E244" s="234" t="s">
        <v>23</v>
      </c>
      <c r="F244" s="7">
        <v>23</v>
      </c>
      <c r="G244" s="31"/>
      <c r="H244" s="32"/>
      <c r="I244" s="32"/>
      <c r="J244" s="32"/>
      <c r="K244" s="32"/>
      <c r="L244" s="32"/>
      <c r="M244" s="32"/>
      <c r="N244" s="32"/>
      <c r="O244" s="32"/>
      <c r="P244" s="33"/>
      <c r="Q244" s="18"/>
      <c r="R244" s="31"/>
      <c r="S244" s="32"/>
      <c r="T244" s="32"/>
      <c r="U244" s="32"/>
      <c r="V244" s="32"/>
      <c r="W244" s="32"/>
      <c r="X244" s="32"/>
      <c r="Y244" s="32"/>
      <c r="Z244" s="32"/>
      <c r="AA244" s="33"/>
      <c r="AB244" s="48" t="e">
        <f t="shared" si="8"/>
        <v>#DIV/0!</v>
      </c>
      <c r="AC244" s="49" t="e">
        <f t="shared" si="8"/>
        <v>#DIV/0!</v>
      </c>
      <c r="AD244" s="19"/>
      <c r="AE244" s="19"/>
      <c r="AF244" s="284" t="s">
        <v>126</v>
      </c>
      <c r="AG244" s="239" t="e" cm="1">
        <f t="array" ref="AG244">bdRateExtend($G244:$G247,G244:G247,$R244:$R247,R244:R247)</f>
        <v>#VALUE!</v>
      </c>
      <c r="AH244" s="241" t="e" cm="1">
        <f t="array" ref="AH244">bdRateExtend($G244:$G249,H244:H249,$R244:$R249,S244:S249)</f>
        <v>#VALUE!</v>
      </c>
      <c r="AI244" s="241" t="e" cm="1">
        <f t="array" ref="AI244">bdRateExtend($G244:$G249,I244:I249,$R244:$R249,T244:T249)</f>
        <v>#VALUE!</v>
      </c>
      <c r="AJ244" s="244" t="e" cm="1">
        <f t="array" ref="AJ244">bdRateExtend($G244:$G249,J244:J249,$R244:$R249,U244:U249)</f>
        <v>#VALUE!</v>
      </c>
      <c r="AK244" s="239" t="e" cm="1">
        <f t="array" ref="AK244">bdRateExtend($G244:$G247,K244:K247,$R244:$R247,V244:V247)</f>
        <v>#VALUE!</v>
      </c>
      <c r="AL244" s="248" t="e" cm="1">
        <f t="array" ref="AL244">bdRateExtend($G244:$G249,K244:K249,$R244:$R249,V244:V249)</f>
        <v>#VALUE!</v>
      </c>
      <c r="AM244" s="239" t="e" cm="1">
        <f t="array" ref="AM244">bdRateExtend($G244:$G247,L244:L247,$R244:$R247,W244:W247)</f>
        <v>#VALUE!</v>
      </c>
      <c r="AN244" s="248" t="e" cm="1">
        <f t="array" ref="AN244">bdRateExtend($G244:$G249,L244:L249,$R244:$R249,W244:W249)</f>
        <v>#VALUE!</v>
      </c>
      <c r="AO244" s="254" t="e" cm="1">
        <f t="array" ref="AO244">bdRateExtend($G244:$G247,M244:M247,$R244:$R247,X244:X247)</f>
        <v>#VALUE!</v>
      </c>
      <c r="AP244" s="248" t="e" cm="1">
        <f t="array" ref="AP244">bdRateExtend($G244:$G249,M244:M249,$R244:$R249,X244:X249)</f>
        <v>#VALUE!</v>
      </c>
    </row>
    <row r="245" spans="1:42" ht="17.100000000000001" customHeight="1" outlineLevel="4" x14ac:dyDescent="0.25">
      <c r="A245" s="222"/>
      <c r="B245" s="219"/>
      <c r="C245" s="229"/>
      <c r="D245" s="232"/>
      <c r="E245" s="235"/>
      <c r="F245" s="16">
        <v>31</v>
      </c>
      <c r="G245" s="34"/>
      <c r="H245" s="39"/>
      <c r="I245" s="39"/>
      <c r="J245" s="39"/>
      <c r="K245" s="39"/>
      <c r="L245" s="39"/>
      <c r="M245" s="39"/>
      <c r="N245" s="39"/>
      <c r="O245" s="39"/>
      <c r="P245" s="35"/>
      <c r="Q245" s="18"/>
      <c r="R245" s="34"/>
      <c r="S245" s="39"/>
      <c r="T245" s="39"/>
      <c r="U245" s="39"/>
      <c r="V245" s="39"/>
      <c r="W245" s="39"/>
      <c r="X245" s="39"/>
      <c r="Y245" s="39"/>
      <c r="Z245" s="39"/>
      <c r="AA245" s="35"/>
      <c r="AB245" s="50" t="e">
        <f t="shared" si="8"/>
        <v>#DIV/0!</v>
      </c>
      <c r="AC245" s="51" t="e">
        <f t="shared" si="8"/>
        <v>#DIV/0!</v>
      </c>
      <c r="AD245" s="19"/>
      <c r="AE245" s="19"/>
      <c r="AF245" s="285"/>
      <c r="AG245" s="240"/>
      <c r="AH245" s="242"/>
      <c r="AI245" s="242"/>
      <c r="AJ245" s="245"/>
      <c r="AK245" s="240"/>
      <c r="AL245" s="249"/>
      <c r="AM245" s="240"/>
      <c r="AN245" s="249"/>
      <c r="AO245" s="252"/>
      <c r="AP245" s="249"/>
    </row>
    <row r="246" spans="1:42" ht="17.100000000000001" customHeight="1" outlineLevel="4" x14ac:dyDescent="0.25">
      <c r="A246" s="222"/>
      <c r="B246" s="219"/>
      <c r="C246" s="229"/>
      <c r="D246" s="232"/>
      <c r="E246" s="235"/>
      <c r="F246" s="16">
        <v>39</v>
      </c>
      <c r="G246" s="34"/>
      <c r="H246" s="39"/>
      <c r="I246" s="39"/>
      <c r="J246" s="39"/>
      <c r="K246" s="39"/>
      <c r="L246" s="39"/>
      <c r="M246" s="39"/>
      <c r="N246" s="39"/>
      <c r="O246" s="39"/>
      <c r="P246" s="35"/>
      <c r="Q246" s="18"/>
      <c r="R246" s="34"/>
      <c r="S246" s="39"/>
      <c r="T246" s="39"/>
      <c r="U246" s="39"/>
      <c r="V246" s="39"/>
      <c r="W246" s="39"/>
      <c r="X246" s="39"/>
      <c r="Y246" s="39"/>
      <c r="Z246" s="39"/>
      <c r="AA246" s="35"/>
      <c r="AB246" s="50" t="e">
        <f t="shared" si="8"/>
        <v>#DIV/0!</v>
      </c>
      <c r="AC246" s="51" t="e">
        <f t="shared" si="8"/>
        <v>#DIV/0!</v>
      </c>
      <c r="AD246" s="19"/>
      <c r="AE246" s="19"/>
      <c r="AF246" s="285" t="s">
        <v>127</v>
      </c>
      <c r="AG246" s="240" t="e" cm="1">
        <f t="array" ref="AG246">bdRateExtend($G245:$G248,G245:G248,$R245:$R248,R245:R248)</f>
        <v>#VALUE!</v>
      </c>
      <c r="AH246" s="242"/>
      <c r="AI246" s="242"/>
      <c r="AJ246" s="245"/>
      <c r="AK246" s="240" t="e" cm="1">
        <f t="array" ref="AK246">bdRateExtend($G245:$G248,K245:K248,$R245:$R248,V245:V248)</f>
        <v>#VALUE!</v>
      </c>
      <c r="AL246" s="249"/>
      <c r="AM246" s="240" t="e" cm="1">
        <f t="array" ref="AM246">bdRateExtend($G245:$G248,L245:L248,$R245:$R248,W245:W248)</f>
        <v>#VALUE!</v>
      </c>
      <c r="AN246" s="249"/>
      <c r="AO246" s="252" t="e" cm="1">
        <f t="array" ref="AO246">bdRateExtend($G245:$G248,M245:M248,$R245:$R248,X245:X248)</f>
        <v>#VALUE!</v>
      </c>
      <c r="AP246" s="249"/>
    </row>
    <row r="247" spans="1:42" ht="17.100000000000001" customHeight="1" outlineLevel="4" x14ac:dyDescent="0.25">
      <c r="A247" s="222"/>
      <c r="B247" s="219"/>
      <c r="C247" s="229"/>
      <c r="D247" s="232"/>
      <c r="E247" s="235"/>
      <c r="F247" s="16">
        <v>47</v>
      </c>
      <c r="G247" s="34"/>
      <c r="H247" s="39"/>
      <c r="I247" s="39"/>
      <c r="J247" s="39"/>
      <c r="K247" s="39"/>
      <c r="L247" s="39"/>
      <c r="M247" s="39"/>
      <c r="N247" s="39"/>
      <c r="O247" s="39"/>
      <c r="P247" s="35"/>
      <c r="Q247" s="18"/>
      <c r="R247" s="34"/>
      <c r="S247" s="39"/>
      <c r="T247" s="39"/>
      <c r="U247" s="39"/>
      <c r="V247" s="39"/>
      <c r="W247" s="39"/>
      <c r="X247" s="39"/>
      <c r="Y247" s="39"/>
      <c r="Z247" s="39"/>
      <c r="AA247" s="35"/>
      <c r="AB247" s="50" t="e">
        <f t="shared" si="8"/>
        <v>#DIV/0!</v>
      </c>
      <c r="AC247" s="51" t="e">
        <f t="shared" si="8"/>
        <v>#DIV/0!</v>
      </c>
      <c r="AD247" s="19"/>
      <c r="AE247" s="19"/>
      <c r="AF247" s="285"/>
      <c r="AG247" s="240"/>
      <c r="AH247" s="242"/>
      <c r="AI247" s="242"/>
      <c r="AJ247" s="245"/>
      <c r="AK247" s="240"/>
      <c r="AL247" s="249"/>
      <c r="AM247" s="240"/>
      <c r="AN247" s="249"/>
      <c r="AO247" s="252"/>
      <c r="AP247" s="249"/>
    </row>
    <row r="248" spans="1:42" ht="17.100000000000001" customHeight="1" outlineLevel="4" x14ac:dyDescent="0.25">
      <c r="A248" s="222"/>
      <c r="B248" s="219"/>
      <c r="C248" s="229"/>
      <c r="D248" s="232"/>
      <c r="E248" s="235"/>
      <c r="F248" s="16">
        <v>55</v>
      </c>
      <c r="G248" s="34"/>
      <c r="H248" s="39"/>
      <c r="I248" s="39"/>
      <c r="J248" s="39"/>
      <c r="K248" s="39"/>
      <c r="L248" s="39"/>
      <c r="M248" s="39"/>
      <c r="N248" s="39"/>
      <c r="O248" s="39"/>
      <c r="P248" s="35"/>
      <c r="Q248" s="18"/>
      <c r="R248" s="34"/>
      <c r="S248" s="39"/>
      <c r="T248" s="39"/>
      <c r="U248" s="39"/>
      <c r="V248" s="39"/>
      <c r="W248" s="39"/>
      <c r="X248" s="39"/>
      <c r="Y248" s="39"/>
      <c r="Z248" s="39"/>
      <c r="AA248" s="35"/>
      <c r="AB248" s="50" t="e">
        <f t="shared" si="8"/>
        <v>#DIV/0!</v>
      </c>
      <c r="AC248" s="51" t="e">
        <f t="shared" si="8"/>
        <v>#DIV/0!</v>
      </c>
      <c r="AD248" s="19"/>
      <c r="AE248" s="19"/>
      <c r="AF248" s="285" t="s">
        <v>128</v>
      </c>
      <c r="AG248" s="240" t="e" cm="1">
        <f t="array" ref="AG248">bdRateExtend($G246:$G249,G246:G249,$R246:$R249,R246:R249)</f>
        <v>#VALUE!</v>
      </c>
      <c r="AH248" s="242"/>
      <c r="AI248" s="242"/>
      <c r="AJ248" s="245"/>
      <c r="AK248" s="240" t="e" cm="1">
        <f t="array" ref="AK248">bdRateExtend($G246:$G249,K246:K249,$R246:$R249,V246:V249)</f>
        <v>#VALUE!</v>
      </c>
      <c r="AL248" s="249"/>
      <c r="AM248" s="240" t="e" cm="1">
        <f t="array" ref="AM248">bdRateExtend($G246:$G249,L246:L249,$R246:$R249,W246:W249)</f>
        <v>#VALUE!</v>
      </c>
      <c r="AN248" s="249"/>
      <c r="AO248" s="252" t="e" cm="1">
        <f t="array" ref="AO248">bdRateExtend($G246:$G249,M246:M249,$R246:$R249,X246:X249)</f>
        <v>#VALUE!</v>
      </c>
      <c r="AP248" s="249"/>
    </row>
    <row r="249" spans="1:42" ht="17.100000000000001" customHeight="1" outlineLevel="4" thickBot="1" x14ac:dyDescent="0.3">
      <c r="A249" s="223"/>
      <c r="B249" s="220"/>
      <c r="C249" s="230"/>
      <c r="D249" s="233"/>
      <c r="E249" s="236"/>
      <c r="F249" s="9">
        <v>63</v>
      </c>
      <c r="G249" s="36"/>
      <c r="H249" s="37"/>
      <c r="I249" s="37"/>
      <c r="J249" s="37"/>
      <c r="K249" s="37"/>
      <c r="L249" s="37"/>
      <c r="M249" s="37"/>
      <c r="N249" s="37"/>
      <c r="O249" s="37"/>
      <c r="P249" s="38"/>
      <c r="Q249" s="18"/>
      <c r="R249" s="36"/>
      <c r="S249" s="37"/>
      <c r="T249" s="37"/>
      <c r="U249" s="37"/>
      <c r="V249" s="37"/>
      <c r="W249" s="37"/>
      <c r="X249" s="37"/>
      <c r="Y249" s="37"/>
      <c r="Z249" s="37"/>
      <c r="AA249" s="38"/>
      <c r="AB249" s="52" t="e">
        <f t="shared" si="8"/>
        <v>#DIV/0!</v>
      </c>
      <c r="AC249" s="53" t="e">
        <f t="shared" si="8"/>
        <v>#DIV/0!</v>
      </c>
      <c r="AD249" s="19"/>
      <c r="AE249" s="19"/>
      <c r="AF249" s="286"/>
      <c r="AG249" s="247"/>
      <c r="AH249" s="243"/>
      <c r="AI249" s="243"/>
      <c r="AJ249" s="246"/>
      <c r="AK249" s="247"/>
      <c r="AL249" s="250"/>
      <c r="AM249" s="247"/>
      <c r="AN249" s="250"/>
      <c r="AO249" s="253"/>
      <c r="AP249" s="250"/>
    </row>
    <row r="250" spans="1:42" ht="17.100000000000001" customHeight="1" outlineLevel="4" x14ac:dyDescent="0.25">
      <c r="A250" s="221" t="s">
        <v>109</v>
      </c>
      <c r="B250" s="218" t="s">
        <v>4</v>
      </c>
      <c r="C250" s="228" t="s">
        <v>70</v>
      </c>
      <c r="D250" s="231">
        <v>60</v>
      </c>
      <c r="E250" s="234" t="s">
        <v>23</v>
      </c>
      <c r="F250" s="7">
        <v>23</v>
      </c>
      <c r="G250" s="31">
        <v>882.76059999999995</v>
      </c>
      <c r="H250" s="32">
        <v>44.397399999999998</v>
      </c>
      <c r="I250" s="32">
        <v>47.634700000000002</v>
      </c>
      <c r="J250" s="32">
        <v>48.711599999999997</v>
      </c>
      <c r="K250" s="32">
        <v>20.434200000000001</v>
      </c>
      <c r="L250" s="32">
        <v>29.085699999999999</v>
      </c>
      <c r="M250" s="32">
        <v>97.000100000000003</v>
      </c>
      <c r="N250" s="32"/>
      <c r="O250" s="32"/>
      <c r="P250" s="33"/>
      <c r="Q250" s="18"/>
      <c r="R250" s="31">
        <v>808.72619999999995</v>
      </c>
      <c r="S250" s="32">
        <v>44.756799999999998</v>
      </c>
      <c r="T250" s="32">
        <v>47.788699999999999</v>
      </c>
      <c r="U250" s="32">
        <v>48.908200000000001</v>
      </c>
      <c r="V250" s="32">
        <v>20.756499999999999</v>
      </c>
      <c r="W250" s="32">
        <v>29.417000000000002</v>
      </c>
      <c r="X250" s="32">
        <v>97.159400000000005</v>
      </c>
      <c r="Y250" s="32"/>
      <c r="Z250" s="32"/>
      <c r="AA250" s="33"/>
      <c r="AB250" s="48" t="e">
        <f t="shared" si="8"/>
        <v>#DIV/0!</v>
      </c>
      <c r="AC250" s="49" t="e">
        <f t="shared" si="8"/>
        <v>#DIV/0!</v>
      </c>
      <c r="AD250" s="19"/>
      <c r="AE250" s="19"/>
      <c r="AF250" s="284" t="s">
        <v>126</v>
      </c>
      <c r="AG250" s="239" cm="1">
        <f t="array" ref="AG250">bdRateExtend($G250:$G253,G250:G253,$R250:$R253,R250:R253)</f>
        <v>5.5918640867713698E-4</v>
      </c>
      <c r="AH250" s="241" cm="1">
        <f t="array" ref="AH250">bdRateExtend($G250:$G255,H250:H255,$R250:$R255,S250:S255)</f>
        <v>-0.13375655761769667</v>
      </c>
      <c r="AI250" s="241" cm="1">
        <f t="array" ref="AI250">bdRateExtend($G250:$G255,I250:I255,$R250:$R255,T250:T255)</f>
        <v>-0.11581450240129587</v>
      </c>
      <c r="AJ250" s="244" cm="1">
        <f t="array" ref="AJ250">bdRateExtend($G250:$G255,J250:J255,$R250:$R255,U250:U255)</f>
        <v>-0.12764807897474084</v>
      </c>
      <c r="AK250" s="239" cm="1">
        <f t="array" ref="AK250">bdRateExtend($G250:$G253,K250:K253,$R250:$R253,V250:V253)</f>
        <v>-0.15527904520940083</v>
      </c>
      <c r="AL250" s="248" cm="1">
        <f t="array" ref="AL250">bdRateExtend($G250:$G255,K250:K255,$R250:$R255,V250:V255)</f>
        <v>-0.14231962951384014</v>
      </c>
      <c r="AM250" s="239" cm="1">
        <f t="array" ref="AM250">bdRateExtend($G250:$G253,L250:L253,$R250:$R253,W250:W253)</f>
        <v>-0.14801575874785955</v>
      </c>
      <c r="AN250" s="248" cm="1">
        <f t="array" ref="AN250">bdRateExtend($G250:$G255,L250:L255,$R250:$R255,W250:W255)</f>
        <v>-0.13223736270117414</v>
      </c>
      <c r="AO250" s="254" cm="1">
        <f t="array" ref="AO250">bdRateExtend($G250:$G253,M250:M253,$R250:$R253,X250:X253)</f>
        <v>-0.14438789909589722</v>
      </c>
      <c r="AP250" s="248" cm="1">
        <f t="array" ref="AP250">bdRateExtend($G250:$G255,M250:M255,$R250:$R255,X250:X255)</f>
        <v>-0.12722047901605205</v>
      </c>
    </row>
    <row r="251" spans="1:42" ht="17.100000000000001" customHeight="1" outlineLevel="4" x14ac:dyDescent="0.25">
      <c r="A251" s="222"/>
      <c r="B251" s="219"/>
      <c r="C251" s="229"/>
      <c r="D251" s="232"/>
      <c r="E251" s="235"/>
      <c r="F251" s="16">
        <v>31</v>
      </c>
      <c r="G251" s="34">
        <v>576.92309999999998</v>
      </c>
      <c r="H251" s="39">
        <v>42.261899999999997</v>
      </c>
      <c r="I251" s="39">
        <v>46.092100000000002</v>
      </c>
      <c r="J251" s="39">
        <v>46.988500000000002</v>
      </c>
      <c r="K251" s="39">
        <v>19.096499999999999</v>
      </c>
      <c r="L251" s="39">
        <v>27.441400000000002</v>
      </c>
      <c r="M251" s="39">
        <v>96.115600000000001</v>
      </c>
      <c r="N251" s="39"/>
      <c r="O251" s="39"/>
      <c r="P251" s="35"/>
      <c r="Q251" s="18"/>
      <c r="R251" s="34">
        <v>529.60249999999996</v>
      </c>
      <c r="S251" s="39">
        <v>42.704099999999997</v>
      </c>
      <c r="T251" s="39">
        <v>46.296300000000002</v>
      </c>
      <c r="U251" s="39">
        <v>47.2776</v>
      </c>
      <c r="V251" s="39">
        <v>19.407599999999999</v>
      </c>
      <c r="W251" s="39">
        <v>27.783300000000001</v>
      </c>
      <c r="X251" s="39">
        <v>96.334400000000002</v>
      </c>
      <c r="Y251" s="39"/>
      <c r="Z251" s="39"/>
      <c r="AA251" s="35"/>
      <c r="AB251" s="50" t="e">
        <f t="shared" si="8"/>
        <v>#DIV/0!</v>
      </c>
      <c r="AC251" s="51" t="e">
        <f t="shared" si="8"/>
        <v>#DIV/0!</v>
      </c>
      <c r="AD251" s="19"/>
      <c r="AE251" s="19"/>
      <c r="AF251" s="285"/>
      <c r="AG251" s="240"/>
      <c r="AH251" s="242"/>
      <c r="AI251" s="242"/>
      <c r="AJ251" s="245"/>
      <c r="AK251" s="240"/>
      <c r="AL251" s="249"/>
      <c r="AM251" s="240"/>
      <c r="AN251" s="249"/>
      <c r="AO251" s="252"/>
      <c r="AP251" s="249"/>
    </row>
    <row r="252" spans="1:42" ht="17.100000000000001" customHeight="1" outlineLevel="4" x14ac:dyDescent="0.25">
      <c r="A252" s="222"/>
      <c r="B252" s="219"/>
      <c r="C252" s="229"/>
      <c r="D252" s="232"/>
      <c r="E252" s="235"/>
      <c r="F252" s="16">
        <v>39</v>
      </c>
      <c r="G252" s="34">
        <v>368.41849999999999</v>
      </c>
      <c r="H252" s="39">
        <v>39.599699999999999</v>
      </c>
      <c r="I252" s="39">
        <v>44.036299999999997</v>
      </c>
      <c r="J252" s="39">
        <v>44.924300000000002</v>
      </c>
      <c r="K252" s="39">
        <v>17.0885</v>
      </c>
      <c r="L252" s="39">
        <v>25.0289</v>
      </c>
      <c r="M252" s="39">
        <v>94.309600000000003</v>
      </c>
      <c r="N252" s="39"/>
      <c r="O252" s="39"/>
      <c r="P252" s="35"/>
      <c r="Q252" s="18"/>
      <c r="R252" s="34">
        <v>343.62090000000001</v>
      </c>
      <c r="S252" s="39">
        <v>40.146799999999999</v>
      </c>
      <c r="T252" s="39">
        <v>44.323500000000003</v>
      </c>
      <c r="U252" s="39">
        <v>45.277299999999997</v>
      </c>
      <c r="V252" s="39">
        <v>17.5608</v>
      </c>
      <c r="W252" s="39">
        <v>25.569299999999998</v>
      </c>
      <c r="X252" s="39">
        <v>94.755499999999998</v>
      </c>
      <c r="Y252" s="39"/>
      <c r="Z252" s="39"/>
      <c r="AA252" s="35"/>
      <c r="AB252" s="50" t="e">
        <f t="shared" si="8"/>
        <v>#DIV/0!</v>
      </c>
      <c r="AC252" s="51" t="e">
        <f t="shared" si="8"/>
        <v>#DIV/0!</v>
      </c>
      <c r="AD252" s="19"/>
      <c r="AE252" s="19"/>
      <c r="AF252" s="285" t="s">
        <v>127</v>
      </c>
      <c r="AG252" s="240" cm="1">
        <f t="array" ref="AG252">bdRateExtend($G251:$G254,G251:G254,$R251:$R254,R251:R254)</f>
        <v>3.1102223771006798E-4</v>
      </c>
      <c r="AH252" s="242"/>
      <c r="AI252" s="242"/>
      <c r="AJ252" s="245"/>
      <c r="AK252" s="240" cm="1">
        <f t="array" ref="AK252">bdRateExtend($G251:$G254,K251:K254,$R251:$R254,V251:V254)</f>
        <v>-0.14548242877751505</v>
      </c>
      <c r="AL252" s="249"/>
      <c r="AM252" s="240" cm="1">
        <f t="array" ref="AM252">bdRateExtend($G251:$G254,L251:L254,$R251:$R254,W251:W254)</f>
        <v>-0.13558227530065503</v>
      </c>
      <c r="AN252" s="249"/>
      <c r="AO252" s="252" cm="1">
        <f t="array" ref="AO252">bdRateExtend($G251:$G254,M251:M254,$R251:$R254,X251:X254)</f>
        <v>-0.13115402679574306</v>
      </c>
      <c r="AP252" s="249"/>
    </row>
    <row r="253" spans="1:42" ht="17.100000000000001" customHeight="1" outlineLevel="4" x14ac:dyDescent="0.25">
      <c r="A253" s="222"/>
      <c r="B253" s="219"/>
      <c r="C253" s="229"/>
      <c r="D253" s="232"/>
      <c r="E253" s="235"/>
      <c r="F253" s="16">
        <v>47</v>
      </c>
      <c r="G253" s="34">
        <v>231.92859999999999</v>
      </c>
      <c r="H253" s="39">
        <v>36.642400000000002</v>
      </c>
      <c r="I253" s="39">
        <v>41.854100000000003</v>
      </c>
      <c r="J253" s="39">
        <v>42.634999999999998</v>
      </c>
      <c r="K253" s="39">
        <v>14.707000000000001</v>
      </c>
      <c r="L253" s="39">
        <v>22.172899999999998</v>
      </c>
      <c r="M253" s="39">
        <v>90.858699999999999</v>
      </c>
      <c r="N253" s="39"/>
      <c r="O253" s="39"/>
      <c r="P253" s="35"/>
      <c r="Q253" s="18"/>
      <c r="R253" s="34">
        <v>219.8142</v>
      </c>
      <c r="S253" s="39">
        <v>37.2074</v>
      </c>
      <c r="T253" s="39">
        <v>42.2239</v>
      </c>
      <c r="U253" s="39">
        <v>43.097799999999999</v>
      </c>
      <c r="V253" s="39">
        <v>15.2475</v>
      </c>
      <c r="W253" s="39">
        <v>22.711099999999998</v>
      </c>
      <c r="X253" s="39">
        <v>91.619200000000006</v>
      </c>
      <c r="Y253" s="39"/>
      <c r="Z253" s="39"/>
      <c r="AA253" s="35"/>
      <c r="AB253" s="50" t="e">
        <f t="shared" si="8"/>
        <v>#DIV/0!</v>
      </c>
      <c r="AC253" s="51" t="e">
        <f t="shared" si="8"/>
        <v>#DIV/0!</v>
      </c>
      <c r="AD253" s="19"/>
      <c r="AE253" s="19"/>
      <c r="AF253" s="285"/>
      <c r="AG253" s="240"/>
      <c r="AH253" s="242"/>
      <c r="AI253" s="242"/>
      <c r="AJ253" s="245"/>
      <c r="AK253" s="240"/>
      <c r="AL253" s="249"/>
      <c r="AM253" s="240"/>
      <c r="AN253" s="249"/>
      <c r="AO253" s="252"/>
      <c r="AP253" s="249"/>
    </row>
    <row r="254" spans="1:42" ht="17.100000000000001" customHeight="1" outlineLevel="4" x14ac:dyDescent="0.25">
      <c r="A254" s="222"/>
      <c r="B254" s="219"/>
      <c r="C254" s="229"/>
      <c r="D254" s="232"/>
      <c r="E254" s="235"/>
      <c r="F254" s="16">
        <v>55</v>
      </c>
      <c r="G254" s="34">
        <v>143.99260000000001</v>
      </c>
      <c r="H254" s="39">
        <v>33.481900000000003</v>
      </c>
      <c r="I254" s="39">
        <v>39.792400000000001</v>
      </c>
      <c r="J254" s="39">
        <v>40.350700000000003</v>
      </c>
      <c r="K254" s="39">
        <v>12.107799999999999</v>
      </c>
      <c r="L254" s="39">
        <v>18.9223</v>
      </c>
      <c r="M254" s="39">
        <v>84.4191</v>
      </c>
      <c r="N254" s="39"/>
      <c r="O254" s="39"/>
      <c r="P254" s="35"/>
      <c r="Q254" s="18"/>
      <c r="R254" s="34">
        <v>139.6763</v>
      </c>
      <c r="S254" s="39">
        <v>34.122799999999998</v>
      </c>
      <c r="T254" s="39">
        <v>40.1736</v>
      </c>
      <c r="U254" s="39">
        <v>40.822899999999997</v>
      </c>
      <c r="V254" s="39">
        <v>12.678000000000001</v>
      </c>
      <c r="W254" s="39">
        <v>19.5901</v>
      </c>
      <c r="X254" s="39">
        <v>86.166200000000003</v>
      </c>
      <c r="Y254" s="39"/>
      <c r="Z254" s="39"/>
      <c r="AA254" s="35"/>
      <c r="AB254" s="50" t="e">
        <f t="shared" si="8"/>
        <v>#DIV/0!</v>
      </c>
      <c r="AC254" s="51" t="e">
        <f t="shared" si="8"/>
        <v>#DIV/0!</v>
      </c>
      <c r="AD254" s="19"/>
      <c r="AE254" s="19"/>
      <c r="AF254" s="285" t="s">
        <v>128</v>
      </c>
      <c r="AG254" s="240" cm="1">
        <f t="array" ref="AG254">bdRateExtend($G252:$G255,G252:G255,$R252:$R255,R252:R255)</f>
        <v>3.7359625813304653E-4</v>
      </c>
      <c r="AH254" s="242"/>
      <c r="AI254" s="242"/>
      <c r="AJ254" s="245"/>
      <c r="AK254" s="240" cm="1">
        <f t="array" ref="AK254">bdRateExtend($G252:$G255,K252:K255,$R252:$R255,V252:V255)</f>
        <v>-0.13476291465405155</v>
      </c>
      <c r="AL254" s="249"/>
      <c r="AM254" s="240" cm="1">
        <f t="array" ref="AM254">bdRateExtend($G252:$G255,L252:L255,$R252:$R255,W252:W255)</f>
        <v>-0.12278549237135561</v>
      </c>
      <c r="AN254" s="249"/>
      <c r="AO254" s="252" cm="1">
        <f t="array" ref="AO254">bdRateExtend($G252:$G255,M252:M255,$R252:$R255,X252:X255)</f>
        <v>-0.12379457658732484</v>
      </c>
      <c r="AP254" s="249"/>
    </row>
    <row r="255" spans="1:42" ht="17.100000000000001" customHeight="1" outlineLevel="4" thickBot="1" x14ac:dyDescent="0.3">
      <c r="A255" s="222"/>
      <c r="B255" s="220"/>
      <c r="C255" s="230"/>
      <c r="D255" s="233"/>
      <c r="E255" s="236"/>
      <c r="F255" s="9">
        <v>63</v>
      </c>
      <c r="G255" s="36">
        <v>79.358800000000002</v>
      </c>
      <c r="H255" s="37">
        <v>29.956</v>
      </c>
      <c r="I255" s="37">
        <v>37.337299999999999</v>
      </c>
      <c r="J255" s="37">
        <v>37.991300000000003</v>
      </c>
      <c r="K255" s="37">
        <v>9.3609000000000009</v>
      </c>
      <c r="L255" s="37">
        <v>15.2704</v>
      </c>
      <c r="M255" s="37">
        <v>72.584999999999994</v>
      </c>
      <c r="N255" s="37"/>
      <c r="O255" s="37"/>
      <c r="P255" s="38"/>
      <c r="Q255" s="18"/>
      <c r="R255" s="36">
        <v>80.765500000000003</v>
      </c>
      <c r="S255" s="37">
        <v>30.658200000000001</v>
      </c>
      <c r="T255" s="37">
        <v>37.6646</v>
      </c>
      <c r="U255" s="37">
        <v>38.297600000000003</v>
      </c>
      <c r="V255" s="37">
        <v>9.9648000000000003</v>
      </c>
      <c r="W255" s="37">
        <v>15.981199999999999</v>
      </c>
      <c r="X255" s="37">
        <v>75.214500000000001</v>
      </c>
      <c r="Y255" s="37"/>
      <c r="Z255" s="37"/>
      <c r="AA255" s="38"/>
      <c r="AB255" s="52" t="e">
        <f t="shared" si="8"/>
        <v>#DIV/0!</v>
      </c>
      <c r="AC255" s="53" t="e">
        <f t="shared" si="8"/>
        <v>#DIV/0!</v>
      </c>
      <c r="AD255" s="19"/>
      <c r="AE255" s="19"/>
      <c r="AF255" s="286"/>
      <c r="AG255" s="247"/>
      <c r="AH255" s="243"/>
      <c r="AI255" s="243"/>
      <c r="AJ255" s="246"/>
      <c r="AK255" s="247"/>
      <c r="AL255" s="250"/>
      <c r="AM255" s="247"/>
      <c r="AN255" s="250"/>
      <c r="AO255" s="253"/>
      <c r="AP255" s="250"/>
    </row>
    <row r="256" spans="1:42" ht="17.100000000000001" customHeight="1" outlineLevel="4" x14ac:dyDescent="0.25">
      <c r="A256" s="222"/>
      <c r="B256" s="218" t="s">
        <v>4</v>
      </c>
      <c r="C256" s="228" t="s">
        <v>71</v>
      </c>
      <c r="D256" s="231">
        <v>50</v>
      </c>
      <c r="E256" s="234"/>
      <c r="F256" s="7">
        <v>23</v>
      </c>
      <c r="G256" s="31">
        <v>6057.1538</v>
      </c>
      <c r="H256" s="32">
        <v>38.8489</v>
      </c>
      <c r="I256" s="32">
        <v>41.5398</v>
      </c>
      <c r="J256" s="32">
        <v>43.970399999999998</v>
      </c>
      <c r="K256" s="32">
        <v>16.9221</v>
      </c>
      <c r="L256" s="32">
        <v>25.446999999999999</v>
      </c>
      <c r="M256" s="32">
        <v>99.358999999999995</v>
      </c>
      <c r="N256" s="32"/>
      <c r="O256" s="32"/>
      <c r="P256" s="33"/>
      <c r="Q256" s="18"/>
      <c r="R256" s="31">
        <v>5377.6277</v>
      </c>
      <c r="S256" s="32">
        <v>39.082799999999999</v>
      </c>
      <c r="T256" s="32">
        <v>41.902099999999997</v>
      </c>
      <c r="U256" s="32">
        <v>44.1646</v>
      </c>
      <c r="V256" s="32">
        <v>17.2897</v>
      </c>
      <c r="W256" s="32">
        <v>25.775500000000001</v>
      </c>
      <c r="X256" s="32">
        <v>99.822100000000006</v>
      </c>
      <c r="Y256" s="32"/>
      <c r="Z256" s="32"/>
      <c r="AA256" s="33"/>
      <c r="AB256" s="48" t="e">
        <f t="shared" si="8"/>
        <v>#DIV/0!</v>
      </c>
      <c r="AC256" s="49" t="e">
        <f t="shared" si="8"/>
        <v>#DIV/0!</v>
      </c>
      <c r="AD256" s="19"/>
      <c r="AE256" s="19"/>
      <c r="AF256" s="284" t="s">
        <v>126</v>
      </c>
      <c r="AG256" s="239" cm="1">
        <f t="array" ref="AG256">bdRateExtend($G256:$G259,G256:G259,$R256:$R259,R256:R259)</f>
        <v>1.7048622681756775E-3</v>
      </c>
      <c r="AH256" s="241" cm="1">
        <f t="array" ref="AH256">bdRateExtend($G256:$G261,H256:H261,$R256:$R261,S256:S261)</f>
        <v>-0.17572297037716389</v>
      </c>
      <c r="AI256" s="241" cm="1">
        <f t="array" ref="AI256">bdRateExtend($G256:$G261,I256:I261,$R256:$R261,T256:T261)</f>
        <v>-0.15874956349443714</v>
      </c>
      <c r="AJ256" s="244" cm="1">
        <f t="array" ref="AJ256">bdRateExtend($G256:$G261,J256:J261,$R256:$R261,U256:U261)</f>
        <v>-0.15527902027790208</v>
      </c>
      <c r="AK256" s="239" cm="1">
        <f t="array" ref="AK256">bdRateExtend($G256:$G259,K256:K259,$R256:$R259,V256:V259)</f>
        <v>-0.19950208244939549</v>
      </c>
      <c r="AL256" s="248" cm="1">
        <f t="array" ref="AL256">bdRateExtend($G256:$G261,K256:K261,$R256:$R261,V256:V261)</f>
        <v>-0.19155380911448983</v>
      </c>
      <c r="AM256" s="239" cm="1">
        <f t="array" ref="AM256">bdRateExtend($G256:$G259,L256:L259,$R256:$R259,W256:W259)</f>
        <v>-0.18275220370204914</v>
      </c>
      <c r="AN256" s="248" cm="1">
        <f t="array" ref="AN256">bdRateExtend($G256:$G261,L256:L261,$R256:$R261,W256:W261)</f>
        <v>-0.17495294183106957</v>
      </c>
      <c r="AO256" s="254" cm="1">
        <f t="array" ref="AO256">bdRateExtend($G256:$G259,M256:M259,$R256:$R259,X256:X259)</f>
        <v>-0.31894726494173931</v>
      </c>
      <c r="AP256" s="248" cm="1">
        <f t="array" ref="AP256">bdRateExtend($G256:$G261,M256:M261,$R256:$R261,X256:X261)</f>
        <v>-0.23267795203906871</v>
      </c>
    </row>
    <row r="257" spans="1:42" ht="17.100000000000001" customHeight="1" outlineLevel="4" x14ac:dyDescent="0.25">
      <c r="A257" s="222"/>
      <c r="B257" s="219"/>
      <c r="C257" s="229"/>
      <c r="D257" s="232"/>
      <c r="E257" s="235"/>
      <c r="F257" s="16">
        <v>31</v>
      </c>
      <c r="G257" s="34">
        <v>3604.6062000000002</v>
      </c>
      <c r="H257" s="39">
        <v>35.457299999999996</v>
      </c>
      <c r="I257" s="39">
        <v>39.300199999999997</v>
      </c>
      <c r="J257" s="39">
        <v>42.0824</v>
      </c>
      <c r="K257" s="39">
        <v>14.1995</v>
      </c>
      <c r="L257" s="39">
        <v>22.491800000000001</v>
      </c>
      <c r="M257" s="39">
        <v>97.418400000000005</v>
      </c>
      <c r="N257" s="39"/>
      <c r="O257" s="39"/>
      <c r="P257" s="35"/>
      <c r="Q257" s="18"/>
      <c r="R257" s="34">
        <v>3192.8123000000001</v>
      </c>
      <c r="S257" s="39">
        <v>35.85</v>
      </c>
      <c r="T257" s="39">
        <v>39.585999999999999</v>
      </c>
      <c r="U257" s="39">
        <v>42.214199999999998</v>
      </c>
      <c r="V257" s="39">
        <v>14.661</v>
      </c>
      <c r="W257" s="39">
        <v>22.8994</v>
      </c>
      <c r="X257" s="39">
        <v>98.814099999999996</v>
      </c>
      <c r="Y257" s="39"/>
      <c r="Z257" s="39"/>
      <c r="AA257" s="35"/>
      <c r="AB257" s="50" t="e">
        <f t="shared" si="8"/>
        <v>#DIV/0!</v>
      </c>
      <c r="AC257" s="51" t="e">
        <f t="shared" si="8"/>
        <v>#DIV/0!</v>
      </c>
      <c r="AD257" s="19"/>
      <c r="AE257" s="19"/>
      <c r="AF257" s="285"/>
      <c r="AG257" s="240"/>
      <c r="AH257" s="242"/>
      <c r="AI257" s="242"/>
      <c r="AJ257" s="245"/>
      <c r="AK257" s="240"/>
      <c r="AL257" s="249"/>
      <c r="AM257" s="240"/>
      <c r="AN257" s="249"/>
      <c r="AO257" s="252"/>
      <c r="AP257" s="249"/>
    </row>
    <row r="258" spans="1:42" ht="17.100000000000001" customHeight="1" outlineLevel="4" x14ac:dyDescent="0.25">
      <c r="A258" s="222"/>
      <c r="B258" s="219"/>
      <c r="C258" s="229"/>
      <c r="D258" s="232"/>
      <c r="E258" s="235"/>
      <c r="F258" s="16">
        <v>39</v>
      </c>
      <c r="G258" s="34">
        <v>1926.5445999999999</v>
      </c>
      <c r="H258" s="39">
        <v>32.124400000000001</v>
      </c>
      <c r="I258" s="39">
        <v>37.1004</v>
      </c>
      <c r="J258" s="39">
        <v>40.2087</v>
      </c>
      <c r="K258" s="39">
        <v>11.3849</v>
      </c>
      <c r="L258" s="39">
        <v>19.296299999999999</v>
      </c>
      <c r="M258" s="39">
        <v>91.893100000000004</v>
      </c>
      <c r="N258" s="39"/>
      <c r="O258" s="39"/>
      <c r="P258" s="35"/>
      <c r="Q258" s="18"/>
      <c r="R258" s="34">
        <v>1742.7230999999999</v>
      </c>
      <c r="S258" s="39">
        <v>32.693100000000001</v>
      </c>
      <c r="T258" s="39">
        <v>37.270299999999999</v>
      </c>
      <c r="U258" s="39">
        <v>40.378300000000003</v>
      </c>
      <c r="V258" s="39">
        <v>11.9779</v>
      </c>
      <c r="W258" s="39">
        <v>19.868600000000001</v>
      </c>
      <c r="X258" s="39">
        <v>94.682000000000002</v>
      </c>
      <c r="Y258" s="39"/>
      <c r="Z258" s="39"/>
      <c r="AA258" s="35"/>
      <c r="AB258" s="50" t="e">
        <f t="shared" si="8"/>
        <v>#DIV/0!</v>
      </c>
      <c r="AC258" s="51" t="e">
        <f t="shared" si="8"/>
        <v>#DIV/0!</v>
      </c>
      <c r="AD258" s="19"/>
      <c r="AE258" s="19"/>
      <c r="AF258" s="285" t="s">
        <v>127</v>
      </c>
      <c r="AG258" s="240" cm="1">
        <f t="array" ref="AG258">bdRateExtend($G257:$G260,G257:G260,$R257:$R260,R257:R260)</f>
        <v>8.2116769733042716E-4</v>
      </c>
      <c r="AH258" s="242"/>
      <c r="AI258" s="242"/>
      <c r="AJ258" s="245"/>
      <c r="AK258" s="240" cm="1">
        <f t="array" ref="AK258">bdRateExtend($G257:$G260,K257:K260,$R257:$R260,V257:V260)</f>
        <v>-0.20021137163130853</v>
      </c>
      <c r="AL258" s="249"/>
      <c r="AM258" s="240" cm="1">
        <f t="array" ref="AM258">bdRateExtend($G257:$G260,L257:L260,$R257:$R260,W257:W260)</f>
        <v>-0.18075540196179041</v>
      </c>
      <c r="AN258" s="249"/>
      <c r="AO258" s="252" cm="1">
        <f t="array" ref="AO258">bdRateExtend($G257:$G260,M257:M260,$R257:$R260,X257:X260)</f>
        <v>-0.27095072798586339</v>
      </c>
      <c r="AP258" s="249"/>
    </row>
    <row r="259" spans="1:42" ht="17.100000000000001" customHeight="1" outlineLevel="4" x14ac:dyDescent="0.25">
      <c r="A259" s="222"/>
      <c r="B259" s="219"/>
      <c r="C259" s="229"/>
      <c r="D259" s="232"/>
      <c r="E259" s="235"/>
      <c r="F259" s="16">
        <v>47</v>
      </c>
      <c r="G259" s="34">
        <v>982.59379999999999</v>
      </c>
      <c r="H259" s="39">
        <v>29.3139</v>
      </c>
      <c r="I259" s="39">
        <v>35.029899999999998</v>
      </c>
      <c r="J259" s="39">
        <v>38.761600000000001</v>
      </c>
      <c r="K259" s="39">
        <v>8.8297000000000008</v>
      </c>
      <c r="L259" s="39">
        <v>16.122499999999999</v>
      </c>
      <c r="M259" s="39">
        <v>83.715900000000005</v>
      </c>
      <c r="N259" s="39"/>
      <c r="O259" s="39"/>
      <c r="P259" s="35"/>
      <c r="Q259" s="18"/>
      <c r="R259" s="34">
        <v>918.38149999999996</v>
      </c>
      <c r="S259" s="39">
        <v>29.832799999999999</v>
      </c>
      <c r="T259" s="39">
        <v>35.223500000000001</v>
      </c>
      <c r="U259" s="39">
        <v>38.947499999999998</v>
      </c>
      <c r="V259" s="39">
        <v>9.3490000000000002</v>
      </c>
      <c r="W259" s="39">
        <v>16.6876</v>
      </c>
      <c r="X259" s="39">
        <v>87.1066</v>
      </c>
      <c r="Y259" s="39"/>
      <c r="Z259" s="39"/>
      <c r="AA259" s="35"/>
      <c r="AB259" s="50" t="e">
        <f t="shared" si="8"/>
        <v>#DIV/0!</v>
      </c>
      <c r="AC259" s="51" t="e">
        <f t="shared" si="8"/>
        <v>#DIV/0!</v>
      </c>
      <c r="AD259" s="19"/>
      <c r="AE259" s="19"/>
      <c r="AF259" s="285"/>
      <c r="AG259" s="240"/>
      <c r="AH259" s="242"/>
      <c r="AI259" s="242"/>
      <c r="AJ259" s="245"/>
      <c r="AK259" s="240"/>
      <c r="AL259" s="249"/>
      <c r="AM259" s="240"/>
      <c r="AN259" s="249"/>
      <c r="AO259" s="252"/>
      <c r="AP259" s="249"/>
    </row>
    <row r="260" spans="1:42" ht="17.100000000000001" customHeight="1" outlineLevel="4" x14ac:dyDescent="0.25">
      <c r="A260" s="222"/>
      <c r="B260" s="219"/>
      <c r="C260" s="229"/>
      <c r="D260" s="232"/>
      <c r="E260" s="235"/>
      <c r="F260" s="16">
        <v>55</v>
      </c>
      <c r="G260" s="34">
        <v>481.4554</v>
      </c>
      <c r="H260" s="39">
        <v>26.8443</v>
      </c>
      <c r="I260" s="39">
        <v>33.444099999999999</v>
      </c>
      <c r="J260" s="39">
        <v>37.716099999999997</v>
      </c>
      <c r="K260" s="39">
        <v>6.6264000000000003</v>
      </c>
      <c r="L260" s="39">
        <v>13.0441</v>
      </c>
      <c r="M260" s="39">
        <v>70.740399999999994</v>
      </c>
      <c r="N260" s="39"/>
      <c r="O260" s="39"/>
      <c r="P260" s="35"/>
      <c r="Q260" s="18"/>
      <c r="R260" s="34">
        <v>465.69229999999999</v>
      </c>
      <c r="S260" s="39">
        <v>27.339400000000001</v>
      </c>
      <c r="T260" s="39">
        <v>33.675800000000002</v>
      </c>
      <c r="U260" s="39">
        <v>37.883299999999998</v>
      </c>
      <c r="V260" s="39">
        <v>7.0732999999999997</v>
      </c>
      <c r="W260" s="39">
        <v>13.6272</v>
      </c>
      <c r="X260" s="39">
        <v>74.9101</v>
      </c>
      <c r="Y260" s="39"/>
      <c r="Z260" s="39"/>
      <c r="AA260" s="35"/>
      <c r="AB260" s="50" t="e">
        <f t="shared" si="8"/>
        <v>#DIV/0!</v>
      </c>
      <c r="AC260" s="51" t="e">
        <f t="shared" si="8"/>
        <v>#DIV/0!</v>
      </c>
      <c r="AD260" s="19"/>
      <c r="AE260" s="19"/>
      <c r="AF260" s="285" t="s">
        <v>128</v>
      </c>
      <c r="AG260" s="240" cm="1">
        <f t="array" ref="AG260">bdRateExtend($G258:$G261,G258:G261,$R258:$R261,R258:R261)</f>
        <v>3.0469784644271414E-6</v>
      </c>
      <c r="AH260" s="242"/>
      <c r="AI260" s="242"/>
      <c r="AJ260" s="245"/>
      <c r="AK260" s="240" cm="1">
        <f t="array" ref="AK260">bdRateExtend($G258:$G261,K258:K261,$R258:$R261,V258:V261)</f>
        <v>-0.18619712624021234</v>
      </c>
      <c r="AL260" s="249"/>
      <c r="AM260" s="240" cm="1">
        <f t="array" ref="AM260">bdRateExtend($G258:$G261,L258:L261,$R258:$R261,W258:W261)</f>
        <v>-0.1699861771111042</v>
      </c>
      <c r="AN260" s="249"/>
      <c r="AO260" s="252" cm="1">
        <f t="array" ref="AO260">bdRateExtend($G258:$G261,M258:M261,$R258:$R261,X258:X261)</f>
        <v>-0.21308526985528353</v>
      </c>
      <c r="AP260" s="249"/>
    </row>
    <row r="261" spans="1:42" ht="17.100000000000001" customHeight="1" outlineLevel="4" thickBot="1" x14ac:dyDescent="0.3">
      <c r="A261" s="222"/>
      <c r="B261" s="220"/>
      <c r="C261" s="230"/>
      <c r="D261" s="233"/>
      <c r="E261" s="236"/>
      <c r="F261" s="9">
        <v>63</v>
      </c>
      <c r="G261" s="36">
        <v>185.3938</v>
      </c>
      <c r="H261" s="37">
        <v>24.362200000000001</v>
      </c>
      <c r="I261" s="37">
        <v>32.1663</v>
      </c>
      <c r="J261" s="37">
        <v>36.770800000000001</v>
      </c>
      <c r="K261" s="37">
        <v>4.6436000000000002</v>
      </c>
      <c r="L261" s="37">
        <v>9.8318999999999992</v>
      </c>
      <c r="M261" s="37">
        <v>49.158999999999999</v>
      </c>
      <c r="N261" s="37"/>
      <c r="O261" s="37"/>
      <c r="P261" s="38"/>
      <c r="Q261" s="18"/>
      <c r="R261" s="36">
        <v>189.02459999999999</v>
      </c>
      <c r="S261" s="37">
        <v>24.789899999999999</v>
      </c>
      <c r="T261" s="37">
        <v>32.5456</v>
      </c>
      <c r="U261" s="37">
        <v>37.000999999999998</v>
      </c>
      <c r="V261" s="37">
        <v>4.9760999999999997</v>
      </c>
      <c r="W261" s="37">
        <v>10.413</v>
      </c>
      <c r="X261" s="37">
        <v>53.176600000000001</v>
      </c>
      <c r="Y261" s="37"/>
      <c r="Z261" s="37"/>
      <c r="AA261" s="38"/>
      <c r="AB261" s="52" t="e">
        <f t="shared" si="8"/>
        <v>#DIV/0!</v>
      </c>
      <c r="AC261" s="53" t="e">
        <f t="shared" si="8"/>
        <v>#DIV/0!</v>
      </c>
      <c r="AD261" s="19"/>
      <c r="AE261" s="19"/>
      <c r="AF261" s="286"/>
      <c r="AG261" s="247"/>
      <c r="AH261" s="243"/>
      <c r="AI261" s="243"/>
      <c r="AJ261" s="246"/>
      <c r="AK261" s="247"/>
      <c r="AL261" s="250"/>
      <c r="AM261" s="247"/>
      <c r="AN261" s="250"/>
      <c r="AO261" s="253"/>
      <c r="AP261" s="250"/>
    </row>
    <row r="262" spans="1:42" ht="17.100000000000001" customHeight="1" outlineLevel="4" x14ac:dyDescent="0.25">
      <c r="A262" s="222"/>
      <c r="B262" s="218" t="s">
        <v>4</v>
      </c>
      <c r="C262" s="228" t="s">
        <v>72</v>
      </c>
      <c r="D262" s="231">
        <v>59.94</v>
      </c>
      <c r="E262" s="234">
        <v>10</v>
      </c>
      <c r="F262" s="7">
        <v>23</v>
      </c>
      <c r="G262" s="31">
        <v>3486.1950000000002</v>
      </c>
      <c r="H262" s="32">
        <v>40.959600000000002</v>
      </c>
      <c r="I262" s="32">
        <v>49.511099999999999</v>
      </c>
      <c r="J262" s="32">
        <v>47.576599999999999</v>
      </c>
      <c r="K262" s="32">
        <v>17.212499999999999</v>
      </c>
      <c r="L262" s="32">
        <v>24.450299999999999</v>
      </c>
      <c r="M262" s="32">
        <v>96.445499999999996</v>
      </c>
      <c r="N262" s="32"/>
      <c r="O262" s="32"/>
      <c r="P262" s="33"/>
      <c r="Q262" s="18"/>
      <c r="R262" s="31">
        <v>2976.5938999999998</v>
      </c>
      <c r="S262" s="32">
        <v>41.353200000000001</v>
      </c>
      <c r="T262" s="32">
        <v>49.764000000000003</v>
      </c>
      <c r="U262" s="32">
        <v>47.884599999999999</v>
      </c>
      <c r="V262" s="32">
        <v>17.756699999999999</v>
      </c>
      <c r="W262" s="32">
        <v>24.836099999999998</v>
      </c>
      <c r="X262" s="32">
        <v>97.142899999999997</v>
      </c>
      <c r="Y262" s="32"/>
      <c r="Z262" s="32"/>
      <c r="AA262" s="33"/>
      <c r="AB262" s="48" t="e">
        <f t="shared" si="8"/>
        <v>#DIV/0!</v>
      </c>
      <c r="AC262" s="49" t="e">
        <f t="shared" si="8"/>
        <v>#DIV/0!</v>
      </c>
      <c r="AD262" s="19"/>
      <c r="AE262" s="19"/>
      <c r="AF262" s="284" t="s">
        <v>126</v>
      </c>
      <c r="AG262" s="239" cm="1">
        <f t="array" ref="AG262">bdRateExtend($G262:$G265,G262:G265,$R262:$R265,R262:R265)</f>
        <v>3.6005823506464196E-3</v>
      </c>
      <c r="AH262" s="241" cm="1">
        <f t="array" ref="AH262">bdRateExtend($G262:$G267,H262:H267,$R262:$R267,S262:S267)</f>
        <v>-0.27346095794466319</v>
      </c>
      <c r="AI262" s="241" cm="1">
        <f t="array" ref="AI262">bdRateExtend($G262:$G267,I262:I267,$R262:$R267,T262:T267)</f>
        <v>-0.23885370954660823</v>
      </c>
      <c r="AJ262" s="244" cm="1">
        <f t="array" ref="AJ262">bdRateExtend($G262:$G267,J262:J267,$R262:$R267,U262:U267)</f>
        <v>-0.23443810148770872</v>
      </c>
      <c r="AK262" s="239" cm="1">
        <f t="array" ref="AK262">bdRateExtend($G262:$G265,K262:K265,$R262:$R265,V262:V265)</f>
        <v>-0.27729042738893517</v>
      </c>
      <c r="AL262" s="248" cm="1">
        <f t="array" ref="AL262">bdRateExtend($G262:$G267,K262:K267,$R262:$R267,V262:V267)</f>
        <v>-0.28345368495207346</v>
      </c>
      <c r="AM262" s="239" cm="1">
        <f t="array" ref="AM262">bdRateExtend($G262:$G265,L262:L265,$R262:$R265,W262:W265)</f>
        <v>-0.24693248332911544</v>
      </c>
      <c r="AN262" s="248" cm="1">
        <f t="array" ref="AN262">bdRateExtend($G262:$G267,L262:L267,$R262:$R267,W262:W267)</f>
        <v>-0.24329618869438685</v>
      </c>
      <c r="AO262" s="254" cm="1">
        <f t="array" ref="AO262">bdRateExtend($G262:$G265,M262:M265,$R262:$R265,X262:X265)</f>
        <v>-0.29053528929896844</v>
      </c>
      <c r="AP262" s="248" cm="1">
        <f t="array" ref="AP262">bdRateExtend($G262:$G267,M262:M267,$R262:$R267,X262:X267)</f>
        <v>-0.23323475833150753</v>
      </c>
    </row>
    <row r="263" spans="1:42" ht="17.100000000000001" customHeight="1" outlineLevel="4" x14ac:dyDescent="0.25">
      <c r="A263" s="222"/>
      <c r="B263" s="219"/>
      <c r="C263" s="229"/>
      <c r="D263" s="232"/>
      <c r="E263" s="235"/>
      <c r="F263" s="16">
        <v>31</v>
      </c>
      <c r="G263" s="34">
        <v>2026.1917000000001</v>
      </c>
      <c r="H263" s="39">
        <v>38.039200000000001</v>
      </c>
      <c r="I263" s="39">
        <v>48.0105</v>
      </c>
      <c r="J263" s="39">
        <v>46.014400000000002</v>
      </c>
      <c r="K263" s="39">
        <v>14.813599999999999</v>
      </c>
      <c r="L263" s="39">
        <v>21.5702</v>
      </c>
      <c r="M263" s="39">
        <v>93.537199999999999</v>
      </c>
      <c r="N263" s="39"/>
      <c r="O263" s="39"/>
      <c r="P263" s="35"/>
      <c r="Q263" s="18"/>
      <c r="R263" s="34">
        <v>1700.2173</v>
      </c>
      <c r="S263" s="39">
        <v>38.520299999999999</v>
      </c>
      <c r="T263" s="39">
        <v>48.252699999999997</v>
      </c>
      <c r="U263" s="39">
        <v>46.277799999999999</v>
      </c>
      <c r="V263" s="39">
        <v>15.379</v>
      </c>
      <c r="W263" s="39">
        <v>22.049900000000001</v>
      </c>
      <c r="X263" s="39">
        <v>94.572599999999994</v>
      </c>
      <c r="Y263" s="39"/>
      <c r="Z263" s="39"/>
      <c r="AA263" s="35"/>
      <c r="AB263" s="50" t="e">
        <f t="shared" si="8"/>
        <v>#DIV/0!</v>
      </c>
      <c r="AC263" s="51" t="e">
        <f t="shared" si="8"/>
        <v>#DIV/0!</v>
      </c>
      <c r="AD263" s="19"/>
      <c r="AE263" s="19"/>
      <c r="AF263" s="285"/>
      <c r="AG263" s="240"/>
      <c r="AH263" s="242"/>
      <c r="AI263" s="242"/>
      <c r="AJ263" s="245"/>
      <c r="AK263" s="240"/>
      <c r="AL263" s="249"/>
      <c r="AM263" s="240"/>
      <c r="AN263" s="249"/>
      <c r="AO263" s="252"/>
      <c r="AP263" s="249"/>
    </row>
    <row r="264" spans="1:42" ht="17.100000000000001" customHeight="1" outlineLevel="4" x14ac:dyDescent="0.25">
      <c r="A264" s="222"/>
      <c r="B264" s="219"/>
      <c r="C264" s="229"/>
      <c r="D264" s="232"/>
      <c r="E264" s="235"/>
      <c r="F264" s="16">
        <v>39</v>
      </c>
      <c r="G264" s="34">
        <v>1064.3289</v>
      </c>
      <c r="H264" s="39">
        <v>35.167099999999998</v>
      </c>
      <c r="I264" s="39">
        <v>46.286700000000003</v>
      </c>
      <c r="J264" s="39">
        <v>44.133800000000001</v>
      </c>
      <c r="K264" s="39">
        <v>12.2944</v>
      </c>
      <c r="L264" s="39">
        <v>18.700900000000001</v>
      </c>
      <c r="M264" s="39">
        <v>88.400499999999994</v>
      </c>
      <c r="N264" s="39"/>
      <c r="O264" s="39"/>
      <c r="P264" s="35"/>
      <c r="Q264" s="18"/>
      <c r="R264" s="34">
        <v>897.31560000000002</v>
      </c>
      <c r="S264" s="39">
        <v>35.8399</v>
      </c>
      <c r="T264" s="39">
        <v>46.6633</v>
      </c>
      <c r="U264" s="39">
        <v>44.555599999999998</v>
      </c>
      <c r="V264" s="39">
        <v>12.940099999999999</v>
      </c>
      <c r="W264" s="39">
        <v>19.2745</v>
      </c>
      <c r="X264" s="39">
        <v>90.024500000000003</v>
      </c>
      <c r="Y264" s="39"/>
      <c r="Z264" s="39"/>
      <c r="AA264" s="35"/>
      <c r="AB264" s="50" t="e">
        <f t="shared" si="8"/>
        <v>#DIV/0!</v>
      </c>
      <c r="AC264" s="51" t="e">
        <f t="shared" si="8"/>
        <v>#DIV/0!</v>
      </c>
      <c r="AD264" s="19"/>
      <c r="AE264" s="19"/>
      <c r="AF264" s="285" t="s">
        <v>127</v>
      </c>
      <c r="AG264" s="240" cm="1">
        <f t="array" ref="AG264">bdRateExtend($G263:$G266,G263:G266,$R263:$R266,R263:R266)</f>
        <v>3.5076702080973909E-3</v>
      </c>
      <c r="AH264" s="242"/>
      <c r="AI264" s="242"/>
      <c r="AJ264" s="245"/>
      <c r="AK264" s="240" cm="1">
        <f t="array" ref="AK264">bdRateExtend($G263:$G266,K263:K266,$R263:$R266,V263:V266)</f>
        <v>-0.29015376410190263</v>
      </c>
      <c r="AL264" s="249"/>
      <c r="AM264" s="240" cm="1">
        <f t="array" ref="AM264">bdRateExtend($G263:$G266,L263:L266,$R263:$R266,W263:W266)</f>
        <v>-0.25604025734251801</v>
      </c>
      <c r="AN264" s="249"/>
      <c r="AO264" s="252" cm="1">
        <f t="array" ref="AO264">bdRateExtend($G263:$G266,M263:M266,$R263:$R266,X263:X266)</f>
        <v>-0.26771671914438111</v>
      </c>
      <c r="AP264" s="249"/>
    </row>
    <row r="265" spans="1:42" ht="17.100000000000001" customHeight="1" outlineLevel="4" x14ac:dyDescent="0.25">
      <c r="A265" s="222"/>
      <c r="B265" s="219"/>
      <c r="C265" s="229"/>
      <c r="D265" s="232"/>
      <c r="E265" s="235"/>
      <c r="F265" s="16">
        <v>47</v>
      </c>
      <c r="G265" s="34">
        <v>529.45330000000001</v>
      </c>
      <c r="H265" s="39">
        <v>32.714300000000001</v>
      </c>
      <c r="I265" s="39">
        <v>44.5627</v>
      </c>
      <c r="J265" s="39">
        <v>42.255200000000002</v>
      </c>
      <c r="K265" s="39">
        <v>9.9581</v>
      </c>
      <c r="L265" s="39">
        <v>15.8698</v>
      </c>
      <c r="M265" s="39">
        <v>80.950800000000001</v>
      </c>
      <c r="N265" s="39"/>
      <c r="O265" s="39"/>
      <c r="P265" s="35"/>
      <c r="Q265" s="18"/>
      <c r="R265" s="34">
        <v>462.51589999999999</v>
      </c>
      <c r="S265" s="39">
        <v>33.451799999999999</v>
      </c>
      <c r="T265" s="39">
        <v>44.923299999999998</v>
      </c>
      <c r="U265" s="39">
        <v>42.591700000000003</v>
      </c>
      <c r="V265" s="39">
        <v>10.5854</v>
      </c>
      <c r="W265" s="39">
        <v>16.476199999999999</v>
      </c>
      <c r="X265" s="39">
        <v>83.009</v>
      </c>
      <c r="Y265" s="39"/>
      <c r="Z265" s="39"/>
      <c r="AA265" s="35"/>
      <c r="AB265" s="50" t="e">
        <f t="shared" si="8"/>
        <v>#DIV/0!</v>
      </c>
      <c r="AC265" s="51" t="e">
        <f t="shared" si="8"/>
        <v>#DIV/0!</v>
      </c>
      <c r="AD265" s="19"/>
      <c r="AE265" s="19"/>
      <c r="AF265" s="285"/>
      <c r="AG265" s="240"/>
      <c r="AH265" s="242"/>
      <c r="AI265" s="242"/>
      <c r="AJ265" s="245"/>
      <c r="AK265" s="240"/>
      <c r="AL265" s="249"/>
      <c r="AM265" s="240"/>
      <c r="AN265" s="249"/>
      <c r="AO265" s="252"/>
      <c r="AP265" s="249"/>
    </row>
    <row r="266" spans="1:42" ht="17.100000000000001" customHeight="1" outlineLevel="4" x14ac:dyDescent="0.25">
      <c r="A266" s="222"/>
      <c r="B266" s="219"/>
      <c r="C266" s="229"/>
      <c r="D266" s="232"/>
      <c r="E266" s="235"/>
      <c r="F266" s="16">
        <v>55</v>
      </c>
      <c r="G266" s="34">
        <v>255.04589999999999</v>
      </c>
      <c r="H266" s="39">
        <v>30.570499999999999</v>
      </c>
      <c r="I266" s="39">
        <v>42.944400000000002</v>
      </c>
      <c r="J266" s="39">
        <v>40.519500000000001</v>
      </c>
      <c r="K266" s="39">
        <v>8.1235999999999997</v>
      </c>
      <c r="L266" s="39">
        <v>13.3704</v>
      </c>
      <c r="M266" s="39">
        <v>70.036500000000004</v>
      </c>
      <c r="N266" s="39"/>
      <c r="O266" s="39"/>
      <c r="P266" s="35"/>
      <c r="Q266" s="18"/>
      <c r="R266" s="34">
        <v>232.6301</v>
      </c>
      <c r="S266" s="39">
        <v>31.358899999999998</v>
      </c>
      <c r="T266" s="39">
        <v>43.319400000000002</v>
      </c>
      <c r="U266" s="39">
        <v>40.833599999999997</v>
      </c>
      <c r="V266" s="39">
        <v>8.7440999999999995</v>
      </c>
      <c r="W266" s="39">
        <v>13.9923</v>
      </c>
      <c r="X266" s="39">
        <v>72.891999999999996</v>
      </c>
      <c r="Y266" s="39"/>
      <c r="Z266" s="39"/>
      <c r="AA266" s="35"/>
      <c r="AB266" s="50" t="e">
        <f t="shared" si="8"/>
        <v>#DIV/0!</v>
      </c>
      <c r="AC266" s="51" t="e">
        <f t="shared" si="8"/>
        <v>#DIV/0!</v>
      </c>
      <c r="AD266" s="19"/>
      <c r="AE266" s="19"/>
      <c r="AF266" s="285" t="s">
        <v>128</v>
      </c>
      <c r="AG266" s="240" cm="1">
        <f t="array" ref="AG266">bdRateExtend($G264:$G267,G264:G267,$R264:$R267,R264:R267)</f>
        <v>2.8509300871251142E-3</v>
      </c>
      <c r="AH266" s="242"/>
      <c r="AI266" s="242"/>
      <c r="AJ266" s="245"/>
      <c r="AK266" s="240" cm="1">
        <f t="array" ref="AK266">bdRateExtend($G264:$G267,K264:K267,$R264:$R267,V264:V267)</f>
        <v>-0.29347107866470623</v>
      </c>
      <c r="AL266" s="249"/>
      <c r="AM266" s="240" cm="1">
        <f t="array" ref="AM266">bdRateExtend($G264:$G267,L264:L267,$R264:$R267,W264:W267)</f>
        <v>-0.24410563760743365</v>
      </c>
      <c r="AN266" s="249"/>
      <c r="AO266" s="252" cm="1">
        <f t="array" ref="AO266">bdRateExtend($G264:$G267,M264:M267,$R264:$R267,X264:X267)</f>
        <v>-0.21758668611949661</v>
      </c>
      <c r="AP266" s="249"/>
    </row>
    <row r="267" spans="1:42" ht="17.100000000000001" customHeight="1" outlineLevel="4" thickBot="1" x14ac:dyDescent="0.3">
      <c r="A267" s="222"/>
      <c r="B267" s="220"/>
      <c r="C267" s="230"/>
      <c r="D267" s="233"/>
      <c r="E267" s="236"/>
      <c r="F267" s="9">
        <v>63</v>
      </c>
      <c r="G267" s="36">
        <v>98.877099999999999</v>
      </c>
      <c r="H267" s="37">
        <v>28.2301</v>
      </c>
      <c r="I267" s="37">
        <v>41.089500000000001</v>
      </c>
      <c r="J267" s="37">
        <v>38.8123</v>
      </c>
      <c r="K267" s="37">
        <v>6.3952999999999998</v>
      </c>
      <c r="L267" s="37">
        <v>10.785600000000001</v>
      </c>
      <c r="M267" s="37">
        <v>52.503</v>
      </c>
      <c r="N267" s="37"/>
      <c r="O267" s="37"/>
      <c r="P267" s="38"/>
      <c r="Q267" s="18"/>
      <c r="R267" s="36">
        <v>100.0722</v>
      </c>
      <c r="S267" s="37">
        <v>28.8688</v>
      </c>
      <c r="T267" s="37">
        <v>41.466099999999997</v>
      </c>
      <c r="U267" s="37">
        <v>39.185200000000002</v>
      </c>
      <c r="V267" s="37">
        <v>6.9259000000000004</v>
      </c>
      <c r="W267" s="37">
        <v>11.3142</v>
      </c>
      <c r="X267" s="37">
        <v>54.903599999999997</v>
      </c>
      <c r="Y267" s="37"/>
      <c r="Z267" s="37"/>
      <c r="AA267" s="38"/>
      <c r="AB267" s="52" t="e">
        <f t="shared" si="8"/>
        <v>#DIV/0!</v>
      </c>
      <c r="AC267" s="53" t="e">
        <f t="shared" si="8"/>
        <v>#DIV/0!</v>
      </c>
      <c r="AD267" s="19"/>
      <c r="AE267" s="19"/>
      <c r="AF267" s="286"/>
      <c r="AG267" s="247"/>
      <c r="AH267" s="243"/>
      <c r="AI267" s="243"/>
      <c r="AJ267" s="246"/>
      <c r="AK267" s="247"/>
      <c r="AL267" s="250"/>
      <c r="AM267" s="247"/>
      <c r="AN267" s="250"/>
      <c r="AO267" s="253"/>
      <c r="AP267" s="250"/>
    </row>
    <row r="268" spans="1:42" ht="17.100000000000001" customHeight="1" outlineLevel="4" x14ac:dyDescent="0.25">
      <c r="A268" s="222"/>
      <c r="B268" s="218" t="s">
        <v>95</v>
      </c>
      <c r="C268" s="228" t="s">
        <v>73</v>
      </c>
      <c r="D268" s="231">
        <v>29.97</v>
      </c>
      <c r="E268" s="234" t="s">
        <v>23</v>
      </c>
      <c r="F268" s="7">
        <v>23</v>
      </c>
      <c r="G268" s="31">
        <v>1243.4612</v>
      </c>
      <c r="H268" s="32">
        <v>41.858199999999997</v>
      </c>
      <c r="I268" s="32">
        <v>51.131700000000002</v>
      </c>
      <c r="J268" s="32">
        <v>51.014400000000002</v>
      </c>
      <c r="K268" s="32">
        <v>16.4726</v>
      </c>
      <c r="L268" s="32">
        <v>23.677700000000002</v>
      </c>
      <c r="M268" s="32">
        <v>98.394499999999994</v>
      </c>
      <c r="N268" s="32"/>
      <c r="O268" s="32"/>
      <c r="P268" s="33"/>
      <c r="Q268" s="18"/>
      <c r="R268" s="31">
        <v>1038.3334</v>
      </c>
      <c r="S268" s="32">
        <v>42.253</v>
      </c>
      <c r="T268" s="32">
        <v>51.529499999999999</v>
      </c>
      <c r="U268" s="32">
        <v>51.377000000000002</v>
      </c>
      <c r="V268" s="32">
        <v>16.924199999999999</v>
      </c>
      <c r="W268" s="32">
        <v>24.182099999999998</v>
      </c>
      <c r="X268" s="32">
        <v>98.951300000000003</v>
      </c>
      <c r="Y268" s="32"/>
      <c r="Z268" s="32"/>
      <c r="AA268" s="33"/>
      <c r="AB268" s="48" t="e">
        <f t="shared" si="8"/>
        <v>#DIV/0!</v>
      </c>
      <c r="AC268" s="49" t="e">
        <f t="shared" si="8"/>
        <v>#DIV/0!</v>
      </c>
      <c r="AD268" s="19"/>
      <c r="AE268" s="19"/>
      <c r="AF268" s="284" t="s">
        <v>126</v>
      </c>
      <c r="AG268" s="239" cm="1">
        <f t="array" ref="AG268">bdRateExtend($G268:$G271,G268:G271,$R268:$R271,R268:R271)</f>
        <v>3.4198312581852353E-3</v>
      </c>
      <c r="AH268" s="241" cm="1">
        <f t="array" ref="AH268">bdRateExtend($G268:$G273,H268:H273,$R268:$R273,S268:S273)</f>
        <v>-0.24364783971900472</v>
      </c>
      <c r="AI268" s="241" cm="1">
        <f t="array" ref="AI268">bdRateExtend($G268:$G273,I268:I273,$R268:$R273,T268:T273)</f>
        <v>-0.22986519233538705</v>
      </c>
      <c r="AJ268" s="244" cm="1">
        <f t="array" ref="AJ268">bdRateExtend($G268:$G273,J268:J273,$R268:$R273,U268:U273)</f>
        <v>-0.21201776449828968</v>
      </c>
      <c r="AK268" s="239" cm="1">
        <f t="array" ref="AK268">bdRateExtend($G268:$G271,K268:K271,$R268:$R271,V268:V271)</f>
        <v>-0.27312743992981481</v>
      </c>
      <c r="AL268" s="248" cm="1">
        <f t="array" ref="AL268">bdRateExtend($G268:$G273,K268:K273,$R268:$R273,V268:V273)</f>
        <v>-0.25886484595467851</v>
      </c>
      <c r="AM268" s="239" cm="1">
        <f t="array" ref="AM268">bdRateExtend($G268:$G271,L268:L271,$R268:$R271,W268:W271)</f>
        <v>-0.2645417592328565</v>
      </c>
      <c r="AN268" s="248" cm="1">
        <f t="array" ref="AN268">bdRateExtend($G268:$G273,L268:L273,$R268:$R273,W268:W273)</f>
        <v>-0.24461841785526273</v>
      </c>
      <c r="AO268" s="254" cm="1">
        <f t="array" ref="AO268">bdRateExtend($G268:$G271,M268:M271,$R268:$R271,X268:X271)</f>
        <v>-0.33681488832251816</v>
      </c>
      <c r="AP268" s="248" cm="1">
        <f t="array" ref="AP268">bdRateExtend($G268:$G273,M268:M273,$R268:$R273,X268:X273)</f>
        <v>-0.26054518433190599</v>
      </c>
    </row>
    <row r="269" spans="1:42" ht="17.100000000000001" customHeight="1" outlineLevel="4" x14ac:dyDescent="0.25">
      <c r="A269" s="222"/>
      <c r="B269" s="219"/>
      <c r="C269" s="229"/>
      <c r="D269" s="232"/>
      <c r="E269" s="235"/>
      <c r="F269" s="16">
        <v>31</v>
      </c>
      <c r="G269" s="34">
        <v>722.28139999999996</v>
      </c>
      <c r="H269" s="39">
        <v>39.078899999999997</v>
      </c>
      <c r="I269" s="39">
        <v>49.534399999999998</v>
      </c>
      <c r="J269" s="39">
        <v>49.7166</v>
      </c>
      <c r="K269" s="39">
        <v>14.1067</v>
      </c>
      <c r="L269" s="39">
        <v>21.0563</v>
      </c>
      <c r="M269" s="39">
        <v>96.298699999999997</v>
      </c>
      <c r="N269" s="39"/>
      <c r="O269" s="39"/>
      <c r="P269" s="35"/>
      <c r="Q269" s="18"/>
      <c r="R269" s="34">
        <v>597.92880000000002</v>
      </c>
      <c r="S269" s="39">
        <v>39.6477</v>
      </c>
      <c r="T269" s="39">
        <v>49.919499999999999</v>
      </c>
      <c r="U269" s="39">
        <v>50.110300000000002</v>
      </c>
      <c r="V269" s="39">
        <v>14.7028</v>
      </c>
      <c r="W269" s="39">
        <v>21.719799999999999</v>
      </c>
      <c r="X269" s="39">
        <v>97.439599999999999</v>
      </c>
      <c r="Y269" s="39"/>
      <c r="Z269" s="39"/>
      <c r="AA269" s="35"/>
      <c r="AB269" s="50" t="e">
        <f t="shared" si="8"/>
        <v>#DIV/0!</v>
      </c>
      <c r="AC269" s="51" t="e">
        <f t="shared" si="8"/>
        <v>#DIV/0!</v>
      </c>
      <c r="AD269" s="19"/>
      <c r="AE269" s="19"/>
      <c r="AF269" s="285"/>
      <c r="AG269" s="240"/>
      <c r="AH269" s="242"/>
      <c r="AI269" s="242"/>
      <c r="AJ269" s="245"/>
      <c r="AK269" s="240"/>
      <c r="AL269" s="249"/>
      <c r="AM269" s="240"/>
      <c r="AN269" s="249"/>
      <c r="AO269" s="252"/>
      <c r="AP269" s="249"/>
    </row>
    <row r="270" spans="1:42" ht="17.100000000000001" customHeight="1" outlineLevel="4" x14ac:dyDescent="0.25">
      <c r="A270" s="222"/>
      <c r="B270" s="219"/>
      <c r="C270" s="229"/>
      <c r="D270" s="232"/>
      <c r="E270" s="235"/>
      <c r="F270" s="16">
        <v>39</v>
      </c>
      <c r="G270" s="34">
        <v>377.5154</v>
      </c>
      <c r="H270" s="39">
        <v>36.433700000000002</v>
      </c>
      <c r="I270" s="39">
        <v>47.923699999999997</v>
      </c>
      <c r="J270" s="39">
        <v>48.212800000000001</v>
      </c>
      <c r="K270" s="39">
        <v>11.7112</v>
      </c>
      <c r="L270" s="39">
        <v>18.169899999999998</v>
      </c>
      <c r="M270" s="39">
        <v>91.627600000000001</v>
      </c>
      <c r="N270" s="39"/>
      <c r="O270" s="39"/>
      <c r="P270" s="35"/>
      <c r="Q270" s="18"/>
      <c r="R270" s="34">
        <v>335.6053</v>
      </c>
      <c r="S270" s="39">
        <v>37.146900000000002</v>
      </c>
      <c r="T270" s="39">
        <v>48.330399999999997</v>
      </c>
      <c r="U270" s="39">
        <v>48.721600000000002</v>
      </c>
      <c r="V270" s="39">
        <v>12.4238</v>
      </c>
      <c r="W270" s="39">
        <v>18.9877</v>
      </c>
      <c r="X270" s="39">
        <v>94.045000000000002</v>
      </c>
      <c r="Y270" s="39"/>
      <c r="Z270" s="39"/>
      <c r="AA270" s="35"/>
      <c r="AB270" s="50" t="e">
        <f t="shared" si="8"/>
        <v>#DIV/0!</v>
      </c>
      <c r="AC270" s="51" t="e">
        <f t="shared" si="8"/>
        <v>#DIV/0!</v>
      </c>
      <c r="AD270" s="19"/>
      <c r="AE270" s="19"/>
      <c r="AF270" s="285" t="s">
        <v>127</v>
      </c>
      <c r="AG270" s="240" cm="1">
        <f t="array" ref="AG270">bdRateExtend($G269:$G272,G269:G272,$R269:$R272,R269:R272)</f>
        <v>6.514071077083905E-4</v>
      </c>
      <c r="AH270" s="242"/>
      <c r="AI270" s="242"/>
      <c r="AJ270" s="245"/>
      <c r="AK270" s="240" cm="1">
        <f t="array" ref="AK270">bdRateExtend($G269:$G272,K269:K272,$R269:$R272,V269:V272)</f>
        <v>-0.26124104852234131</v>
      </c>
      <c r="AL270" s="249"/>
      <c r="AM270" s="240" cm="1">
        <f t="array" ref="AM270">bdRateExtend($G269:$G272,L269:L272,$R269:$R272,W269:W272)</f>
        <v>-0.24574234101096593</v>
      </c>
      <c r="AN270" s="249"/>
      <c r="AO270" s="252" cm="1">
        <f t="array" ref="AO270">bdRateExtend($G269:$G272,M269:M272,$R269:$R272,X269:X272)</f>
        <v>-0.2944159329778322</v>
      </c>
      <c r="AP270" s="249"/>
    </row>
    <row r="271" spans="1:42" ht="17.100000000000001" customHeight="1" outlineLevel="4" x14ac:dyDescent="0.25">
      <c r="A271" s="222"/>
      <c r="B271" s="219"/>
      <c r="C271" s="229"/>
      <c r="D271" s="232"/>
      <c r="E271" s="235"/>
      <c r="F271" s="16">
        <v>47</v>
      </c>
      <c r="G271" s="34">
        <v>185.96539999999999</v>
      </c>
      <c r="H271" s="39">
        <v>34.120899999999999</v>
      </c>
      <c r="I271" s="39">
        <v>46.588099999999997</v>
      </c>
      <c r="J271" s="39">
        <v>46.7376</v>
      </c>
      <c r="K271" s="39">
        <v>9.6516000000000002</v>
      </c>
      <c r="L271" s="39">
        <v>15.282</v>
      </c>
      <c r="M271" s="39">
        <v>84.326300000000003</v>
      </c>
      <c r="N271" s="39"/>
      <c r="O271" s="39"/>
      <c r="P271" s="35"/>
      <c r="Q271" s="18"/>
      <c r="R271" s="34">
        <v>177.52590000000001</v>
      </c>
      <c r="S271" s="39">
        <v>34.805100000000003</v>
      </c>
      <c r="T271" s="39">
        <v>46.736699999999999</v>
      </c>
      <c r="U271" s="39">
        <v>47.070099999999996</v>
      </c>
      <c r="V271" s="39">
        <v>10.260400000000001</v>
      </c>
      <c r="W271" s="39">
        <v>16.1264</v>
      </c>
      <c r="X271" s="39">
        <v>87.718900000000005</v>
      </c>
      <c r="Y271" s="39"/>
      <c r="Z271" s="39"/>
      <c r="AA271" s="35"/>
      <c r="AB271" s="50" t="e">
        <f t="shared" si="8"/>
        <v>#DIV/0!</v>
      </c>
      <c r="AC271" s="51" t="e">
        <f t="shared" si="8"/>
        <v>#DIV/0!</v>
      </c>
      <c r="AD271" s="19"/>
      <c r="AE271" s="19"/>
      <c r="AF271" s="285"/>
      <c r="AG271" s="240"/>
      <c r="AH271" s="242"/>
      <c r="AI271" s="242"/>
      <c r="AJ271" s="245"/>
      <c r="AK271" s="240"/>
      <c r="AL271" s="249"/>
      <c r="AM271" s="240"/>
      <c r="AN271" s="249"/>
      <c r="AO271" s="252"/>
      <c r="AP271" s="249"/>
    </row>
    <row r="272" spans="1:42" ht="17.100000000000001" customHeight="1" outlineLevel="4" x14ac:dyDescent="0.25">
      <c r="A272" s="222"/>
      <c r="B272" s="219"/>
      <c r="C272" s="229"/>
      <c r="D272" s="232"/>
      <c r="E272" s="235"/>
      <c r="F272" s="16">
        <v>55</v>
      </c>
      <c r="G272" s="34">
        <v>87.5899</v>
      </c>
      <c r="H272" s="39">
        <v>32.264699999999998</v>
      </c>
      <c r="I272" s="39">
        <v>44.9116</v>
      </c>
      <c r="J272" s="39">
        <v>45.254300000000001</v>
      </c>
      <c r="K272" s="39">
        <v>8.1994000000000007</v>
      </c>
      <c r="L272" s="39">
        <v>12.8001</v>
      </c>
      <c r="M272" s="39">
        <v>73.119799999999998</v>
      </c>
      <c r="N272" s="39"/>
      <c r="O272" s="39"/>
      <c r="P272" s="35"/>
      <c r="Q272" s="18"/>
      <c r="R272" s="34">
        <v>86.391099999999994</v>
      </c>
      <c r="S272" s="39">
        <v>32.814599999999999</v>
      </c>
      <c r="T272" s="39">
        <v>45.511200000000002</v>
      </c>
      <c r="U272" s="39">
        <v>45.549399999999999</v>
      </c>
      <c r="V272" s="39">
        <v>8.5873000000000008</v>
      </c>
      <c r="W272" s="39">
        <v>13.4589</v>
      </c>
      <c r="X272" s="39">
        <v>77.491100000000003</v>
      </c>
      <c r="Y272" s="39"/>
      <c r="Z272" s="39"/>
      <c r="AA272" s="35"/>
      <c r="AB272" s="50" t="e">
        <f t="shared" si="8"/>
        <v>#DIV/0!</v>
      </c>
      <c r="AC272" s="51" t="e">
        <f t="shared" si="8"/>
        <v>#DIV/0!</v>
      </c>
      <c r="AD272" s="19"/>
      <c r="AE272" s="19"/>
      <c r="AF272" s="285" t="s">
        <v>128</v>
      </c>
      <c r="AG272" s="240" cm="1">
        <f t="array" ref="AG272">bdRateExtend($G270:$G273,G270:G273,$R270:$R273,R270:R273)</f>
        <v>-2.6590852197692083E-3</v>
      </c>
      <c r="AH272" s="242"/>
      <c r="AI272" s="242"/>
      <c r="AJ272" s="245"/>
      <c r="AK272" s="240" cm="1">
        <f t="array" ref="AK272">bdRateExtend($G270:$G273,K270:K273,$R270:$R273,V270:V273)</f>
        <v>-0.23907887871500777</v>
      </c>
      <c r="AL272" s="249"/>
      <c r="AM272" s="240" cm="1">
        <f t="array" ref="AM272">bdRateExtend($G270:$G273,L270:L273,$R270:$R273,W270:W273)</f>
        <v>-0.22259172056561194</v>
      </c>
      <c r="AN272" s="249"/>
      <c r="AO272" s="252" cm="1">
        <f t="array" ref="AO272">bdRateExtend($G270:$G273,M270:M273,$R270:$R273,X270:X273)</f>
        <v>-0.24134710497967082</v>
      </c>
      <c r="AP272" s="249"/>
    </row>
    <row r="273" spans="1:42" ht="17.100000000000001" customHeight="1" outlineLevel="4" thickBot="1" x14ac:dyDescent="0.3">
      <c r="A273" s="223"/>
      <c r="B273" s="220"/>
      <c r="C273" s="230"/>
      <c r="D273" s="233"/>
      <c r="E273" s="236"/>
      <c r="F273" s="9">
        <v>63</v>
      </c>
      <c r="G273" s="36">
        <v>39.351999999999997</v>
      </c>
      <c r="H273" s="37">
        <v>30.359400000000001</v>
      </c>
      <c r="I273" s="37">
        <v>43.043199999999999</v>
      </c>
      <c r="J273" s="37">
        <v>43.576500000000003</v>
      </c>
      <c r="K273" s="37">
        <v>7.2579000000000002</v>
      </c>
      <c r="L273" s="37">
        <v>10.9574</v>
      </c>
      <c r="M273" s="37">
        <v>56.189799999999998</v>
      </c>
      <c r="N273" s="37"/>
      <c r="O273" s="37"/>
      <c r="P273" s="38"/>
      <c r="Q273" s="18"/>
      <c r="R273" s="36">
        <v>37.714300000000001</v>
      </c>
      <c r="S273" s="37">
        <v>30.763200000000001</v>
      </c>
      <c r="T273" s="37">
        <v>43.339700000000001</v>
      </c>
      <c r="U273" s="37">
        <v>43.598599999999998</v>
      </c>
      <c r="V273" s="37">
        <v>7.4356</v>
      </c>
      <c r="W273" s="37">
        <v>11.274900000000001</v>
      </c>
      <c r="X273" s="37">
        <v>59.895499999999998</v>
      </c>
      <c r="Y273" s="37"/>
      <c r="Z273" s="37"/>
      <c r="AA273" s="38"/>
      <c r="AB273" s="52" t="e">
        <f t="shared" si="8"/>
        <v>#DIV/0!</v>
      </c>
      <c r="AC273" s="53" t="e">
        <f t="shared" si="8"/>
        <v>#DIV/0!</v>
      </c>
      <c r="AD273" s="19"/>
      <c r="AE273" s="19"/>
      <c r="AF273" s="286"/>
      <c r="AG273" s="247"/>
      <c r="AH273" s="243"/>
      <c r="AI273" s="243"/>
      <c r="AJ273" s="246"/>
      <c r="AK273" s="247"/>
      <c r="AL273" s="250"/>
      <c r="AM273" s="247"/>
      <c r="AN273" s="250"/>
      <c r="AO273" s="253"/>
      <c r="AP273" s="250"/>
    </row>
    <row r="274" spans="1:42" ht="17.100000000000001" customHeight="1" outlineLevel="5" x14ac:dyDescent="0.25">
      <c r="A274" s="221" t="s">
        <v>108</v>
      </c>
      <c r="B274" s="218" t="s">
        <v>2</v>
      </c>
      <c r="C274" s="228" t="s">
        <v>26</v>
      </c>
      <c r="D274" s="231">
        <v>60</v>
      </c>
      <c r="E274" s="234">
        <v>8</v>
      </c>
      <c r="F274" s="7">
        <v>23</v>
      </c>
      <c r="G274" s="31"/>
      <c r="H274" s="32"/>
      <c r="I274" s="32"/>
      <c r="J274" s="32"/>
      <c r="K274" s="32"/>
      <c r="L274" s="32"/>
      <c r="M274" s="32"/>
      <c r="N274" s="32"/>
      <c r="O274" s="32"/>
      <c r="P274" s="33"/>
      <c r="Q274" s="18"/>
      <c r="R274" s="31"/>
      <c r="S274" s="32"/>
      <c r="T274" s="32"/>
      <c r="U274" s="32"/>
      <c r="V274" s="32"/>
      <c r="W274" s="32"/>
      <c r="X274" s="32"/>
      <c r="Y274" s="32"/>
      <c r="Z274" s="32"/>
      <c r="AA274" s="33"/>
      <c r="AB274" s="48" t="e">
        <f t="shared" si="8"/>
        <v>#DIV/0!</v>
      </c>
      <c r="AC274" s="49" t="e">
        <f t="shared" si="8"/>
        <v>#DIV/0!</v>
      </c>
      <c r="AD274" s="19"/>
      <c r="AE274" s="19"/>
      <c r="AF274" s="284" t="s">
        <v>126</v>
      </c>
      <c r="AG274" s="239" t="e" cm="1">
        <f t="array" ref="AG274">bdRateExtend($G274:$G277,G274:G277,$R274:$R277,R274:R277)</f>
        <v>#VALUE!</v>
      </c>
      <c r="AH274" s="241" t="e" cm="1">
        <f t="array" ref="AH274">bdRateExtend($G274:$G279,H274:H279,$R274:$R279,S274:S279)</f>
        <v>#VALUE!</v>
      </c>
      <c r="AI274" s="241" t="e" cm="1">
        <f t="array" ref="AI274">bdRateExtend($G274:$G279,I274:I279,$R274:$R279,T274:T279)</f>
        <v>#VALUE!</v>
      </c>
      <c r="AJ274" s="244" t="e" cm="1">
        <f t="array" ref="AJ274">bdRateExtend($G274:$G279,J274:J279,$R274:$R279,U274:U279)</f>
        <v>#VALUE!</v>
      </c>
      <c r="AK274" s="239" t="e" cm="1">
        <f t="array" ref="AK274">bdRateExtend($G274:$G277,K274:K277,$R274:$R277,V274:V277)</f>
        <v>#VALUE!</v>
      </c>
      <c r="AL274" s="248" t="e" cm="1">
        <f t="array" ref="AL274">bdRateExtend($G274:$G279,K274:K279,$R274:$R279,V274:V279)</f>
        <v>#VALUE!</v>
      </c>
      <c r="AM274" s="239" t="e" cm="1">
        <f t="array" ref="AM274">bdRateExtend($G274:$G277,L274:L277,$R274:$R277,W274:W277)</f>
        <v>#VALUE!</v>
      </c>
      <c r="AN274" s="248" t="e" cm="1">
        <f t="array" ref="AN274">bdRateExtend($G274:$G279,L274:L279,$R274:$R279,W274:W279)</f>
        <v>#VALUE!</v>
      </c>
      <c r="AO274" s="254" t="e" cm="1">
        <f t="array" ref="AO274">bdRateExtend($G274:$G277,M274:M277,$R274:$R277,X274:X277)</f>
        <v>#VALUE!</v>
      </c>
      <c r="AP274" s="248" t="e" cm="1">
        <f t="array" ref="AP274">bdRateExtend($G274:$G279,M274:M279,$R274:$R279,X274:X279)</f>
        <v>#VALUE!</v>
      </c>
    </row>
    <row r="275" spans="1:42" ht="17.100000000000001" customHeight="1" outlineLevel="5" x14ac:dyDescent="0.25">
      <c r="A275" s="222"/>
      <c r="B275" s="219"/>
      <c r="C275" s="229"/>
      <c r="D275" s="232"/>
      <c r="E275" s="235"/>
      <c r="F275" s="16">
        <v>31</v>
      </c>
      <c r="G275" s="34"/>
      <c r="H275" s="39"/>
      <c r="I275" s="39"/>
      <c r="J275" s="39"/>
      <c r="K275" s="39"/>
      <c r="L275" s="39"/>
      <c r="M275" s="39"/>
      <c r="N275" s="39"/>
      <c r="O275" s="39"/>
      <c r="P275" s="35"/>
      <c r="Q275" s="18"/>
      <c r="R275" s="34"/>
      <c r="S275" s="39"/>
      <c r="T275" s="39"/>
      <c r="U275" s="39"/>
      <c r="V275" s="39"/>
      <c r="W275" s="39"/>
      <c r="X275" s="39"/>
      <c r="Y275" s="39"/>
      <c r="Z275" s="39"/>
      <c r="AA275" s="35"/>
      <c r="AB275" s="50" t="e">
        <f t="shared" si="8"/>
        <v>#DIV/0!</v>
      </c>
      <c r="AC275" s="51" t="e">
        <f t="shared" si="8"/>
        <v>#DIV/0!</v>
      </c>
      <c r="AD275" s="19"/>
      <c r="AE275" s="19"/>
      <c r="AF275" s="285"/>
      <c r="AG275" s="240"/>
      <c r="AH275" s="242"/>
      <c r="AI275" s="242"/>
      <c r="AJ275" s="245"/>
      <c r="AK275" s="240"/>
      <c r="AL275" s="249"/>
      <c r="AM275" s="240"/>
      <c r="AN275" s="249"/>
      <c r="AO275" s="252"/>
      <c r="AP275" s="249"/>
    </row>
    <row r="276" spans="1:42" ht="17.100000000000001" customHeight="1" outlineLevel="5" x14ac:dyDescent="0.25">
      <c r="A276" s="222"/>
      <c r="B276" s="219"/>
      <c r="C276" s="229"/>
      <c r="D276" s="232"/>
      <c r="E276" s="235"/>
      <c r="F276" s="16">
        <v>39</v>
      </c>
      <c r="G276" s="34"/>
      <c r="H276" s="39"/>
      <c r="I276" s="39"/>
      <c r="J276" s="39"/>
      <c r="K276" s="39"/>
      <c r="L276" s="39"/>
      <c r="M276" s="39"/>
      <c r="N276" s="39"/>
      <c r="O276" s="39"/>
      <c r="P276" s="35"/>
      <c r="Q276" s="18"/>
      <c r="R276" s="34"/>
      <c r="S276" s="39"/>
      <c r="T276" s="39"/>
      <c r="U276" s="39"/>
      <c r="V276" s="39"/>
      <c r="W276" s="39"/>
      <c r="X276" s="39"/>
      <c r="Y276" s="39"/>
      <c r="Z276" s="39"/>
      <c r="AA276" s="35"/>
      <c r="AB276" s="50" t="e">
        <f t="shared" si="8"/>
        <v>#DIV/0!</v>
      </c>
      <c r="AC276" s="51" t="e">
        <f t="shared" si="8"/>
        <v>#DIV/0!</v>
      </c>
      <c r="AD276" s="19"/>
      <c r="AE276" s="19"/>
      <c r="AF276" s="285" t="s">
        <v>127</v>
      </c>
      <c r="AG276" s="240" t="e" cm="1">
        <f t="array" ref="AG276">bdRateExtend($G275:$G278,G275:G278,$R275:$R278,R275:R278)</f>
        <v>#VALUE!</v>
      </c>
      <c r="AH276" s="242"/>
      <c r="AI276" s="242"/>
      <c r="AJ276" s="245"/>
      <c r="AK276" s="240" t="e" cm="1">
        <f t="array" ref="AK276">bdRateExtend($G275:$G278,K275:K278,$R275:$R278,V275:V278)</f>
        <v>#VALUE!</v>
      </c>
      <c r="AL276" s="249"/>
      <c r="AM276" s="240" t="e" cm="1">
        <f t="array" ref="AM276">bdRateExtend($G275:$G278,L275:L278,$R275:$R278,W275:W278)</f>
        <v>#VALUE!</v>
      </c>
      <c r="AN276" s="249"/>
      <c r="AO276" s="252" t="e" cm="1">
        <f t="array" ref="AO276">bdRateExtend($G275:$G278,M275:M278,$R275:$R278,X275:X278)</f>
        <v>#VALUE!</v>
      </c>
      <c r="AP276" s="249"/>
    </row>
    <row r="277" spans="1:42" ht="17.100000000000001" customHeight="1" outlineLevel="5" x14ac:dyDescent="0.25">
      <c r="A277" s="222"/>
      <c r="B277" s="219"/>
      <c r="C277" s="229"/>
      <c r="D277" s="232"/>
      <c r="E277" s="235"/>
      <c r="F277" s="16">
        <v>47</v>
      </c>
      <c r="G277" s="34"/>
      <c r="H277" s="39"/>
      <c r="I277" s="39"/>
      <c r="J277" s="39"/>
      <c r="K277" s="39"/>
      <c r="L277" s="39"/>
      <c r="M277" s="39"/>
      <c r="N277" s="39"/>
      <c r="O277" s="39"/>
      <c r="P277" s="35"/>
      <c r="Q277" s="18"/>
      <c r="R277" s="34"/>
      <c r="S277" s="39"/>
      <c r="T277" s="39"/>
      <c r="U277" s="39"/>
      <c r="V277" s="39"/>
      <c r="W277" s="39"/>
      <c r="X277" s="39"/>
      <c r="Y277" s="39"/>
      <c r="Z277" s="39"/>
      <c r="AA277" s="35"/>
      <c r="AB277" s="50" t="e">
        <f t="shared" si="8"/>
        <v>#DIV/0!</v>
      </c>
      <c r="AC277" s="51" t="e">
        <f t="shared" si="8"/>
        <v>#DIV/0!</v>
      </c>
      <c r="AD277" s="19"/>
      <c r="AE277" s="19"/>
      <c r="AF277" s="285"/>
      <c r="AG277" s="240"/>
      <c r="AH277" s="242"/>
      <c r="AI277" s="242"/>
      <c r="AJ277" s="245"/>
      <c r="AK277" s="240"/>
      <c r="AL277" s="249"/>
      <c r="AM277" s="240"/>
      <c r="AN277" s="249"/>
      <c r="AO277" s="252"/>
      <c r="AP277" s="249"/>
    </row>
    <row r="278" spans="1:42" ht="17.100000000000001" customHeight="1" outlineLevel="5" x14ac:dyDescent="0.25">
      <c r="A278" s="222"/>
      <c r="B278" s="219"/>
      <c r="C278" s="229"/>
      <c r="D278" s="232"/>
      <c r="E278" s="235"/>
      <c r="F278" s="16">
        <v>55</v>
      </c>
      <c r="G278" s="34"/>
      <c r="H278" s="39"/>
      <c r="I278" s="39"/>
      <c r="J278" s="39"/>
      <c r="K278" s="39"/>
      <c r="L278" s="39"/>
      <c r="M278" s="39"/>
      <c r="N278" s="39"/>
      <c r="O278" s="39"/>
      <c r="P278" s="35"/>
      <c r="Q278" s="18"/>
      <c r="R278" s="34"/>
      <c r="S278" s="39"/>
      <c r="T278" s="39"/>
      <c r="U278" s="39"/>
      <c r="V278" s="39"/>
      <c r="W278" s="39"/>
      <c r="X278" s="39"/>
      <c r="Y278" s="39"/>
      <c r="Z278" s="39"/>
      <c r="AA278" s="35"/>
      <c r="AB278" s="50" t="e">
        <f t="shared" si="8"/>
        <v>#DIV/0!</v>
      </c>
      <c r="AC278" s="51" t="e">
        <f t="shared" si="8"/>
        <v>#DIV/0!</v>
      </c>
      <c r="AD278" s="19"/>
      <c r="AE278" s="19"/>
      <c r="AF278" s="285" t="s">
        <v>128</v>
      </c>
      <c r="AG278" s="240" t="e" cm="1">
        <f t="array" ref="AG278">bdRateExtend($G276:$G279,G276:G279,$R276:$R279,R276:R279)</f>
        <v>#VALUE!</v>
      </c>
      <c r="AH278" s="242"/>
      <c r="AI278" s="242"/>
      <c r="AJ278" s="245"/>
      <c r="AK278" s="240" t="e" cm="1">
        <f t="array" ref="AK278">bdRateExtend($G276:$G279,K276:K279,$R276:$R279,V276:V279)</f>
        <v>#VALUE!</v>
      </c>
      <c r="AL278" s="249"/>
      <c r="AM278" s="240" t="e" cm="1">
        <f t="array" ref="AM278">bdRateExtend($G276:$G279,L276:L279,$R276:$R279,W276:W279)</f>
        <v>#VALUE!</v>
      </c>
      <c r="AN278" s="249"/>
      <c r="AO278" s="252" t="e" cm="1">
        <f t="array" ref="AO278">bdRateExtend($G276:$G279,M276:M279,$R276:$R279,X276:X279)</f>
        <v>#VALUE!</v>
      </c>
      <c r="AP278" s="249"/>
    </row>
    <row r="279" spans="1:42" ht="17.100000000000001" customHeight="1" outlineLevel="5" thickBot="1" x14ac:dyDescent="0.3">
      <c r="A279" s="222"/>
      <c r="B279" s="220"/>
      <c r="C279" s="230"/>
      <c r="D279" s="233"/>
      <c r="E279" s="236"/>
      <c r="F279" s="9">
        <v>63</v>
      </c>
      <c r="G279" s="36"/>
      <c r="H279" s="37"/>
      <c r="I279" s="37"/>
      <c r="J279" s="37"/>
      <c r="K279" s="37"/>
      <c r="L279" s="37"/>
      <c r="M279" s="37"/>
      <c r="N279" s="37"/>
      <c r="O279" s="37"/>
      <c r="P279" s="38"/>
      <c r="Q279" s="18"/>
      <c r="R279" s="36"/>
      <c r="S279" s="37"/>
      <c r="T279" s="37"/>
      <c r="U279" s="37"/>
      <c r="V279" s="37"/>
      <c r="W279" s="37"/>
      <c r="X279" s="37"/>
      <c r="Y279" s="37"/>
      <c r="Z279" s="37"/>
      <c r="AA279" s="38"/>
      <c r="AB279" s="52" t="e">
        <f t="shared" si="8"/>
        <v>#DIV/0!</v>
      </c>
      <c r="AC279" s="53" t="e">
        <f t="shared" si="8"/>
        <v>#DIV/0!</v>
      </c>
      <c r="AD279" s="19"/>
      <c r="AE279" s="19"/>
      <c r="AF279" s="286"/>
      <c r="AG279" s="247"/>
      <c r="AH279" s="243"/>
      <c r="AI279" s="243"/>
      <c r="AJ279" s="246"/>
      <c r="AK279" s="247"/>
      <c r="AL279" s="250"/>
      <c r="AM279" s="247"/>
      <c r="AN279" s="250"/>
      <c r="AO279" s="253"/>
      <c r="AP279" s="250"/>
    </row>
    <row r="280" spans="1:42" ht="17.100000000000001" customHeight="1" outlineLevel="5" x14ac:dyDescent="0.25">
      <c r="A280" s="222"/>
      <c r="B280" s="218" t="s">
        <v>96</v>
      </c>
      <c r="C280" s="228" t="s">
        <v>74</v>
      </c>
      <c r="D280" s="231">
        <v>60</v>
      </c>
      <c r="E280" s="234">
        <v>8</v>
      </c>
      <c r="F280" s="7">
        <v>23</v>
      </c>
      <c r="G280" s="31"/>
      <c r="H280" s="32"/>
      <c r="I280" s="32"/>
      <c r="J280" s="32"/>
      <c r="K280" s="32"/>
      <c r="L280" s="32"/>
      <c r="M280" s="32"/>
      <c r="N280" s="32"/>
      <c r="O280" s="32"/>
      <c r="P280" s="33"/>
      <c r="Q280" s="18"/>
      <c r="R280" s="31"/>
      <c r="S280" s="32"/>
      <c r="T280" s="32"/>
      <c r="U280" s="32"/>
      <c r="V280" s="32"/>
      <c r="W280" s="32"/>
      <c r="X280" s="32"/>
      <c r="Y280" s="32"/>
      <c r="Z280" s="32"/>
      <c r="AA280" s="33"/>
      <c r="AB280" s="48" t="e">
        <f t="shared" si="8"/>
        <v>#DIV/0!</v>
      </c>
      <c r="AC280" s="49" t="e">
        <f t="shared" si="8"/>
        <v>#DIV/0!</v>
      </c>
      <c r="AD280" s="19"/>
      <c r="AE280" s="19"/>
      <c r="AF280" s="284" t="s">
        <v>126</v>
      </c>
      <c r="AG280" s="239" t="e" cm="1">
        <f t="array" ref="AG280">bdRateExtend($G280:$G283,G280:G283,$R280:$R283,R280:R283)</f>
        <v>#VALUE!</v>
      </c>
      <c r="AH280" s="241" t="e" cm="1">
        <f t="array" ref="AH280">bdRateExtend($G280:$G285,H280:H285,$R280:$R285,S280:S285)</f>
        <v>#VALUE!</v>
      </c>
      <c r="AI280" s="241" t="e" cm="1">
        <f t="array" ref="AI280">bdRateExtend($G280:$G285,I280:I285,$R280:$R285,T280:T285)</f>
        <v>#VALUE!</v>
      </c>
      <c r="AJ280" s="244" t="e" cm="1">
        <f t="array" ref="AJ280">bdRateExtend($G280:$G285,J280:J285,$R280:$R285,U280:U285)</f>
        <v>#VALUE!</v>
      </c>
      <c r="AK280" s="239" t="e" cm="1">
        <f t="array" ref="AK280">bdRateExtend($G280:$G283,K280:K283,$R280:$R283,V280:V283)</f>
        <v>#VALUE!</v>
      </c>
      <c r="AL280" s="248" t="e" cm="1">
        <f t="array" ref="AL280">bdRateExtend($G280:$G285,K280:K285,$R280:$R285,V280:V285)</f>
        <v>#VALUE!</v>
      </c>
      <c r="AM280" s="239" t="e" cm="1">
        <f t="array" ref="AM280">bdRateExtend($G280:$G283,L280:L283,$R280:$R283,W280:W283)</f>
        <v>#VALUE!</v>
      </c>
      <c r="AN280" s="248" t="e" cm="1">
        <f t="array" ref="AN280">bdRateExtend($G280:$G285,L280:L285,$R280:$R285,W280:W285)</f>
        <v>#VALUE!</v>
      </c>
      <c r="AO280" s="254" t="e" cm="1">
        <f t="array" ref="AO280">bdRateExtend($G280:$G283,M280:M283,$R280:$R283,X280:X283)</f>
        <v>#VALUE!</v>
      </c>
      <c r="AP280" s="248" t="e" cm="1">
        <f t="array" ref="AP280">bdRateExtend($G280:$G285,M280:M285,$R280:$R285,X280:X285)</f>
        <v>#VALUE!</v>
      </c>
    </row>
    <row r="281" spans="1:42" ht="17.100000000000001" customHeight="1" outlineLevel="5" x14ac:dyDescent="0.25">
      <c r="A281" s="222"/>
      <c r="B281" s="219"/>
      <c r="C281" s="229"/>
      <c r="D281" s="232"/>
      <c r="E281" s="235"/>
      <c r="F281" s="16">
        <v>31</v>
      </c>
      <c r="G281" s="34"/>
      <c r="H281" s="39"/>
      <c r="I281" s="39"/>
      <c r="J281" s="39"/>
      <c r="K281" s="39"/>
      <c r="L281" s="39"/>
      <c r="M281" s="39"/>
      <c r="N281" s="39"/>
      <c r="O281" s="39"/>
      <c r="P281" s="35"/>
      <c r="Q281" s="18"/>
      <c r="R281" s="34"/>
      <c r="S281" s="39"/>
      <c r="T281" s="39"/>
      <c r="U281" s="39"/>
      <c r="V281" s="39"/>
      <c r="W281" s="39"/>
      <c r="X281" s="39"/>
      <c r="Y281" s="39"/>
      <c r="Z281" s="39"/>
      <c r="AA281" s="35"/>
      <c r="AB281" s="50" t="e">
        <f t="shared" si="8"/>
        <v>#DIV/0!</v>
      </c>
      <c r="AC281" s="51" t="e">
        <f t="shared" si="8"/>
        <v>#DIV/0!</v>
      </c>
      <c r="AD281" s="19"/>
      <c r="AE281" s="19"/>
      <c r="AF281" s="285"/>
      <c r="AG281" s="240"/>
      <c r="AH281" s="242"/>
      <c r="AI281" s="242"/>
      <c r="AJ281" s="245"/>
      <c r="AK281" s="240"/>
      <c r="AL281" s="249"/>
      <c r="AM281" s="240"/>
      <c r="AN281" s="249"/>
      <c r="AO281" s="252"/>
      <c r="AP281" s="249"/>
    </row>
    <row r="282" spans="1:42" ht="17.100000000000001" customHeight="1" outlineLevel="5" x14ac:dyDescent="0.25">
      <c r="A282" s="222"/>
      <c r="B282" s="219"/>
      <c r="C282" s="229"/>
      <c r="D282" s="232"/>
      <c r="E282" s="235"/>
      <c r="F282" s="16">
        <v>39</v>
      </c>
      <c r="G282" s="34"/>
      <c r="H282" s="39"/>
      <c r="I282" s="39"/>
      <c r="J282" s="39"/>
      <c r="K282" s="39"/>
      <c r="L282" s="39"/>
      <c r="M282" s="39"/>
      <c r="N282" s="39"/>
      <c r="O282" s="39"/>
      <c r="P282" s="35"/>
      <c r="Q282" s="18"/>
      <c r="R282" s="34"/>
      <c r="S282" s="39"/>
      <c r="T282" s="39"/>
      <c r="U282" s="39"/>
      <c r="V282" s="39"/>
      <c r="W282" s="39"/>
      <c r="X282" s="39"/>
      <c r="Y282" s="39"/>
      <c r="Z282" s="39"/>
      <c r="AA282" s="35"/>
      <c r="AB282" s="50" t="e">
        <f t="shared" si="8"/>
        <v>#DIV/0!</v>
      </c>
      <c r="AC282" s="51" t="e">
        <f t="shared" si="8"/>
        <v>#DIV/0!</v>
      </c>
      <c r="AD282" s="19"/>
      <c r="AE282" s="19"/>
      <c r="AF282" s="285" t="s">
        <v>127</v>
      </c>
      <c r="AG282" s="240" t="e" cm="1">
        <f t="array" ref="AG282">bdRateExtend($G281:$G284,G281:G284,$R281:$R284,R281:R284)</f>
        <v>#VALUE!</v>
      </c>
      <c r="AH282" s="242"/>
      <c r="AI282" s="242"/>
      <c r="AJ282" s="245"/>
      <c r="AK282" s="240" t="e" cm="1">
        <f t="array" ref="AK282">bdRateExtend($G281:$G284,K281:K284,$R281:$R284,V281:V284)</f>
        <v>#VALUE!</v>
      </c>
      <c r="AL282" s="249"/>
      <c r="AM282" s="240" t="e" cm="1">
        <f t="array" ref="AM282">bdRateExtend($G281:$G284,L281:L284,$R281:$R284,W281:W284)</f>
        <v>#VALUE!</v>
      </c>
      <c r="AN282" s="249"/>
      <c r="AO282" s="252" t="e" cm="1">
        <f t="array" ref="AO282">bdRateExtend($G281:$G284,M281:M284,$R281:$R284,X281:X284)</f>
        <v>#VALUE!</v>
      </c>
      <c r="AP282" s="249"/>
    </row>
    <row r="283" spans="1:42" ht="17.100000000000001" customHeight="1" outlineLevel="5" x14ac:dyDescent="0.25">
      <c r="A283" s="222"/>
      <c r="B283" s="219"/>
      <c r="C283" s="229"/>
      <c r="D283" s="232"/>
      <c r="E283" s="235"/>
      <c r="F283" s="16">
        <v>47</v>
      </c>
      <c r="G283" s="34"/>
      <c r="H283" s="39"/>
      <c r="I283" s="39"/>
      <c r="J283" s="39"/>
      <c r="K283" s="39"/>
      <c r="L283" s="39"/>
      <c r="M283" s="39"/>
      <c r="N283" s="39"/>
      <c r="O283" s="39"/>
      <c r="P283" s="35"/>
      <c r="Q283" s="18"/>
      <c r="R283" s="34"/>
      <c r="S283" s="39"/>
      <c r="T283" s="39"/>
      <c r="U283" s="39"/>
      <c r="V283" s="39"/>
      <c r="W283" s="39"/>
      <c r="X283" s="39"/>
      <c r="Y283" s="39"/>
      <c r="Z283" s="39"/>
      <c r="AA283" s="35"/>
      <c r="AB283" s="50" t="e">
        <f t="shared" si="8"/>
        <v>#DIV/0!</v>
      </c>
      <c r="AC283" s="51" t="e">
        <f t="shared" si="8"/>
        <v>#DIV/0!</v>
      </c>
      <c r="AD283" s="19"/>
      <c r="AE283" s="19"/>
      <c r="AF283" s="285"/>
      <c r="AG283" s="240"/>
      <c r="AH283" s="242"/>
      <c r="AI283" s="242"/>
      <c r="AJ283" s="245"/>
      <c r="AK283" s="240"/>
      <c r="AL283" s="249"/>
      <c r="AM283" s="240"/>
      <c r="AN283" s="249"/>
      <c r="AO283" s="252"/>
      <c r="AP283" s="249"/>
    </row>
    <row r="284" spans="1:42" ht="17.100000000000001" customHeight="1" outlineLevel="5" x14ac:dyDescent="0.25">
      <c r="A284" s="222"/>
      <c r="B284" s="219"/>
      <c r="C284" s="229"/>
      <c r="D284" s="232"/>
      <c r="E284" s="235"/>
      <c r="F284" s="16">
        <v>55</v>
      </c>
      <c r="G284" s="34"/>
      <c r="H284" s="39"/>
      <c r="I284" s="39"/>
      <c r="J284" s="39"/>
      <c r="K284" s="39"/>
      <c r="L284" s="39"/>
      <c r="M284" s="39"/>
      <c r="N284" s="39"/>
      <c r="O284" s="39"/>
      <c r="P284" s="35"/>
      <c r="Q284" s="18"/>
      <c r="R284" s="34"/>
      <c r="S284" s="39"/>
      <c r="T284" s="39"/>
      <c r="U284" s="39"/>
      <c r="V284" s="39"/>
      <c r="W284" s="39"/>
      <c r="X284" s="39"/>
      <c r="Y284" s="39"/>
      <c r="Z284" s="39"/>
      <c r="AA284" s="35"/>
      <c r="AB284" s="50" t="e">
        <f t="shared" si="8"/>
        <v>#DIV/0!</v>
      </c>
      <c r="AC284" s="51" t="e">
        <f t="shared" si="8"/>
        <v>#DIV/0!</v>
      </c>
      <c r="AD284" s="19"/>
      <c r="AE284" s="19"/>
      <c r="AF284" s="285" t="s">
        <v>128</v>
      </c>
      <c r="AG284" s="240" t="e" cm="1">
        <f t="array" ref="AG284">bdRateExtend($G282:$G285,G282:G285,$R282:$R285,R282:R285)</f>
        <v>#VALUE!</v>
      </c>
      <c r="AH284" s="242"/>
      <c r="AI284" s="242"/>
      <c r="AJ284" s="245"/>
      <c r="AK284" s="240" t="e" cm="1">
        <f t="array" ref="AK284">bdRateExtend($G282:$G285,K282:K285,$R282:$R285,V282:V285)</f>
        <v>#VALUE!</v>
      </c>
      <c r="AL284" s="249"/>
      <c r="AM284" s="240" t="e" cm="1">
        <f t="array" ref="AM284">bdRateExtend($G282:$G285,L282:L285,$R282:$R285,W282:W285)</f>
        <v>#VALUE!</v>
      </c>
      <c r="AN284" s="249"/>
      <c r="AO284" s="252" t="e" cm="1">
        <f t="array" ref="AO284">bdRateExtend($G282:$G285,M282:M285,$R282:$R285,X282:X285)</f>
        <v>#VALUE!</v>
      </c>
      <c r="AP284" s="249"/>
    </row>
    <row r="285" spans="1:42" ht="17.100000000000001" customHeight="1" outlineLevel="5" thickBot="1" x14ac:dyDescent="0.3">
      <c r="A285" s="222"/>
      <c r="B285" s="220"/>
      <c r="C285" s="230"/>
      <c r="D285" s="233"/>
      <c r="E285" s="236"/>
      <c r="F285" s="9">
        <v>63</v>
      </c>
      <c r="G285" s="36"/>
      <c r="H285" s="37"/>
      <c r="I285" s="37"/>
      <c r="J285" s="37"/>
      <c r="K285" s="37"/>
      <c r="L285" s="37"/>
      <c r="M285" s="37"/>
      <c r="N285" s="37"/>
      <c r="O285" s="37"/>
      <c r="P285" s="38"/>
      <c r="Q285" s="18"/>
      <c r="R285" s="36"/>
      <c r="S285" s="37"/>
      <c r="T285" s="37"/>
      <c r="U285" s="37"/>
      <c r="V285" s="37"/>
      <c r="W285" s="37"/>
      <c r="X285" s="37"/>
      <c r="Y285" s="37"/>
      <c r="Z285" s="37"/>
      <c r="AA285" s="38"/>
      <c r="AB285" s="52" t="e">
        <f t="shared" si="8"/>
        <v>#DIV/0!</v>
      </c>
      <c r="AC285" s="53" t="e">
        <f t="shared" si="8"/>
        <v>#DIV/0!</v>
      </c>
      <c r="AD285" s="19"/>
      <c r="AE285" s="19"/>
      <c r="AF285" s="286"/>
      <c r="AG285" s="247"/>
      <c r="AH285" s="243"/>
      <c r="AI285" s="243"/>
      <c r="AJ285" s="246"/>
      <c r="AK285" s="247"/>
      <c r="AL285" s="250"/>
      <c r="AM285" s="247"/>
      <c r="AN285" s="250"/>
      <c r="AO285" s="253"/>
      <c r="AP285" s="250"/>
    </row>
    <row r="286" spans="1:42" ht="17.100000000000001" customHeight="1" outlineLevel="5" x14ac:dyDescent="0.25">
      <c r="A286" s="222"/>
      <c r="B286" s="218" t="s">
        <v>93</v>
      </c>
      <c r="C286" s="228" t="s">
        <v>75</v>
      </c>
      <c r="D286" s="231">
        <v>25</v>
      </c>
      <c r="E286" s="234">
        <v>8</v>
      </c>
      <c r="F286" s="7">
        <v>23</v>
      </c>
      <c r="G286" s="31"/>
      <c r="H286" s="32"/>
      <c r="I286" s="32"/>
      <c r="J286" s="32"/>
      <c r="K286" s="32"/>
      <c r="L286" s="32"/>
      <c r="M286" s="32"/>
      <c r="N286" s="32"/>
      <c r="O286" s="32"/>
      <c r="P286" s="33"/>
      <c r="Q286" s="18"/>
      <c r="R286" s="31"/>
      <c r="S286" s="32"/>
      <c r="T286" s="32"/>
      <c r="U286" s="32"/>
      <c r="V286" s="32"/>
      <c r="W286" s="32"/>
      <c r="X286" s="32"/>
      <c r="Y286" s="32"/>
      <c r="Z286" s="32"/>
      <c r="AA286" s="33"/>
      <c r="AB286" s="48" t="e">
        <f t="shared" si="8"/>
        <v>#DIV/0!</v>
      </c>
      <c r="AC286" s="49" t="e">
        <f t="shared" si="8"/>
        <v>#DIV/0!</v>
      </c>
      <c r="AD286" s="19"/>
      <c r="AE286" s="19"/>
      <c r="AF286" s="284" t="s">
        <v>126</v>
      </c>
      <c r="AG286" s="239" t="e" cm="1">
        <f t="array" ref="AG286">bdRateExtend($G286:$G289,G286:G289,$R286:$R289,R286:R289)</f>
        <v>#VALUE!</v>
      </c>
      <c r="AH286" s="241" t="e" cm="1">
        <f t="array" ref="AH286">bdRateExtend($G286:$G291,H286:H291,$R286:$R291,S286:S291)</f>
        <v>#VALUE!</v>
      </c>
      <c r="AI286" s="241" t="e" cm="1">
        <f t="array" ref="AI286">bdRateExtend($G286:$G291,I286:I291,$R286:$R291,T286:T291)</f>
        <v>#VALUE!</v>
      </c>
      <c r="AJ286" s="244" t="e" cm="1">
        <f t="array" ref="AJ286">bdRateExtend($G286:$G291,J286:J291,$R286:$R291,U286:U291)</f>
        <v>#VALUE!</v>
      </c>
      <c r="AK286" s="239" t="e" cm="1">
        <f t="array" ref="AK286">bdRateExtend($G286:$G289,K286:K289,$R286:$R289,V286:V289)</f>
        <v>#VALUE!</v>
      </c>
      <c r="AL286" s="248" t="e" cm="1">
        <f t="array" ref="AL286">bdRateExtend($G286:$G291,K286:K291,$R286:$R291,V286:V291)</f>
        <v>#VALUE!</v>
      </c>
      <c r="AM286" s="239" t="e" cm="1">
        <f t="array" ref="AM286">bdRateExtend($G286:$G289,L286:L289,$R286:$R289,W286:W289)</f>
        <v>#VALUE!</v>
      </c>
      <c r="AN286" s="248" t="e" cm="1">
        <f t="array" ref="AN286">bdRateExtend($G286:$G291,L286:L291,$R286:$R291,W286:W291)</f>
        <v>#VALUE!</v>
      </c>
      <c r="AO286" s="254" t="e" cm="1">
        <f t="array" ref="AO286">bdRateExtend($G286:$G289,M286:M289,$R286:$R289,X286:X289)</f>
        <v>#VALUE!</v>
      </c>
      <c r="AP286" s="248" t="e" cm="1">
        <f t="array" ref="AP286">bdRateExtend($G286:$G291,M286:M291,$R286:$R291,X286:X291)</f>
        <v>#VALUE!</v>
      </c>
    </row>
    <row r="287" spans="1:42" ht="17.100000000000001" customHeight="1" outlineLevel="5" x14ac:dyDescent="0.25">
      <c r="A287" s="222"/>
      <c r="B287" s="219"/>
      <c r="C287" s="229"/>
      <c r="D287" s="232"/>
      <c r="E287" s="235"/>
      <c r="F287" s="16">
        <v>31</v>
      </c>
      <c r="G287" s="34"/>
      <c r="H287" s="39"/>
      <c r="I287" s="39"/>
      <c r="J287" s="39"/>
      <c r="K287" s="39"/>
      <c r="L287" s="39"/>
      <c r="M287" s="39"/>
      <c r="N287" s="39"/>
      <c r="O287" s="39"/>
      <c r="P287" s="35"/>
      <c r="Q287" s="18"/>
      <c r="R287" s="34"/>
      <c r="S287" s="39"/>
      <c r="T287" s="39"/>
      <c r="U287" s="39"/>
      <c r="V287" s="39"/>
      <c r="W287" s="39"/>
      <c r="X287" s="39"/>
      <c r="Y287" s="39"/>
      <c r="Z287" s="39"/>
      <c r="AA287" s="35"/>
      <c r="AB287" s="50" t="e">
        <f t="shared" si="8"/>
        <v>#DIV/0!</v>
      </c>
      <c r="AC287" s="51" t="e">
        <f t="shared" si="8"/>
        <v>#DIV/0!</v>
      </c>
      <c r="AD287" s="19"/>
      <c r="AE287" s="19"/>
      <c r="AF287" s="285"/>
      <c r="AG287" s="240"/>
      <c r="AH287" s="242"/>
      <c r="AI287" s="242"/>
      <c r="AJ287" s="245"/>
      <c r="AK287" s="240"/>
      <c r="AL287" s="249"/>
      <c r="AM287" s="240"/>
      <c r="AN287" s="249"/>
      <c r="AO287" s="252"/>
      <c r="AP287" s="249"/>
    </row>
    <row r="288" spans="1:42" ht="17.100000000000001" customHeight="1" outlineLevel="5" x14ac:dyDescent="0.25">
      <c r="A288" s="222"/>
      <c r="B288" s="219"/>
      <c r="C288" s="229"/>
      <c r="D288" s="232"/>
      <c r="E288" s="235"/>
      <c r="F288" s="16">
        <v>39</v>
      </c>
      <c r="G288" s="34"/>
      <c r="H288" s="39"/>
      <c r="I288" s="39"/>
      <c r="J288" s="39"/>
      <c r="K288" s="39"/>
      <c r="L288" s="39"/>
      <c r="M288" s="39"/>
      <c r="N288" s="39"/>
      <c r="O288" s="39"/>
      <c r="P288" s="35"/>
      <c r="Q288" s="18"/>
      <c r="R288" s="34"/>
      <c r="S288" s="39"/>
      <c r="T288" s="39"/>
      <c r="U288" s="39"/>
      <c r="V288" s="39"/>
      <c r="W288" s="39"/>
      <c r="X288" s="39"/>
      <c r="Y288" s="39"/>
      <c r="Z288" s="39"/>
      <c r="AA288" s="35"/>
      <c r="AB288" s="50" t="e">
        <f t="shared" si="8"/>
        <v>#DIV/0!</v>
      </c>
      <c r="AC288" s="51" t="e">
        <f t="shared" si="8"/>
        <v>#DIV/0!</v>
      </c>
      <c r="AD288" s="19"/>
      <c r="AE288" s="19"/>
      <c r="AF288" s="285" t="s">
        <v>127</v>
      </c>
      <c r="AG288" s="240" t="e" cm="1">
        <f t="array" ref="AG288">bdRateExtend($G287:$G290,G287:G290,$R287:$R290,R287:R290)</f>
        <v>#VALUE!</v>
      </c>
      <c r="AH288" s="242"/>
      <c r="AI288" s="242"/>
      <c r="AJ288" s="245"/>
      <c r="AK288" s="240" t="e" cm="1">
        <f t="array" ref="AK288">bdRateExtend($G287:$G290,K287:K290,$R287:$R290,V287:V290)</f>
        <v>#VALUE!</v>
      </c>
      <c r="AL288" s="249"/>
      <c r="AM288" s="240" t="e" cm="1">
        <f t="array" ref="AM288">bdRateExtend($G287:$G290,L287:L290,$R287:$R290,W287:W290)</f>
        <v>#VALUE!</v>
      </c>
      <c r="AN288" s="249"/>
      <c r="AO288" s="252" t="e" cm="1">
        <f t="array" ref="AO288">bdRateExtend($G287:$G290,M287:M290,$R287:$R290,X287:X290)</f>
        <v>#VALUE!</v>
      </c>
      <c r="AP288" s="249"/>
    </row>
    <row r="289" spans="1:42" ht="17.100000000000001" customHeight="1" outlineLevel="5" x14ac:dyDescent="0.25">
      <c r="A289" s="222"/>
      <c r="B289" s="219"/>
      <c r="C289" s="229"/>
      <c r="D289" s="232"/>
      <c r="E289" s="235"/>
      <c r="F289" s="16">
        <v>47</v>
      </c>
      <c r="G289" s="34"/>
      <c r="H289" s="39"/>
      <c r="I289" s="39"/>
      <c r="J289" s="39"/>
      <c r="K289" s="39"/>
      <c r="L289" s="39"/>
      <c r="M289" s="39"/>
      <c r="N289" s="39"/>
      <c r="O289" s="39"/>
      <c r="P289" s="35"/>
      <c r="Q289" s="18"/>
      <c r="R289" s="34"/>
      <c r="S289" s="39"/>
      <c r="T289" s="39"/>
      <c r="U289" s="39"/>
      <c r="V289" s="39"/>
      <c r="W289" s="39"/>
      <c r="X289" s="39"/>
      <c r="Y289" s="39"/>
      <c r="Z289" s="39"/>
      <c r="AA289" s="35"/>
      <c r="AB289" s="50" t="e">
        <f t="shared" si="8"/>
        <v>#DIV/0!</v>
      </c>
      <c r="AC289" s="51" t="e">
        <f t="shared" si="8"/>
        <v>#DIV/0!</v>
      </c>
      <c r="AD289" s="19"/>
      <c r="AE289" s="19"/>
      <c r="AF289" s="285"/>
      <c r="AG289" s="240"/>
      <c r="AH289" s="242"/>
      <c r="AI289" s="242"/>
      <c r="AJ289" s="245"/>
      <c r="AK289" s="240"/>
      <c r="AL289" s="249"/>
      <c r="AM289" s="240"/>
      <c r="AN289" s="249"/>
      <c r="AO289" s="252"/>
      <c r="AP289" s="249"/>
    </row>
    <row r="290" spans="1:42" ht="17.100000000000001" customHeight="1" outlineLevel="5" x14ac:dyDescent="0.25">
      <c r="A290" s="222"/>
      <c r="B290" s="219"/>
      <c r="C290" s="229"/>
      <c r="D290" s="232"/>
      <c r="E290" s="235"/>
      <c r="F290" s="16">
        <v>55</v>
      </c>
      <c r="G290" s="34"/>
      <c r="H290" s="39"/>
      <c r="I290" s="39"/>
      <c r="J290" s="39"/>
      <c r="K290" s="39"/>
      <c r="L290" s="39"/>
      <c r="M290" s="39"/>
      <c r="N290" s="39"/>
      <c r="O290" s="39"/>
      <c r="P290" s="35"/>
      <c r="Q290" s="18"/>
      <c r="R290" s="34"/>
      <c r="S290" s="39"/>
      <c r="T290" s="39"/>
      <c r="U290" s="39"/>
      <c r="V290" s="39"/>
      <c r="W290" s="39"/>
      <c r="X290" s="39"/>
      <c r="Y290" s="39"/>
      <c r="Z290" s="39"/>
      <c r="AA290" s="35"/>
      <c r="AB290" s="50" t="e">
        <f t="shared" si="8"/>
        <v>#DIV/0!</v>
      </c>
      <c r="AC290" s="51" t="e">
        <f t="shared" si="8"/>
        <v>#DIV/0!</v>
      </c>
      <c r="AD290" s="19"/>
      <c r="AE290" s="19"/>
      <c r="AF290" s="285" t="s">
        <v>128</v>
      </c>
      <c r="AG290" s="240" t="e" cm="1">
        <f t="array" ref="AG290">bdRateExtend($G288:$G291,G288:G291,$R288:$R291,R288:R291)</f>
        <v>#VALUE!</v>
      </c>
      <c r="AH290" s="242"/>
      <c r="AI290" s="242"/>
      <c r="AJ290" s="245"/>
      <c r="AK290" s="240" t="e" cm="1">
        <f t="array" ref="AK290">bdRateExtend($G288:$G291,K288:K291,$R288:$R291,V288:V291)</f>
        <v>#VALUE!</v>
      </c>
      <c r="AL290" s="249"/>
      <c r="AM290" s="240" t="e" cm="1">
        <f t="array" ref="AM290">bdRateExtend($G288:$G291,L288:L291,$R288:$R291,W288:W291)</f>
        <v>#VALUE!</v>
      </c>
      <c r="AN290" s="249"/>
      <c r="AO290" s="252" t="e" cm="1">
        <f t="array" ref="AO290">bdRateExtend($G288:$G291,M288:M291,$R288:$R291,X288:X291)</f>
        <v>#VALUE!</v>
      </c>
      <c r="AP290" s="249"/>
    </row>
    <row r="291" spans="1:42" ht="17.100000000000001" customHeight="1" outlineLevel="5" thickBot="1" x14ac:dyDescent="0.3">
      <c r="A291" s="222"/>
      <c r="B291" s="220"/>
      <c r="C291" s="230"/>
      <c r="D291" s="233"/>
      <c r="E291" s="236"/>
      <c r="F291" s="9">
        <v>63</v>
      </c>
      <c r="G291" s="36"/>
      <c r="H291" s="37"/>
      <c r="I291" s="37"/>
      <c r="J291" s="37"/>
      <c r="K291" s="37"/>
      <c r="L291" s="37"/>
      <c r="M291" s="37"/>
      <c r="N291" s="37"/>
      <c r="O291" s="37"/>
      <c r="P291" s="38"/>
      <c r="Q291" s="18"/>
      <c r="R291" s="36"/>
      <c r="S291" s="37"/>
      <c r="T291" s="37"/>
      <c r="U291" s="37"/>
      <c r="V291" s="37"/>
      <c r="W291" s="37"/>
      <c r="X291" s="37"/>
      <c r="Y291" s="37"/>
      <c r="Z291" s="37"/>
      <c r="AA291" s="38"/>
      <c r="AB291" s="52" t="e">
        <f t="shared" si="8"/>
        <v>#DIV/0!</v>
      </c>
      <c r="AC291" s="53" t="e">
        <f t="shared" si="8"/>
        <v>#DIV/0!</v>
      </c>
      <c r="AD291" s="19"/>
      <c r="AE291" s="19"/>
      <c r="AF291" s="286"/>
      <c r="AG291" s="247"/>
      <c r="AH291" s="243"/>
      <c r="AI291" s="243"/>
      <c r="AJ291" s="246"/>
      <c r="AK291" s="247"/>
      <c r="AL291" s="250"/>
      <c r="AM291" s="247"/>
      <c r="AN291" s="250"/>
      <c r="AO291" s="253"/>
      <c r="AP291" s="250"/>
    </row>
    <row r="292" spans="1:42" ht="17.100000000000001" customHeight="1" outlineLevel="5" x14ac:dyDescent="0.25">
      <c r="A292" s="222"/>
      <c r="B292" s="218" t="s">
        <v>2</v>
      </c>
      <c r="C292" s="228" t="s">
        <v>76</v>
      </c>
      <c r="D292" s="231">
        <v>60</v>
      </c>
      <c r="E292" s="234" t="s">
        <v>23</v>
      </c>
      <c r="F292" s="7">
        <v>23</v>
      </c>
      <c r="G292" s="31"/>
      <c r="H292" s="32"/>
      <c r="I292" s="32"/>
      <c r="J292" s="32"/>
      <c r="K292" s="32"/>
      <c r="L292" s="32"/>
      <c r="M292" s="32"/>
      <c r="N292" s="32"/>
      <c r="O292" s="32"/>
      <c r="P292" s="33"/>
      <c r="Q292" s="18"/>
      <c r="R292" s="31"/>
      <c r="S292" s="32"/>
      <c r="T292" s="32"/>
      <c r="U292" s="32"/>
      <c r="V292" s="32"/>
      <c r="W292" s="32"/>
      <c r="X292" s="32"/>
      <c r="Y292" s="32"/>
      <c r="Z292" s="32"/>
      <c r="AA292" s="33"/>
      <c r="AB292" s="48" t="e">
        <f t="shared" si="8"/>
        <v>#DIV/0!</v>
      </c>
      <c r="AC292" s="49" t="e">
        <f t="shared" si="8"/>
        <v>#DIV/0!</v>
      </c>
      <c r="AD292" s="19"/>
      <c r="AE292" s="19"/>
      <c r="AF292" s="284" t="s">
        <v>126</v>
      </c>
      <c r="AG292" s="239" t="e" cm="1">
        <f t="array" ref="AG292">bdRateExtend($G292:$G295,G292:G295,$R292:$R295,R292:R295)</f>
        <v>#VALUE!</v>
      </c>
      <c r="AH292" s="241" t="e" cm="1">
        <f t="array" ref="AH292">bdRateExtend($G292:$G297,H292:H297,$R292:$R297,S292:S297)</f>
        <v>#VALUE!</v>
      </c>
      <c r="AI292" s="241" t="e" cm="1">
        <f t="array" ref="AI292">bdRateExtend($G292:$G297,I292:I297,$R292:$R297,T292:T297)</f>
        <v>#VALUE!</v>
      </c>
      <c r="AJ292" s="244" t="e" cm="1">
        <f t="array" ref="AJ292">bdRateExtend($G292:$G297,J292:J297,$R292:$R297,U292:U297)</f>
        <v>#VALUE!</v>
      </c>
      <c r="AK292" s="239" t="e" cm="1">
        <f t="array" ref="AK292">bdRateExtend($G292:$G295,K292:K295,$R292:$R295,V292:V295)</f>
        <v>#VALUE!</v>
      </c>
      <c r="AL292" s="248" t="e" cm="1">
        <f t="array" ref="AL292">bdRateExtend($G292:$G297,K292:K297,$R292:$R297,V292:V297)</f>
        <v>#VALUE!</v>
      </c>
      <c r="AM292" s="239" t="e" cm="1">
        <f t="array" ref="AM292">bdRateExtend($G292:$G295,L292:L295,$R292:$R295,W292:W295)</f>
        <v>#VALUE!</v>
      </c>
      <c r="AN292" s="248" t="e" cm="1">
        <f t="array" ref="AN292">bdRateExtend($G292:$G297,L292:L297,$R292:$R297,W292:W297)</f>
        <v>#VALUE!</v>
      </c>
      <c r="AO292" s="254" t="e" cm="1">
        <f t="array" ref="AO292">bdRateExtend($G292:$G295,M292:M295,$R292:$R295,X292:X295)</f>
        <v>#VALUE!</v>
      </c>
      <c r="AP292" s="248" t="e" cm="1">
        <f t="array" ref="AP292">bdRateExtend($G292:$G297,M292:M297,$R292:$R297,X292:X297)</f>
        <v>#VALUE!</v>
      </c>
    </row>
    <row r="293" spans="1:42" ht="17.100000000000001" customHeight="1" outlineLevel="5" x14ac:dyDescent="0.25">
      <c r="A293" s="222"/>
      <c r="B293" s="219"/>
      <c r="C293" s="229"/>
      <c r="D293" s="232"/>
      <c r="E293" s="235"/>
      <c r="F293" s="16">
        <v>31</v>
      </c>
      <c r="G293" s="34"/>
      <c r="H293" s="39"/>
      <c r="I293" s="39"/>
      <c r="J293" s="39"/>
      <c r="K293" s="39"/>
      <c r="L293" s="39"/>
      <c r="M293" s="39"/>
      <c r="N293" s="39"/>
      <c r="O293" s="39"/>
      <c r="P293" s="35"/>
      <c r="Q293" s="18"/>
      <c r="R293" s="34"/>
      <c r="S293" s="39"/>
      <c r="T293" s="39"/>
      <c r="U293" s="39"/>
      <c r="V293" s="39"/>
      <c r="W293" s="39"/>
      <c r="X293" s="39"/>
      <c r="Y293" s="39"/>
      <c r="Z293" s="39"/>
      <c r="AA293" s="35"/>
      <c r="AB293" s="50" t="e">
        <f t="shared" si="8"/>
        <v>#DIV/0!</v>
      </c>
      <c r="AC293" s="51" t="e">
        <f t="shared" si="8"/>
        <v>#DIV/0!</v>
      </c>
      <c r="AD293" s="19"/>
      <c r="AE293" s="19"/>
      <c r="AF293" s="285"/>
      <c r="AG293" s="240"/>
      <c r="AH293" s="242"/>
      <c r="AI293" s="242"/>
      <c r="AJ293" s="245"/>
      <c r="AK293" s="240"/>
      <c r="AL293" s="249"/>
      <c r="AM293" s="240"/>
      <c r="AN293" s="249"/>
      <c r="AO293" s="252"/>
      <c r="AP293" s="249"/>
    </row>
    <row r="294" spans="1:42" ht="17.100000000000001" customHeight="1" outlineLevel="5" x14ac:dyDescent="0.25">
      <c r="A294" s="222"/>
      <c r="B294" s="219"/>
      <c r="C294" s="229"/>
      <c r="D294" s="232"/>
      <c r="E294" s="235"/>
      <c r="F294" s="16">
        <v>39</v>
      </c>
      <c r="G294" s="34"/>
      <c r="H294" s="39"/>
      <c r="I294" s="39"/>
      <c r="J294" s="39"/>
      <c r="K294" s="39"/>
      <c r="L294" s="39"/>
      <c r="M294" s="39"/>
      <c r="N294" s="39"/>
      <c r="O294" s="39"/>
      <c r="P294" s="35"/>
      <c r="Q294" s="18"/>
      <c r="R294" s="34"/>
      <c r="S294" s="39"/>
      <c r="T294" s="39"/>
      <c r="U294" s="39"/>
      <c r="V294" s="39"/>
      <c r="W294" s="39"/>
      <c r="X294" s="39"/>
      <c r="Y294" s="39"/>
      <c r="Z294" s="39"/>
      <c r="AA294" s="35"/>
      <c r="AB294" s="50" t="e">
        <f t="shared" ref="AB294:AC357" si="9">Y294/N294</f>
        <v>#DIV/0!</v>
      </c>
      <c r="AC294" s="51" t="e">
        <f t="shared" si="9"/>
        <v>#DIV/0!</v>
      </c>
      <c r="AD294" s="19"/>
      <c r="AE294" s="19"/>
      <c r="AF294" s="285" t="s">
        <v>127</v>
      </c>
      <c r="AG294" s="240" t="e" cm="1">
        <f t="array" ref="AG294">bdRateExtend($G293:$G296,G293:G296,$R293:$R296,R293:R296)</f>
        <v>#VALUE!</v>
      </c>
      <c r="AH294" s="242"/>
      <c r="AI294" s="242"/>
      <c r="AJ294" s="245"/>
      <c r="AK294" s="240" t="e" cm="1">
        <f t="array" ref="AK294">bdRateExtend($G293:$G296,K293:K296,$R293:$R296,V293:V296)</f>
        <v>#VALUE!</v>
      </c>
      <c r="AL294" s="249"/>
      <c r="AM294" s="240" t="e" cm="1">
        <f t="array" ref="AM294">bdRateExtend($G293:$G296,L293:L296,$R293:$R296,W293:W296)</f>
        <v>#VALUE!</v>
      </c>
      <c r="AN294" s="249"/>
      <c r="AO294" s="252" t="e" cm="1">
        <f t="array" ref="AO294">bdRateExtend($G293:$G296,M293:M296,$R293:$R296,X293:X296)</f>
        <v>#VALUE!</v>
      </c>
      <c r="AP294" s="249"/>
    </row>
    <row r="295" spans="1:42" ht="17.100000000000001" customHeight="1" outlineLevel="5" x14ac:dyDescent="0.25">
      <c r="A295" s="222"/>
      <c r="B295" s="219"/>
      <c r="C295" s="229"/>
      <c r="D295" s="232"/>
      <c r="E295" s="235"/>
      <c r="F295" s="16">
        <v>47</v>
      </c>
      <c r="G295" s="34"/>
      <c r="H295" s="39"/>
      <c r="I295" s="39"/>
      <c r="J295" s="39"/>
      <c r="K295" s="39"/>
      <c r="L295" s="39"/>
      <c r="M295" s="39"/>
      <c r="N295" s="39"/>
      <c r="O295" s="39"/>
      <c r="P295" s="35"/>
      <c r="Q295" s="18"/>
      <c r="R295" s="34"/>
      <c r="S295" s="39"/>
      <c r="T295" s="39"/>
      <c r="U295" s="39"/>
      <c r="V295" s="39"/>
      <c r="W295" s="39"/>
      <c r="X295" s="39"/>
      <c r="Y295" s="39"/>
      <c r="Z295" s="39"/>
      <c r="AA295" s="35"/>
      <c r="AB295" s="50" t="e">
        <f t="shared" si="9"/>
        <v>#DIV/0!</v>
      </c>
      <c r="AC295" s="51" t="e">
        <f t="shared" si="9"/>
        <v>#DIV/0!</v>
      </c>
      <c r="AD295" s="19"/>
      <c r="AE295" s="19"/>
      <c r="AF295" s="285"/>
      <c r="AG295" s="240"/>
      <c r="AH295" s="242"/>
      <c r="AI295" s="242"/>
      <c r="AJ295" s="245"/>
      <c r="AK295" s="240"/>
      <c r="AL295" s="249"/>
      <c r="AM295" s="240"/>
      <c r="AN295" s="249"/>
      <c r="AO295" s="252"/>
      <c r="AP295" s="249"/>
    </row>
    <row r="296" spans="1:42" ht="17.100000000000001" customHeight="1" outlineLevel="5" x14ac:dyDescent="0.25">
      <c r="A296" s="222"/>
      <c r="B296" s="219"/>
      <c r="C296" s="229"/>
      <c r="D296" s="232"/>
      <c r="E296" s="235"/>
      <c r="F296" s="16">
        <v>55</v>
      </c>
      <c r="G296" s="34"/>
      <c r="H296" s="39"/>
      <c r="I296" s="39"/>
      <c r="J296" s="39"/>
      <c r="K296" s="39"/>
      <c r="L296" s="39"/>
      <c r="M296" s="39"/>
      <c r="N296" s="39"/>
      <c r="O296" s="39"/>
      <c r="P296" s="35"/>
      <c r="Q296" s="18"/>
      <c r="R296" s="34"/>
      <c r="S296" s="39"/>
      <c r="T296" s="39"/>
      <c r="U296" s="39"/>
      <c r="V296" s="39"/>
      <c r="W296" s="39"/>
      <c r="X296" s="39"/>
      <c r="Y296" s="39"/>
      <c r="Z296" s="39"/>
      <c r="AA296" s="35"/>
      <c r="AB296" s="50" t="e">
        <f t="shared" si="9"/>
        <v>#DIV/0!</v>
      </c>
      <c r="AC296" s="51" t="e">
        <f t="shared" si="9"/>
        <v>#DIV/0!</v>
      </c>
      <c r="AD296" s="19"/>
      <c r="AE296" s="19"/>
      <c r="AF296" s="285" t="s">
        <v>128</v>
      </c>
      <c r="AG296" s="240" t="e" cm="1">
        <f t="array" ref="AG296">bdRateExtend($G294:$G297,G294:G297,$R294:$R297,R294:R297)</f>
        <v>#VALUE!</v>
      </c>
      <c r="AH296" s="242"/>
      <c r="AI296" s="242"/>
      <c r="AJ296" s="245"/>
      <c r="AK296" s="240" t="e" cm="1">
        <f t="array" ref="AK296">bdRateExtend($G294:$G297,K294:K297,$R294:$R297,V294:V297)</f>
        <v>#VALUE!</v>
      </c>
      <c r="AL296" s="249"/>
      <c r="AM296" s="240" t="e" cm="1">
        <f t="array" ref="AM296">bdRateExtend($G294:$G297,L294:L297,$R294:$R297,W294:W297)</f>
        <v>#VALUE!</v>
      </c>
      <c r="AN296" s="249"/>
      <c r="AO296" s="252" t="e" cm="1">
        <f t="array" ref="AO296">bdRateExtend($G294:$G297,M294:M297,$R294:$R297,X294:X297)</f>
        <v>#VALUE!</v>
      </c>
      <c r="AP296" s="249"/>
    </row>
    <row r="297" spans="1:42" ht="17.100000000000001" customHeight="1" outlineLevel="5" thickBot="1" x14ac:dyDescent="0.3">
      <c r="A297" s="222"/>
      <c r="B297" s="220"/>
      <c r="C297" s="230"/>
      <c r="D297" s="233"/>
      <c r="E297" s="236"/>
      <c r="F297" s="9">
        <v>63</v>
      </c>
      <c r="G297" s="36"/>
      <c r="H297" s="37"/>
      <c r="I297" s="37"/>
      <c r="J297" s="37"/>
      <c r="K297" s="37"/>
      <c r="L297" s="37"/>
      <c r="M297" s="37"/>
      <c r="N297" s="37"/>
      <c r="O297" s="37"/>
      <c r="P297" s="38"/>
      <c r="Q297" s="18"/>
      <c r="R297" s="36"/>
      <c r="S297" s="37"/>
      <c r="T297" s="37"/>
      <c r="U297" s="37"/>
      <c r="V297" s="37"/>
      <c r="W297" s="37"/>
      <c r="X297" s="37"/>
      <c r="Y297" s="37"/>
      <c r="Z297" s="37"/>
      <c r="AA297" s="38"/>
      <c r="AB297" s="52" t="e">
        <f t="shared" si="9"/>
        <v>#DIV/0!</v>
      </c>
      <c r="AC297" s="53" t="e">
        <f t="shared" si="9"/>
        <v>#DIV/0!</v>
      </c>
      <c r="AD297" s="19"/>
      <c r="AE297" s="19"/>
      <c r="AF297" s="286"/>
      <c r="AG297" s="247"/>
      <c r="AH297" s="243"/>
      <c r="AI297" s="243"/>
      <c r="AJ297" s="246"/>
      <c r="AK297" s="247"/>
      <c r="AL297" s="250"/>
      <c r="AM297" s="247"/>
      <c r="AN297" s="250"/>
      <c r="AO297" s="253"/>
      <c r="AP297" s="250"/>
    </row>
    <row r="298" spans="1:42" ht="17.100000000000001" customHeight="1" outlineLevel="5" x14ac:dyDescent="0.25">
      <c r="A298" s="222"/>
      <c r="B298" s="218" t="s">
        <v>2</v>
      </c>
      <c r="C298" s="228" t="s">
        <v>77</v>
      </c>
      <c r="D298" s="231">
        <v>24</v>
      </c>
      <c r="E298" s="234">
        <v>10</v>
      </c>
      <c r="F298" s="7">
        <v>23</v>
      </c>
      <c r="G298" s="31"/>
      <c r="H298" s="32"/>
      <c r="I298" s="32"/>
      <c r="J298" s="32"/>
      <c r="K298" s="32"/>
      <c r="L298" s="32"/>
      <c r="M298" s="32"/>
      <c r="N298" s="32"/>
      <c r="O298" s="32"/>
      <c r="P298" s="33"/>
      <c r="Q298" s="18"/>
      <c r="R298" s="31"/>
      <c r="S298" s="32"/>
      <c r="T298" s="32"/>
      <c r="U298" s="32"/>
      <c r="V298" s="32"/>
      <c r="W298" s="32"/>
      <c r="X298" s="32"/>
      <c r="Y298" s="32"/>
      <c r="Z298" s="32"/>
      <c r="AA298" s="33"/>
      <c r="AB298" s="48" t="e">
        <f t="shared" si="9"/>
        <v>#DIV/0!</v>
      </c>
      <c r="AC298" s="49" t="e">
        <f t="shared" si="9"/>
        <v>#DIV/0!</v>
      </c>
      <c r="AD298" s="19"/>
      <c r="AE298" s="19"/>
      <c r="AF298" s="284" t="s">
        <v>126</v>
      </c>
      <c r="AG298" s="239" t="e" cm="1">
        <f t="array" ref="AG298">bdRateExtend($G298:$G301,G298:G301,$R298:$R301,R298:R301)</f>
        <v>#VALUE!</v>
      </c>
      <c r="AH298" s="241" t="e" cm="1">
        <f t="array" ref="AH298">bdRateExtend($G298:$G303,H298:H303,$R298:$R303,S298:S303)</f>
        <v>#VALUE!</v>
      </c>
      <c r="AI298" s="241" t="e" cm="1">
        <f t="array" ref="AI298">bdRateExtend($G298:$G303,I298:I303,$R298:$R303,T298:T303)</f>
        <v>#VALUE!</v>
      </c>
      <c r="AJ298" s="244" t="e" cm="1">
        <f t="array" ref="AJ298">bdRateExtend($G298:$G303,J298:J303,$R298:$R303,U298:U303)</f>
        <v>#VALUE!</v>
      </c>
      <c r="AK298" s="239" t="e" cm="1">
        <f t="array" ref="AK298">bdRateExtend($G298:$G301,K298:K301,$R298:$R301,V298:V301)</f>
        <v>#VALUE!</v>
      </c>
      <c r="AL298" s="248" t="e" cm="1">
        <f t="array" ref="AL298">bdRateExtend($G298:$G303,K298:K303,$R298:$R303,V298:V303)</f>
        <v>#VALUE!</v>
      </c>
      <c r="AM298" s="239" t="e" cm="1">
        <f t="array" ref="AM298">bdRateExtend($G298:$G301,L298:L301,$R298:$R301,W298:W301)</f>
        <v>#VALUE!</v>
      </c>
      <c r="AN298" s="248" t="e" cm="1">
        <f t="array" ref="AN298">bdRateExtend($G298:$G303,L298:L303,$R298:$R303,W298:W303)</f>
        <v>#VALUE!</v>
      </c>
      <c r="AO298" s="254" t="e" cm="1">
        <f t="array" ref="AO298">bdRateExtend($G298:$G301,M298:M301,$R298:$R301,X298:X301)</f>
        <v>#VALUE!</v>
      </c>
      <c r="AP298" s="248" t="e" cm="1">
        <f t="array" ref="AP298">bdRateExtend($G298:$G303,M298:M303,$R298:$R303,X298:X303)</f>
        <v>#VALUE!</v>
      </c>
    </row>
    <row r="299" spans="1:42" ht="17.100000000000001" customHeight="1" outlineLevel="5" x14ac:dyDescent="0.25">
      <c r="A299" s="222"/>
      <c r="B299" s="219"/>
      <c r="C299" s="229"/>
      <c r="D299" s="232"/>
      <c r="E299" s="235"/>
      <c r="F299" s="16">
        <v>31</v>
      </c>
      <c r="G299" s="34"/>
      <c r="H299" s="39"/>
      <c r="I299" s="39"/>
      <c r="J299" s="39"/>
      <c r="K299" s="39"/>
      <c r="L299" s="39"/>
      <c r="M299" s="39"/>
      <c r="N299" s="39"/>
      <c r="O299" s="39"/>
      <c r="P299" s="35"/>
      <c r="Q299" s="18"/>
      <c r="R299" s="34"/>
      <c r="S299" s="39"/>
      <c r="T299" s="39"/>
      <c r="U299" s="39"/>
      <c r="V299" s="39"/>
      <c r="W299" s="39"/>
      <c r="X299" s="39"/>
      <c r="Y299" s="39"/>
      <c r="Z299" s="39"/>
      <c r="AA299" s="35"/>
      <c r="AB299" s="50" t="e">
        <f t="shared" si="9"/>
        <v>#DIV/0!</v>
      </c>
      <c r="AC299" s="51" t="e">
        <f t="shared" si="9"/>
        <v>#DIV/0!</v>
      </c>
      <c r="AD299" s="19"/>
      <c r="AE299" s="19"/>
      <c r="AF299" s="285"/>
      <c r="AG299" s="240"/>
      <c r="AH299" s="242"/>
      <c r="AI299" s="242"/>
      <c r="AJ299" s="245"/>
      <c r="AK299" s="240"/>
      <c r="AL299" s="249"/>
      <c r="AM299" s="240"/>
      <c r="AN299" s="249"/>
      <c r="AO299" s="252"/>
      <c r="AP299" s="249"/>
    </row>
    <row r="300" spans="1:42" ht="17.100000000000001" customHeight="1" outlineLevel="5" x14ac:dyDescent="0.25">
      <c r="A300" s="222"/>
      <c r="B300" s="219"/>
      <c r="C300" s="229"/>
      <c r="D300" s="232"/>
      <c r="E300" s="235"/>
      <c r="F300" s="16">
        <v>39</v>
      </c>
      <c r="G300" s="34"/>
      <c r="H300" s="39"/>
      <c r="I300" s="39"/>
      <c r="J300" s="39"/>
      <c r="K300" s="39"/>
      <c r="L300" s="39"/>
      <c r="M300" s="39"/>
      <c r="N300" s="39"/>
      <c r="O300" s="39"/>
      <c r="P300" s="35"/>
      <c r="Q300" s="18"/>
      <c r="R300" s="34"/>
      <c r="S300" s="39"/>
      <c r="T300" s="39"/>
      <c r="U300" s="39"/>
      <c r="V300" s="39"/>
      <c r="W300" s="39"/>
      <c r="X300" s="39"/>
      <c r="Y300" s="39"/>
      <c r="Z300" s="39"/>
      <c r="AA300" s="35"/>
      <c r="AB300" s="50" t="e">
        <f t="shared" si="9"/>
        <v>#DIV/0!</v>
      </c>
      <c r="AC300" s="51" t="e">
        <f t="shared" si="9"/>
        <v>#DIV/0!</v>
      </c>
      <c r="AD300" s="19"/>
      <c r="AE300" s="19"/>
      <c r="AF300" s="285" t="s">
        <v>127</v>
      </c>
      <c r="AG300" s="240" t="e" cm="1">
        <f t="array" ref="AG300">bdRateExtend($G299:$G302,G299:G302,$R299:$R302,R299:R302)</f>
        <v>#VALUE!</v>
      </c>
      <c r="AH300" s="242"/>
      <c r="AI300" s="242"/>
      <c r="AJ300" s="245"/>
      <c r="AK300" s="240" t="e" cm="1">
        <f t="array" ref="AK300">bdRateExtend($G299:$G302,K299:K302,$R299:$R302,V299:V302)</f>
        <v>#VALUE!</v>
      </c>
      <c r="AL300" s="249"/>
      <c r="AM300" s="240" t="e" cm="1">
        <f t="array" ref="AM300">bdRateExtend($G299:$G302,L299:L302,$R299:$R302,W299:W302)</f>
        <v>#VALUE!</v>
      </c>
      <c r="AN300" s="249"/>
      <c r="AO300" s="252" t="e" cm="1">
        <f t="array" ref="AO300">bdRateExtend($G299:$G302,M299:M302,$R299:$R302,X299:X302)</f>
        <v>#VALUE!</v>
      </c>
      <c r="AP300" s="249"/>
    </row>
    <row r="301" spans="1:42" ht="17.100000000000001" customHeight="1" outlineLevel="5" x14ac:dyDescent="0.25">
      <c r="A301" s="222"/>
      <c r="B301" s="219"/>
      <c r="C301" s="229"/>
      <c r="D301" s="232"/>
      <c r="E301" s="235"/>
      <c r="F301" s="16">
        <v>47</v>
      </c>
      <c r="G301" s="34"/>
      <c r="H301" s="39"/>
      <c r="I301" s="39"/>
      <c r="J301" s="39"/>
      <c r="K301" s="39"/>
      <c r="L301" s="39"/>
      <c r="M301" s="39"/>
      <c r="N301" s="39"/>
      <c r="O301" s="39"/>
      <c r="P301" s="35"/>
      <c r="Q301" s="18"/>
      <c r="R301" s="34"/>
      <c r="S301" s="39"/>
      <c r="T301" s="39"/>
      <c r="U301" s="39"/>
      <c r="V301" s="39"/>
      <c r="W301" s="39"/>
      <c r="X301" s="39"/>
      <c r="Y301" s="39"/>
      <c r="Z301" s="39"/>
      <c r="AA301" s="35"/>
      <c r="AB301" s="50" t="e">
        <f t="shared" si="9"/>
        <v>#DIV/0!</v>
      </c>
      <c r="AC301" s="51" t="e">
        <f t="shared" si="9"/>
        <v>#DIV/0!</v>
      </c>
      <c r="AD301" s="19"/>
      <c r="AE301" s="19"/>
      <c r="AF301" s="285"/>
      <c r="AG301" s="240"/>
      <c r="AH301" s="242"/>
      <c r="AI301" s="242"/>
      <c r="AJ301" s="245"/>
      <c r="AK301" s="240"/>
      <c r="AL301" s="249"/>
      <c r="AM301" s="240"/>
      <c r="AN301" s="249"/>
      <c r="AO301" s="252"/>
      <c r="AP301" s="249"/>
    </row>
    <row r="302" spans="1:42" ht="17.100000000000001" customHeight="1" outlineLevel="5" x14ac:dyDescent="0.25">
      <c r="A302" s="222"/>
      <c r="B302" s="219"/>
      <c r="C302" s="229"/>
      <c r="D302" s="232"/>
      <c r="E302" s="235"/>
      <c r="F302" s="16">
        <v>55</v>
      </c>
      <c r="G302" s="34"/>
      <c r="H302" s="39"/>
      <c r="I302" s="39"/>
      <c r="J302" s="39"/>
      <c r="K302" s="39"/>
      <c r="L302" s="39"/>
      <c r="M302" s="39"/>
      <c r="N302" s="39"/>
      <c r="O302" s="39"/>
      <c r="P302" s="35"/>
      <c r="Q302" s="18"/>
      <c r="R302" s="34"/>
      <c r="S302" s="39"/>
      <c r="T302" s="39"/>
      <c r="U302" s="39"/>
      <c r="V302" s="39"/>
      <c r="W302" s="39"/>
      <c r="X302" s="39"/>
      <c r="Y302" s="39"/>
      <c r="Z302" s="39"/>
      <c r="AA302" s="35"/>
      <c r="AB302" s="50" t="e">
        <f t="shared" si="9"/>
        <v>#DIV/0!</v>
      </c>
      <c r="AC302" s="51" t="e">
        <f t="shared" si="9"/>
        <v>#DIV/0!</v>
      </c>
      <c r="AD302" s="19"/>
      <c r="AE302" s="19"/>
      <c r="AF302" s="285" t="s">
        <v>128</v>
      </c>
      <c r="AG302" s="240" t="e" cm="1">
        <f t="array" ref="AG302">bdRateExtend($G300:$G303,G300:G303,$R300:$R303,R300:R303)</f>
        <v>#VALUE!</v>
      </c>
      <c r="AH302" s="242"/>
      <c r="AI302" s="242"/>
      <c r="AJ302" s="245"/>
      <c r="AK302" s="240" t="e" cm="1">
        <f t="array" ref="AK302">bdRateExtend($G300:$G303,K300:K303,$R300:$R303,V300:V303)</f>
        <v>#VALUE!</v>
      </c>
      <c r="AL302" s="249"/>
      <c r="AM302" s="240" t="e" cm="1">
        <f t="array" ref="AM302">bdRateExtend($G300:$G303,L300:L303,$R300:$R303,W300:W303)</f>
        <v>#VALUE!</v>
      </c>
      <c r="AN302" s="249"/>
      <c r="AO302" s="252" t="e" cm="1">
        <f t="array" ref="AO302">bdRateExtend($G300:$G303,M300:M303,$R300:$R303,X300:X303)</f>
        <v>#VALUE!</v>
      </c>
      <c r="AP302" s="249"/>
    </row>
    <row r="303" spans="1:42" ht="17.100000000000001" customHeight="1" outlineLevel="5" thickBot="1" x14ac:dyDescent="0.3">
      <c r="A303" s="222"/>
      <c r="B303" s="220"/>
      <c r="C303" s="230"/>
      <c r="D303" s="233"/>
      <c r="E303" s="236"/>
      <c r="F303" s="9">
        <v>63</v>
      </c>
      <c r="G303" s="36"/>
      <c r="H303" s="37"/>
      <c r="I303" s="37"/>
      <c r="J303" s="37"/>
      <c r="K303" s="37"/>
      <c r="L303" s="37"/>
      <c r="M303" s="37"/>
      <c r="N303" s="37"/>
      <c r="O303" s="37"/>
      <c r="P303" s="38"/>
      <c r="Q303" s="18"/>
      <c r="R303" s="36"/>
      <c r="S303" s="37"/>
      <c r="T303" s="37"/>
      <c r="U303" s="37"/>
      <c r="V303" s="37"/>
      <c r="W303" s="37"/>
      <c r="X303" s="37"/>
      <c r="Y303" s="37"/>
      <c r="Z303" s="37"/>
      <c r="AA303" s="38"/>
      <c r="AB303" s="52" t="e">
        <f t="shared" si="9"/>
        <v>#DIV/0!</v>
      </c>
      <c r="AC303" s="53" t="e">
        <f t="shared" si="9"/>
        <v>#DIV/0!</v>
      </c>
      <c r="AD303" s="19"/>
      <c r="AE303" s="19"/>
      <c r="AF303" s="286"/>
      <c r="AG303" s="247"/>
      <c r="AH303" s="243"/>
      <c r="AI303" s="243"/>
      <c r="AJ303" s="246"/>
      <c r="AK303" s="247"/>
      <c r="AL303" s="250"/>
      <c r="AM303" s="247"/>
      <c r="AN303" s="250"/>
      <c r="AO303" s="253"/>
      <c r="AP303" s="250"/>
    </row>
    <row r="304" spans="1:42" ht="17.100000000000001" customHeight="1" outlineLevel="5" x14ac:dyDescent="0.25">
      <c r="A304" s="222"/>
      <c r="B304" s="218" t="s">
        <v>2</v>
      </c>
      <c r="C304" s="228" t="s">
        <v>78</v>
      </c>
      <c r="D304" s="231">
        <v>30</v>
      </c>
      <c r="E304" s="234" t="s">
        <v>23</v>
      </c>
      <c r="F304" s="7">
        <v>23</v>
      </c>
      <c r="G304" s="31"/>
      <c r="H304" s="32"/>
      <c r="I304" s="32"/>
      <c r="J304" s="32"/>
      <c r="K304" s="32"/>
      <c r="L304" s="32"/>
      <c r="M304" s="32"/>
      <c r="N304" s="32"/>
      <c r="O304" s="32"/>
      <c r="P304" s="33"/>
      <c r="Q304" s="18"/>
      <c r="R304" s="31"/>
      <c r="S304" s="32"/>
      <c r="T304" s="32"/>
      <c r="U304" s="32"/>
      <c r="V304" s="32"/>
      <c r="W304" s="32"/>
      <c r="X304" s="32"/>
      <c r="Y304" s="32"/>
      <c r="Z304" s="32"/>
      <c r="AA304" s="33"/>
      <c r="AB304" s="48" t="e">
        <f t="shared" si="9"/>
        <v>#DIV/0!</v>
      </c>
      <c r="AC304" s="49" t="e">
        <f t="shared" si="9"/>
        <v>#DIV/0!</v>
      </c>
      <c r="AD304" s="19"/>
      <c r="AE304" s="19"/>
      <c r="AF304" s="284" t="s">
        <v>126</v>
      </c>
      <c r="AG304" s="239" t="e" cm="1">
        <f t="array" ref="AG304">bdRateExtend($G304:$G307,G304:G307,$R304:$R307,R304:R307)</f>
        <v>#VALUE!</v>
      </c>
      <c r="AH304" s="241" t="e" cm="1">
        <f t="array" ref="AH304">bdRateExtend($G304:$G309,H304:H309,$R304:$R309,S304:S309)</f>
        <v>#VALUE!</v>
      </c>
      <c r="AI304" s="241" t="e" cm="1">
        <f t="array" ref="AI304">bdRateExtend($G304:$G309,I304:I309,$R304:$R309,T304:T309)</f>
        <v>#VALUE!</v>
      </c>
      <c r="AJ304" s="244" t="e" cm="1">
        <f t="array" ref="AJ304">bdRateExtend($G304:$G309,J304:J309,$R304:$R309,U304:U309)</f>
        <v>#VALUE!</v>
      </c>
      <c r="AK304" s="239" t="e" cm="1">
        <f t="array" ref="AK304">bdRateExtend($G304:$G307,K304:K307,$R304:$R307,V304:V307)</f>
        <v>#VALUE!</v>
      </c>
      <c r="AL304" s="248" t="e" cm="1">
        <f t="array" ref="AL304">bdRateExtend($G304:$G309,K304:K309,$R304:$R309,V304:V309)</f>
        <v>#VALUE!</v>
      </c>
      <c r="AM304" s="239" t="e" cm="1">
        <f t="array" ref="AM304">bdRateExtend($G304:$G307,L304:L307,$R304:$R307,W304:W307)</f>
        <v>#VALUE!</v>
      </c>
      <c r="AN304" s="248" t="e" cm="1">
        <f t="array" ref="AN304">bdRateExtend($G304:$G309,L304:L309,$R304:$R309,W304:W309)</f>
        <v>#VALUE!</v>
      </c>
      <c r="AO304" s="254" t="e" cm="1">
        <f t="array" ref="AO304">bdRateExtend($G304:$G307,M304:M307,$R304:$R307,X304:X307)</f>
        <v>#VALUE!</v>
      </c>
      <c r="AP304" s="248" t="e" cm="1">
        <f t="array" ref="AP304">bdRateExtend($G304:$G309,M304:M309,$R304:$R309,X304:X309)</f>
        <v>#VALUE!</v>
      </c>
    </row>
    <row r="305" spans="1:42" ht="17.100000000000001" customHeight="1" outlineLevel="5" x14ac:dyDescent="0.25">
      <c r="A305" s="222"/>
      <c r="B305" s="219"/>
      <c r="C305" s="229"/>
      <c r="D305" s="232"/>
      <c r="E305" s="235"/>
      <c r="F305" s="16">
        <v>31</v>
      </c>
      <c r="G305" s="34"/>
      <c r="H305" s="39"/>
      <c r="I305" s="39"/>
      <c r="J305" s="39"/>
      <c r="K305" s="39"/>
      <c r="L305" s="39"/>
      <c r="M305" s="39"/>
      <c r="N305" s="39"/>
      <c r="O305" s="39"/>
      <c r="P305" s="35"/>
      <c r="Q305" s="18"/>
      <c r="R305" s="34"/>
      <c r="S305" s="39"/>
      <c r="T305" s="39"/>
      <c r="U305" s="39"/>
      <c r="V305" s="39"/>
      <c r="W305" s="39"/>
      <c r="X305" s="39"/>
      <c r="Y305" s="39"/>
      <c r="Z305" s="39"/>
      <c r="AA305" s="35"/>
      <c r="AB305" s="50" t="e">
        <f t="shared" si="9"/>
        <v>#DIV/0!</v>
      </c>
      <c r="AC305" s="51" t="e">
        <f t="shared" si="9"/>
        <v>#DIV/0!</v>
      </c>
      <c r="AD305" s="19"/>
      <c r="AE305" s="19"/>
      <c r="AF305" s="285"/>
      <c r="AG305" s="240"/>
      <c r="AH305" s="242"/>
      <c r="AI305" s="242"/>
      <c r="AJ305" s="245"/>
      <c r="AK305" s="240"/>
      <c r="AL305" s="249"/>
      <c r="AM305" s="240"/>
      <c r="AN305" s="249"/>
      <c r="AO305" s="252"/>
      <c r="AP305" s="249"/>
    </row>
    <row r="306" spans="1:42" ht="17.100000000000001" customHeight="1" outlineLevel="5" x14ac:dyDescent="0.25">
      <c r="A306" s="222"/>
      <c r="B306" s="219"/>
      <c r="C306" s="229"/>
      <c r="D306" s="232"/>
      <c r="E306" s="235"/>
      <c r="F306" s="16">
        <v>39</v>
      </c>
      <c r="G306" s="34"/>
      <c r="H306" s="39"/>
      <c r="I306" s="39"/>
      <c r="J306" s="39"/>
      <c r="K306" s="39"/>
      <c r="L306" s="39"/>
      <c r="M306" s="39"/>
      <c r="N306" s="39"/>
      <c r="O306" s="39"/>
      <c r="P306" s="35"/>
      <c r="Q306" s="18"/>
      <c r="R306" s="34"/>
      <c r="S306" s="39"/>
      <c r="T306" s="39"/>
      <c r="U306" s="39"/>
      <c r="V306" s="39"/>
      <c r="W306" s="39"/>
      <c r="X306" s="39"/>
      <c r="Y306" s="39"/>
      <c r="Z306" s="39"/>
      <c r="AA306" s="35"/>
      <c r="AB306" s="50" t="e">
        <f t="shared" si="9"/>
        <v>#DIV/0!</v>
      </c>
      <c r="AC306" s="51" t="e">
        <f t="shared" si="9"/>
        <v>#DIV/0!</v>
      </c>
      <c r="AD306" s="19"/>
      <c r="AE306" s="19"/>
      <c r="AF306" s="285" t="s">
        <v>127</v>
      </c>
      <c r="AG306" s="240" t="e" cm="1">
        <f t="array" ref="AG306">bdRateExtend($G305:$G308,G305:G308,$R305:$R308,R305:R308)</f>
        <v>#VALUE!</v>
      </c>
      <c r="AH306" s="242"/>
      <c r="AI306" s="242"/>
      <c r="AJ306" s="245"/>
      <c r="AK306" s="240" t="e" cm="1">
        <f t="array" ref="AK306">bdRateExtend($G305:$G308,K305:K308,$R305:$R308,V305:V308)</f>
        <v>#VALUE!</v>
      </c>
      <c r="AL306" s="249"/>
      <c r="AM306" s="240" t="e" cm="1">
        <f t="array" ref="AM306">bdRateExtend($G305:$G308,L305:L308,$R305:$R308,W305:W308)</f>
        <v>#VALUE!</v>
      </c>
      <c r="AN306" s="249"/>
      <c r="AO306" s="252" t="e" cm="1">
        <f t="array" ref="AO306">bdRateExtend($G305:$G308,M305:M308,$R305:$R308,X305:X308)</f>
        <v>#VALUE!</v>
      </c>
      <c r="AP306" s="249"/>
    </row>
    <row r="307" spans="1:42" ht="17.100000000000001" customHeight="1" outlineLevel="5" x14ac:dyDescent="0.25">
      <c r="A307" s="222"/>
      <c r="B307" s="219"/>
      <c r="C307" s="229"/>
      <c r="D307" s="232"/>
      <c r="E307" s="235"/>
      <c r="F307" s="16">
        <v>47</v>
      </c>
      <c r="G307" s="34"/>
      <c r="H307" s="39"/>
      <c r="I307" s="39"/>
      <c r="J307" s="39"/>
      <c r="K307" s="39"/>
      <c r="L307" s="39"/>
      <c r="M307" s="39"/>
      <c r="N307" s="39"/>
      <c r="O307" s="39"/>
      <c r="P307" s="35"/>
      <c r="Q307" s="18"/>
      <c r="R307" s="34"/>
      <c r="S307" s="39"/>
      <c r="T307" s="39"/>
      <c r="U307" s="39"/>
      <c r="V307" s="39"/>
      <c r="W307" s="39"/>
      <c r="X307" s="39"/>
      <c r="Y307" s="39"/>
      <c r="Z307" s="39"/>
      <c r="AA307" s="35"/>
      <c r="AB307" s="50" t="e">
        <f t="shared" si="9"/>
        <v>#DIV/0!</v>
      </c>
      <c r="AC307" s="51" t="e">
        <f t="shared" si="9"/>
        <v>#DIV/0!</v>
      </c>
      <c r="AD307" s="19"/>
      <c r="AE307" s="19"/>
      <c r="AF307" s="285"/>
      <c r="AG307" s="240"/>
      <c r="AH307" s="242"/>
      <c r="AI307" s="242"/>
      <c r="AJ307" s="245"/>
      <c r="AK307" s="240"/>
      <c r="AL307" s="249"/>
      <c r="AM307" s="240"/>
      <c r="AN307" s="249"/>
      <c r="AO307" s="252"/>
      <c r="AP307" s="249"/>
    </row>
    <row r="308" spans="1:42" ht="17.100000000000001" customHeight="1" outlineLevel="5" x14ac:dyDescent="0.25">
      <c r="A308" s="222"/>
      <c r="B308" s="219"/>
      <c r="C308" s="229"/>
      <c r="D308" s="232"/>
      <c r="E308" s="235"/>
      <c r="F308" s="16">
        <v>55</v>
      </c>
      <c r="G308" s="34"/>
      <c r="H308" s="39"/>
      <c r="I308" s="39"/>
      <c r="J308" s="39"/>
      <c r="K308" s="39"/>
      <c r="L308" s="39"/>
      <c r="M308" s="39"/>
      <c r="N308" s="39"/>
      <c r="O308" s="39"/>
      <c r="P308" s="35"/>
      <c r="Q308" s="18"/>
      <c r="R308" s="34"/>
      <c r="S308" s="39"/>
      <c r="T308" s="39"/>
      <c r="U308" s="39"/>
      <c r="V308" s="39"/>
      <c r="W308" s="39"/>
      <c r="X308" s="39"/>
      <c r="Y308" s="39"/>
      <c r="Z308" s="39"/>
      <c r="AA308" s="35"/>
      <c r="AB308" s="50" t="e">
        <f t="shared" si="9"/>
        <v>#DIV/0!</v>
      </c>
      <c r="AC308" s="51" t="e">
        <f t="shared" si="9"/>
        <v>#DIV/0!</v>
      </c>
      <c r="AD308" s="19"/>
      <c r="AE308" s="19"/>
      <c r="AF308" s="285" t="s">
        <v>128</v>
      </c>
      <c r="AG308" s="240" t="e" cm="1">
        <f t="array" ref="AG308">bdRateExtend($G306:$G309,G306:G309,$R306:$R309,R306:R309)</f>
        <v>#VALUE!</v>
      </c>
      <c r="AH308" s="242"/>
      <c r="AI308" s="242"/>
      <c r="AJ308" s="245"/>
      <c r="AK308" s="240" t="e" cm="1">
        <f t="array" ref="AK308">bdRateExtend($G306:$G309,K306:K309,$R306:$R309,V306:V309)</f>
        <v>#VALUE!</v>
      </c>
      <c r="AL308" s="249"/>
      <c r="AM308" s="240" t="e" cm="1">
        <f t="array" ref="AM308">bdRateExtend($G306:$G309,L306:L309,$R306:$R309,W306:W309)</f>
        <v>#VALUE!</v>
      </c>
      <c r="AN308" s="249"/>
      <c r="AO308" s="252" t="e" cm="1">
        <f t="array" ref="AO308">bdRateExtend($G306:$G309,M306:M309,$R306:$R309,X306:X309)</f>
        <v>#VALUE!</v>
      </c>
      <c r="AP308" s="249"/>
    </row>
    <row r="309" spans="1:42" ht="17.100000000000001" customHeight="1" outlineLevel="5" thickBot="1" x14ac:dyDescent="0.3">
      <c r="A309" s="222"/>
      <c r="B309" s="220"/>
      <c r="C309" s="230"/>
      <c r="D309" s="233"/>
      <c r="E309" s="236"/>
      <c r="F309" s="9">
        <v>63</v>
      </c>
      <c r="G309" s="36"/>
      <c r="H309" s="37"/>
      <c r="I309" s="37"/>
      <c r="J309" s="37"/>
      <c r="K309" s="37"/>
      <c r="L309" s="37"/>
      <c r="M309" s="37"/>
      <c r="N309" s="37"/>
      <c r="O309" s="37"/>
      <c r="P309" s="38"/>
      <c r="Q309" s="18"/>
      <c r="R309" s="36"/>
      <c r="S309" s="37"/>
      <c r="T309" s="37"/>
      <c r="U309" s="37"/>
      <c r="V309" s="37"/>
      <c r="W309" s="37"/>
      <c r="X309" s="37"/>
      <c r="Y309" s="37"/>
      <c r="Z309" s="37"/>
      <c r="AA309" s="38"/>
      <c r="AB309" s="52" t="e">
        <f t="shared" si="9"/>
        <v>#DIV/0!</v>
      </c>
      <c r="AC309" s="53" t="e">
        <f t="shared" si="9"/>
        <v>#DIV/0!</v>
      </c>
      <c r="AD309" s="19"/>
      <c r="AE309" s="19"/>
      <c r="AF309" s="286"/>
      <c r="AG309" s="247"/>
      <c r="AH309" s="243"/>
      <c r="AI309" s="243"/>
      <c r="AJ309" s="246"/>
      <c r="AK309" s="247"/>
      <c r="AL309" s="250"/>
      <c r="AM309" s="247"/>
      <c r="AN309" s="250"/>
      <c r="AO309" s="253"/>
      <c r="AP309" s="250"/>
    </row>
    <row r="310" spans="1:42" ht="17.100000000000001" customHeight="1" outlineLevel="5" x14ac:dyDescent="0.25">
      <c r="A310" s="222"/>
      <c r="B310" s="218" t="s">
        <v>2</v>
      </c>
      <c r="C310" s="228" t="s">
        <v>27</v>
      </c>
      <c r="D310" s="231">
        <v>60</v>
      </c>
      <c r="E310" s="234">
        <v>8</v>
      </c>
      <c r="F310" s="7">
        <v>23</v>
      </c>
      <c r="G310" s="31"/>
      <c r="H310" s="32"/>
      <c r="I310" s="32"/>
      <c r="J310" s="32"/>
      <c r="K310" s="32"/>
      <c r="L310" s="32"/>
      <c r="M310" s="32"/>
      <c r="N310" s="32"/>
      <c r="O310" s="32"/>
      <c r="P310" s="33"/>
      <c r="Q310" s="18"/>
      <c r="R310" s="31"/>
      <c r="S310" s="32"/>
      <c r="T310" s="32"/>
      <c r="U310" s="32"/>
      <c r="V310" s="32"/>
      <c r="W310" s="32"/>
      <c r="X310" s="32"/>
      <c r="Y310" s="32"/>
      <c r="Z310" s="32"/>
      <c r="AA310" s="33"/>
      <c r="AB310" s="48" t="e">
        <f t="shared" si="9"/>
        <v>#DIV/0!</v>
      </c>
      <c r="AC310" s="49" t="e">
        <f t="shared" si="9"/>
        <v>#DIV/0!</v>
      </c>
      <c r="AD310" s="19"/>
      <c r="AE310" s="19"/>
      <c r="AF310" s="284" t="s">
        <v>126</v>
      </c>
      <c r="AG310" s="239" t="e" cm="1">
        <f t="array" ref="AG310">bdRateExtend($G310:$G313,G310:G313,$R310:$R313,R310:R313)</f>
        <v>#VALUE!</v>
      </c>
      <c r="AH310" s="241" t="e" cm="1">
        <f t="array" ref="AH310">bdRateExtend($G310:$G315,H310:H315,$R310:$R315,S310:S315)</f>
        <v>#VALUE!</v>
      </c>
      <c r="AI310" s="241" t="e" cm="1">
        <f t="array" ref="AI310">bdRateExtend($G310:$G315,I310:I315,$R310:$R315,T310:T315)</f>
        <v>#VALUE!</v>
      </c>
      <c r="AJ310" s="244" t="e" cm="1">
        <f t="array" ref="AJ310">bdRateExtend($G310:$G315,J310:J315,$R310:$R315,U310:U315)</f>
        <v>#VALUE!</v>
      </c>
      <c r="AK310" s="239" t="e" cm="1">
        <f t="array" ref="AK310">bdRateExtend($G310:$G313,K310:K313,$R310:$R313,V310:V313)</f>
        <v>#VALUE!</v>
      </c>
      <c r="AL310" s="248" t="e" cm="1">
        <f t="array" ref="AL310">bdRateExtend($G310:$G315,K310:K315,$R310:$R315,V310:V315)</f>
        <v>#VALUE!</v>
      </c>
      <c r="AM310" s="239" t="e" cm="1">
        <f t="array" ref="AM310">bdRateExtend($G310:$G313,L310:L313,$R310:$R313,W310:W313)</f>
        <v>#VALUE!</v>
      </c>
      <c r="AN310" s="248" t="e" cm="1">
        <f t="array" ref="AN310">bdRateExtend($G310:$G315,L310:L315,$R310:$R315,W310:W315)</f>
        <v>#VALUE!</v>
      </c>
      <c r="AO310" s="254" t="e" cm="1">
        <f t="array" ref="AO310">bdRateExtend($G310:$G313,M310:M313,$R310:$R313,X310:X313)</f>
        <v>#VALUE!</v>
      </c>
      <c r="AP310" s="248" t="e" cm="1">
        <f t="array" ref="AP310">bdRateExtend($G310:$G315,M310:M315,$R310:$R315,X310:X315)</f>
        <v>#VALUE!</v>
      </c>
    </row>
    <row r="311" spans="1:42" ht="17.100000000000001" customHeight="1" outlineLevel="5" x14ac:dyDescent="0.25">
      <c r="A311" s="222"/>
      <c r="B311" s="219"/>
      <c r="C311" s="229"/>
      <c r="D311" s="232"/>
      <c r="E311" s="235"/>
      <c r="F311" s="16">
        <v>31</v>
      </c>
      <c r="G311" s="34"/>
      <c r="H311" s="39"/>
      <c r="I311" s="39"/>
      <c r="J311" s="39"/>
      <c r="K311" s="39"/>
      <c r="L311" s="39"/>
      <c r="M311" s="39"/>
      <c r="N311" s="39"/>
      <c r="O311" s="39"/>
      <c r="P311" s="35"/>
      <c r="Q311" s="18"/>
      <c r="R311" s="34"/>
      <c r="S311" s="39"/>
      <c r="T311" s="39"/>
      <c r="U311" s="39"/>
      <c r="V311" s="39"/>
      <c r="W311" s="39"/>
      <c r="X311" s="39"/>
      <c r="Y311" s="39"/>
      <c r="Z311" s="39"/>
      <c r="AA311" s="35"/>
      <c r="AB311" s="50" t="e">
        <f t="shared" si="9"/>
        <v>#DIV/0!</v>
      </c>
      <c r="AC311" s="51" t="e">
        <f t="shared" si="9"/>
        <v>#DIV/0!</v>
      </c>
      <c r="AD311" s="19"/>
      <c r="AE311" s="19"/>
      <c r="AF311" s="285"/>
      <c r="AG311" s="240"/>
      <c r="AH311" s="242"/>
      <c r="AI311" s="242"/>
      <c r="AJ311" s="245"/>
      <c r="AK311" s="240"/>
      <c r="AL311" s="249"/>
      <c r="AM311" s="240"/>
      <c r="AN311" s="249"/>
      <c r="AO311" s="252"/>
      <c r="AP311" s="249"/>
    </row>
    <row r="312" spans="1:42" ht="17.100000000000001" customHeight="1" outlineLevel="5" x14ac:dyDescent="0.25">
      <c r="A312" s="222"/>
      <c r="B312" s="219"/>
      <c r="C312" s="229"/>
      <c r="D312" s="232"/>
      <c r="E312" s="235"/>
      <c r="F312" s="16">
        <v>39</v>
      </c>
      <c r="G312" s="34"/>
      <c r="H312" s="39"/>
      <c r="I312" s="39"/>
      <c r="J312" s="39"/>
      <c r="K312" s="39"/>
      <c r="L312" s="39"/>
      <c r="M312" s="39"/>
      <c r="N312" s="39"/>
      <c r="O312" s="39"/>
      <c r="P312" s="35"/>
      <c r="Q312" s="18"/>
      <c r="R312" s="34"/>
      <c r="S312" s="39"/>
      <c r="T312" s="39"/>
      <c r="U312" s="39"/>
      <c r="V312" s="39"/>
      <c r="W312" s="39"/>
      <c r="X312" s="39"/>
      <c r="Y312" s="39"/>
      <c r="Z312" s="39"/>
      <c r="AA312" s="35"/>
      <c r="AB312" s="50" t="e">
        <f t="shared" si="9"/>
        <v>#DIV/0!</v>
      </c>
      <c r="AC312" s="51" t="e">
        <f t="shared" si="9"/>
        <v>#DIV/0!</v>
      </c>
      <c r="AD312" s="19"/>
      <c r="AE312" s="19"/>
      <c r="AF312" s="285" t="s">
        <v>127</v>
      </c>
      <c r="AG312" s="240" t="e" cm="1">
        <f t="array" ref="AG312">bdRateExtend($G311:$G314,G311:G314,$R311:$R314,R311:R314)</f>
        <v>#VALUE!</v>
      </c>
      <c r="AH312" s="242"/>
      <c r="AI312" s="242"/>
      <c r="AJ312" s="245"/>
      <c r="AK312" s="240" t="e" cm="1">
        <f t="array" ref="AK312">bdRateExtend($G311:$G314,K311:K314,$R311:$R314,V311:V314)</f>
        <v>#VALUE!</v>
      </c>
      <c r="AL312" s="249"/>
      <c r="AM312" s="240" t="e" cm="1">
        <f t="array" ref="AM312">bdRateExtend($G311:$G314,L311:L314,$R311:$R314,W311:W314)</f>
        <v>#VALUE!</v>
      </c>
      <c r="AN312" s="249"/>
      <c r="AO312" s="252" t="e" cm="1">
        <f t="array" ref="AO312">bdRateExtend($G311:$G314,M311:M314,$R311:$R314,X311:X314)</f>
        <v>#VALUE!</v>
      </c>
      <c r="AP312" s="249"/>
    </row>
    <row r="313" spans="1:42" ht="17.100000000000001" customHeight="1" outlineLevel="5" x14ac:dyDescent="0.25">
      <c r="A313" s="222"/>
      <c r="B313" s="219"/>
      <c r="C313" s="229"/>
      <c r="D313" s="232"/>
      <c r="E313" s="235"/>
      <c r="F313" s="16">
        <v>47</v>
      </c>
      <c r="G313" s="34"/>
      <c r="H313" s="39"/>
      <c r="I313" s="39"/>
      <c r="J313" s="39"/>
      <c r="K313" s="39"/>
      <c r="L313" s="39"/>
      <c r="M313" s="39"/>
      <c r="N313" s="39"/>
      <c r="O313" s="39"/>
      <c r="P313" s="35"/>
      <c r="Q313" s="18"/>
      <c r="R313" s="34"/>
      <c r="S313" s="39"/>
      <c r="T313" s="39"/>
      <c r="U313" s="39"/>
      <c r="V313" s="39"/>
      <c r="W313" s="39"/>
      <c r="X313" s="39"/>
      <c r="Y313" s="39"/>
      <c r="Z313" s="39"/>
      <c r="AA313" s="35"/>
      <c r="AB313" s="50" t="e">
        <f t="shared" si="9"/>
        <v>#DIV/0!</v>
      </c>
      <c r="AC313" s="51" t="e">
        <f t="shared" si="9"/>
        <v>#DIV/0!</v>
      </c>
      <c r="AD313" s="19"/>
      <c r="AE313" s="19"/>
      <c r="AF313" s="285"/>
      <c r="AG313" s="240"/>
      <c r="AH313" s="242"/>
      <c r="AI313" s="242"/>
      <c r="AJ313" s="245"/>
      <c r="AK313" s="240"/>
      <c r="AL313" s="249"/>
      <c r="AM313" s="240"/>
      <c r="AN313" s="249"/>
      <c r="AO313" s="252"/>
      <c r="AP313" s="249"/>
    </row>
    <row r="314" spans="1:42" ht="17.100000000000001" customHeight="1" outlineLevel="5" x14ac:dyDescent="0.25">
      <c r="A314" s="222"/>
      <c r="B314" s="219"/>
      <c r="C314" s="229"/>
      <c r="D314" s="232"/>
      <c r="E314" s="235"/>
      <c r="F314" s="16">
        <v>55</v>
      </c>
      <c r="G314" s="34"/>
      <c r="H314" s="39"/>
      <c r="I314" s="39"/>
      <c r="J314" s="39"/>
      <c r="K314" s="39"/>
      <c r="L314" s="39"/>
      <c r="M314" s="39"/>
      <c r="N314" s="39"/>
      <c r="O314" s="39"/>
      <c r="P314" s="35"/>
      <c r="Q314" s="18"/>
      <c r="R314" s="34"/>
      <c r="S314" s="39"/>
      <c r="T314" s="39"/>
      <c r="U314" s="39"/>
      <c r="V314" s="39"/>
      <c r="W314" s="39"/>
      <c r="X314" s="39"/>
      <c r="Y314" s="39"/>
      <c r="Z314" s="39"/>
      <c r="AA314" s="35"/>
      <c r="AB314" s="50" t="e">
        <f t="shared" si="9"/>
        <v>#DIV/0!</v>
      </c>
      <c r="AC314" s="51" t="e">
        <f t="shared" si="9"/>
        <v>#DIV/0!</v>
      </c>
      <c r="AD314" s="19"/>
      <c r="AE314" s="19"/>
      <c r="AF314" s="285" t="s">
        <v>128</v>
      </c>
      <c r="AG314" s="240" t="e" cm="1">
        <f t="array" ref="AG314">bdRateExtend($G312:$G315,G312:G315,$R312:$R315,R312:R315)</f>
        <v>#VALUE!</v>
      </c>
      <c r="AH314" s="242"/>
      <c r="AI314" s="242"/>
      <c r="AJ314" s="245"/>
      <c r="AK314" s="240" t="e" cm="1">
        <f t="array" ref="AK314">bdRateExtend($G312:$G315,K312:K315,$R312:$R315,V312:V315)</f>
        <v>#VALUE!</v>
      </c>
      <c r="AL314" s="249"/>
      <c r="AM314" s="240" t="e" cm="1">
        <f t="array" ref="AM314">bdRateExtend($G312:$G315,L312:L315,$R312:$R315,W312:W315)</f>
        <v>#VALUE!</v>
      </c>
      <c r="AN314" s="249"/>
      <c r="AO314" s="252" t="e" cm="1">
        <f t="array" ref="AO314">bdRateExtend($G312:$G315,M312:M315,$R312:$R315,X312:X315)</f>
        <v>#VALUE!</v>
      </c>
      <c r="AP314" s="249"/>
    </row>
    <row r="315" spans="1:42" ht="17.100000000000001" customHeight="1" outlineLevel="5" thickBot="1" x14ac:dyDescent="0.3">
      <c r="A315" s="222"/>
      <c r="B315" s="220"/>
      <c r="C315" s="230"/>
      <c r="D315" s="233"/>
      <c r="E315" s="236"/>
      <c r="F315" s="9">
        <v>63</v>
      </c>
      <c r="G315" s="36"/>
      <c r="H315" s="37"/>
      <c r="I315" s="37"/>
      <c r="J315" s="37"/>
      <c r="K315" s="37"/>
      <c r="L315" s="37"/>
      <c r="M315" s="37"/>
      <c r="N315" s="37"/>
      <c r="O315" s="37"/>
      <c r="P315" s="38"/>
      <c r="Q315" s="18"/>
      <c r="R315" s="36"/>
      <c r="S315" s="37"/>
      <c r="T315" s="37"/>
      <c r="U315" s="37"/>
      <c r="V315" s="37"/>
      <c r="W315" s="37"/>
      <c r="X315" s="37"/>
      <c r="Y315" s="37"/>
      <c r="Z315" s="37"/>
      <c r="AA315" s="38"/>
      <c r="AB315" s="52" t="e">
        <f t="shared" si="9"/>
        <v>#DIV/0!</v>
      </c>
      <c r="AC315" s="53" t="e">
        <f t="shared" si="9"/>
        <v>#DIV/0!</v>
      </c>
      <c r="AD315" s="19"/>
      <c r="AE315" s="19"/>
      <c r="AF315" s="286"/>
      <c r="AG315" s="247"/>
      <c r="AH315" s="243"/>
      <c r="AI315" s="243"/>
      <c r="AJ315" s="246"/>
      <c r="AK315" s="247"/>
      <c r="AL315" s="250"/>
      <c r="AM315" s="247"/>
      <c r="AN315" s="250"/>
      <c r="AO315" s="253"/>
      <c r="AP315" s="250"/>
    </row>
    <row r="316" spans="1:42" ht="17.100000000000001" customHeight="1" outlineLevel="5" x14ac:dyDescent="0.25">
      <c r="A316" s="222"/>
      <c r="B316" s="218" t="s">
        <v>2</v>
      </c>
      <c r="C316" s="228" t="s">
        <v>28</v>
      </c>
      <c r="D316" s="231">
        <v>60</v>
      </c>
      <c r="E316" s="234">
        <v>8</v>
      </c>
      <c r="F316" s="7">
        <v>23</v>
      </c>
      <c r="G316" s="31"/>
      <c r="H316" s="32"/>
      <c r="I316" s="32"/>
      <c r="J316" s="32"/>
      <c r="K316" s="32"/>
      <c r="L316" s="32"/>
      <c r="M316" s="32"/>
      <c r="N316" s="32"/>
      <c r="O316" s="32"/>
      <c r="P316" s="33"/>
      <c r="Q316" s="18"/>
      <c r="R316" s="31"/>
      <c r="S316" s="32"/>
      <c r="T316" s="32"/>
      <c r="U316" s="32"/>
      <c r="V316" s="32"/>
      <c r="W316" s="32"/>
      <c r="X316" s="32"/>
      <c r="Y316" s="32"/>
      <c r="Z316" s="32"/>
      <c r="AA316" s="33"/>
      <c r="AB316" s="48" t="e">
        <f t="shared" si="9"/>
        <v>#DIV/0!</v>
      </c>
      <c r="AC316" s="49" t="e">
        <f t="shared" si="9"/>
        <v>#DIV/0!</v>
      </c>
      <c r="AD316" s="19"/>
      <c r="AE316" s="19"/>
      <c r="AF316" s="284" t="s">
        <v>126</v>
      </c>
      <c r="AG316" s="239" t="e" cm="1">
        <f t="array" ref="AG316">bdRateExtend($G316:$G319,G316:G319,$R316:$R319,R316:R319)</f>
        <v>#VALUE!</v>
      </c>
      <c r="AH316" s="241" t="e" cm="1">
        <f t="array" ref="AH316">bdRateExtend($G316:$G321,H316:H321,$R316:$R321,S316:S321)</f>
        <v>#VALUE!</v>
      </c>
      <c r="AI316" s="241" t="e" cm="1">
        <f t="array" ref="AI316">bdRateExtend($G316:$G321,I316:I321,$R316:$R321,T316:T321)</f>
        <v>#VALUE!</v>
      </c>
      <c r="AJ316" s="244" t="e" cm="1">
        <f t="array" ref="AJ316">bdRateExtend($G316:$G321,J316:J321,$R316:$R321,U316:U321)</f>
        <v>#VALUE!</v>
      </c>
      <c r="AK316" s="239" t="e" cm="1">
        <f t="array" ref="AK316">bdRateExtend($G316:$G319,K316:K319,$R316:$R319,V316:V319)</f>
        <v>#VALUE!</v>
      </c>
      <c r="AL316" s="248" t="e" cm="1">
        <f t="array" ref="AL316">bdRateExtend($G316:$G321,K316:K321,$R316:$R321,V316:V321)</f>
        <v>#VALUE!</v>
      </c>
      <c r="AM316" s="239" t="e" cm="1">
        <f t="array" ref="AM316">bdRateExtend($G316:$G319,L316:L319,$R316:$R319,W316:W319)</f>
        <v>#VALUE!</v>
      </c>
      <c r="AN316" s="248" t="e" cm="1">
        <f t="array" ref="AN316">bdRateExtend($G316:$G321,L316:L321,$R316:$R321,W316:W321)</f>
        <v>#VALUE!</v>
      </c>
      <c r="AO316" s="254" t="e" cm="1">
        <f t="array" ref="AO316">bdRateExtend($G316:$G319,M316:M319,$R316:$R319,X316:X319)</f>
        <v>#VALUE!</v>
      </c>
      <c r="AP316" s="248" t="e" cm="1">
        <f t="array" ref="AP316">bdRateExtend($G316:$G321,M316:M321,$R316:$R321,X316:X321)</f>
        <v>#VALUE!</v>
      </c>
    </row>
    <row r="317" spans="1:42" ht="17.100000000000001" customHeight="1" outlineLevel="5" x14ac:dyDescent="0.25">
      <c r="A317" s="222"/>
      <c r="B317" s="219"/>
      <c r="C317" s="229"/>
      <c r="D317" s="232"/>
      <c r="E317" s="235"/>
      <c r="F317" s="16">
        <v>31</v>
      </c>
      <c r="G317" s="34"/>
      <c r="H317" s="39"/>
      <c r="I317" s="39"/>
      <c r="J317" s="39"/>
      <c r="K317" s="39"/>
      <c r="L317" s="39"/>
      <c r="M317" s="39"/>
      <c r="N317" s="39"/>
      <c r="O317" s="39"/>
      <c r="P317" s="35"/>
      <c r="Q317" s="18"/>
      <c r="R317" s="34"/>
      <c r="S317" s="39"/>
      <c r="T317" s="39"/>
      <c r="U317" s="39"/>
      <c r="V317" s="39"/>
      <c r="W317" s="39"/>
      <c r="X317" s="39"/>
      <c r="Y317" s="39"/>
      <c r="Z317" s="39"/>
      <c r="AA317" s="35"/>
      <c r="AB317" s="50" t="e">
        <f t="shared" si="9"/>
        <v>#DIV/0!</v>
      </c>
      <c r="AC317" s="51" t="e">
        <f t="shared" si="9"/>
        <v>#DIV/0!</v>
      </c>
      <c r="AD317" s="19"/>
      <c r="AE317" s="19"/>
      <c r="AF317" s="285"/>
      <c r="AG317" s="240"/>
      <c r="AH317" s="242"/>
      <c r="AI317" s="242"/>
      <c r="AJ317" s="245"/>
      <c r="AK317" s="240"/>
      <c r="AL317" s="249"/>
      <c r="AM317" s="240"/>
      <c r="AN317" s="249"/>
      <c r="AO317" s="252"/>
      <c r="AP317" s="249"/>
    </row>
    <row r="318" spans="1:42" ht="17.100000000000001" customHeight="1" outlineLevel="5" x14ac:dyDescent="0.25">
      <c r="A318" s="222"/>
      <c r="B318" s="219"/>
      <c r="C318" s="229"/>
      <c r="D318" s="232"/>
      <c r="E318" s="235"/>
      <c r="F318" s="16">
        <v>39</v>
      </c>
      <c r="G318" s="34"/>
      <c r="H318" s="39"/>
      <c r="I318" s="39"/>
      <c r="J318" s="39"/>
      <c r="K318" s="39"/>
      <c r="L318" s="39"/>
      <c r="M318" s="39"/>
      <c r="N318" s="39"/>
      <c r="O318" s="39"/>
      <c r="P318" s="35"/>
      <c r="Q318" s="18"/>
      <c r="R318" s="34"/>
      <c r="S318" s="39"/>
      <c r="T318" s="39"/>
      <c r="U318" s="39"/>
      <c r="V318" s="39"/>
      <c r="W318" s="39"/>
      <c r="X318" s="39"/>
      <c r="Y318" s="39"/>
      <c r="Z318" s="39"/>
      <c r="AA318" s="35"/>
      <c r="AB318" s="50" t="e">
        <f t="shared" si="9"/>
        <v>#DIV/0!</v>
      </c>
      <c r="AC318" s="51" t="e">
        <f t="shared" si="9"/>
        <v>#DIV/0!</v>
      </c>
      <c r="AD318" s="19"/>
      <c r="AE318" s="19"/>
      <c r="AF318" s="285" t="s">
        <v>127</v>
      </c>
      <c r="AG318" s="240" t="e" cm="1">
        <f t="array" ref="AG318">bdRateExtend($G317:$G320,G317:G320,$R317:$R320,R317:R320)</f>
        <v>#VALUE!</v>
      </c>
      <c r="AH318" s="242"/>
      <c r="AI318" s="242"/>
      <c r="AJ318" s="245"/>
      <c r="AK318" s="240" t="e" cm="1">
        <f t="array" ref="AK318">bdRateExtend($G317:$G320,K317:K320,$R317:$R320,V317:V320)</f>
        <v>#VALUE!</v>
      </c>
      <c r="AL318" s="249"/>
      <c r="AM318" s="240" t="e" cm="1">
        <f t="array" ref="AM318">bdRateExtend($G317:$G320,L317:L320,$R317:$R320,W317:W320)</f>
        <v>#VALUE!</v>
      </c>
      <c r="AN318" s="249"/>
      <c r="AO318" s="252" t="e" cm="1">
        <f t="array" ref="AO318">bdRateExtend($G317:$G320,M317:M320,$R317:$R320,X317:X320)</f>
        <v>#VALUE!</v>
      </c>
      <c r="AP318" s="249"/>
    </row>
    <row r="319" spans="1:42" ht="17.100000000000001" customHeight="1" outlineLevel="5" x14ac:dyDescent="0.25">
      <c r="A319" s="222"/>
      <c r="B319" s="219"/>
      <c r="C319" s="229"/>
      <c r="D319" s="232"/>
      <c r="E319" s="235"/>
      <c r="F319" s="16">
        <v>47</v>
      </c>
      <c r="G319" s="34"/>
      <c r="H319" s="39"/>
      <c r="I319" s="39"/>
      <c r="J319" s="39"/>
      <c r="K319" s="39"/>
      <c r="L319" s="39"/>
      <c r="M319" s="39"/>
      <c r="N319" s="39"/>
      <c r="O319" s="39"/>
      <c r="P319" s="35"/>
      <c r="Q319" s="18"/>
      <c r="R319" s="34"/>
      <c r="S319" s="39"/>
      <c r="T319" s="39"/>
      <c r="U319" s="39"/>
      <c r="V319" s="39"/>
      <c r="W319" s="39"/>
      <c r="X319" s="39"/>
      <c r="Y319" s="39"/>
      <c r="Z319" s="39"/>
      <c r="AA319" s="35"/>
      <c r="AB319" s="50" t="e">
        <f t="shared" si="9"/>
        <v>#DIV/0!</v>
      </c>
      <c r="AC319" s="51" t="e">
        <f t="shared" si="9"/>
        <v>#DIV/0!</v>
      </c>
      <c r="AD319" s="19"/>
      <c r="AE319" s="19"/>
      <c r="AF319" s="285"/>
      <c r="AG319" s="240"/>
      <c r="AH319" s="242"/>
      <c r="AI319" s="242"/>
      <c r="AJ319" s="245"/>
      <c r="AK319" s="240"/>
      <c r="AL319" s="249"/>
      <c r="AM319" s="240"/>
      <c r="AN319" s="249"/>
      <c r="AO319" s="252"/>
      <c r="AP319" s="249"/>
    </row>
    <row r="320" spans="1:42" ht="17.100000000000001" customHeight="1" outlineLevel="5" x14ac:dyDescent="0.25">
      <c r="A320" s="222"/>
      <c r="B320" s="219"/>
      <c r="C320" s="229"/>
      <c r="D320" s="232"/>
      <c r="E320" s="235"/>
      <c r="F320" s="16">
        <v>55</v>
      </c>
      <c r="G320" s="34"/>
      <c r="H320" s="39"/>
      <c r="I320" s="39"/>
      <c r="J320" s="39"/>
      <c r="K320" s="39"/>
      <c r="L320" s="39"/>
      <c r="M320" s="39"/>
      <c r="N320" s="39"/>
      <c r="O320" s="39"/>
      <c r="P320" s="35"/>
      <c r="Q320" s="18"/>
      <c r="R320" s="34"/>
      <c r="S320" s="39"/>
      <c r="T320" s="39"/>
      <c r="U320" s="39"/>
      <c r="V320" s="39"/>
      <c r="W320" s="39"/>
      <c r="X320" s="39"/>
      <c r="Y320" s="39"/>
      <c r="Z320" s="39"/>
      <c r="AA320" s="35"/>
      <c r="AB320" s="50" t="e">
        <f t="shared" si="9"/>
        <v>#DIV/0!</v>
      </c>
      <c r="AC320" s="51" t="e">
        <f t="shared" si="9"/>
        <v>#DIV/0!</v>
      </c>
      <c r="AD320" s="19"/>
      <c r="AE320" s="19"/>
      <c r="AF320" s="285" t="s">
        <v>128</v>
      </c>
      <c r="AG320" s="240" t="e" cm="1">
        <f t="array" ref="AG320">bdRateExtend($G318:$G321,G318:G321,$R318:$R321,R318:R321)</f>
        <v>#VALUE!</v>
      </c>
      <c r="AH320" s="242"/>
      <c r="AI320" s="242"/>
      <c r="AJ320" s="245"/>
      <c r="AK320" s="240" t="e" cm="1">
        <f t="array" ref="AK320">bdRateExtend($G318:$G321,K318:K321,$R318:$R321,V318:V321)</f>
        <v>#VALUE!</v>
      </c>
      <c r="AL320" s="249"/>
      <c r="AM320" s="240" t="e" cm="1">
        <f t="array" ref="AM320">bdRateExtend($G318:$G321,L318:L321,$R318:$R321,W318:W321)</f>
        <v>#VALUE!</v>
      </c>
      <c r="AN320" s="249"/>
      <c r="AO320" s="252" t="e" cm="1">
        <f t="array" ref="AO320">bdRateExtend($G318:$G321,M318:M321,$R318:$R321,X318:X321)</f>
        <v>#VALUE!</v>
      </c>
      <c r="AP320" s="249"/>
    </row>
    <row r="321" spans="1:42" ht="17.100000000000001" customHeight="1" outlineLevel="5" thickBot="1" x14ac:dyDescent="0.3">
      <c r="A321" s="222"/>
      <c r="B321" s="220"/>
      <c r="C321" s="230"/>
      <c r="D321" s="233"/>
      <c r="E321" s="236"/>
      <c r="F321" s="9">
        <v>63</v>
      </c>
      <c r="G321" s="36"/>
      <c r="H321" s="37"/>
      <c r="I321" s="37"/>
      <c r="J321" s="37"/>
      <c r="K321" s="37"/>
      <c r="L321" s="37"/>
      <c r="M321" s="37"/>
      <c r="N321" s="37"/>
      <c r="O321" s="37"/>
      <c r="P321" s="38"/>
      <c r="Q321" s="18"/>
      <c r="R321" s="36"/>
      <c r="S321" s="37"/>
      <c r="T321" s="37"/>
      <c r="U321" s="37"/>
      <c r="V321" s="37"/>
      <c r="W321" s="37"/>
      <c r="X321" s="37"/>
      <c r="Y321" s="37"/>
      <c r="Z321" s="37"/>
      <c r="AA321" s="38"/>
      <c r="AB321" s="52" t="e">
        <f t="shared" si="9"/>
        <v>#DIV/0!</v>
      </c>
      <c r="AC321" s="53" t="e">
        <f t="shared" si="9"/>
        <v>#DIV/0!</v>
      </c>
      <c r="AD321" s="19"/>
      <c r="AE321" s="19"/>
      <c r="AF321" s="286"/>
      <c r="AG321" s="247"/>
      <c r="AH321" s="243"/>
      <c r="AI321" s="243"/>
      <c r="AJ321" s="246"/>
      <c r="AK321" s="247"/>
      <c r="AL321" s="250"/>
      <c r="AM321" s="247"/>
      <c r="AN321" s="250"/>
      <c r="AO321" s="253"/>
      <c r="AP321" s="250"/>
    </row>
    <row r="322" spans="1:42" ht="17.100000000000001" customHeight="1" outlineLevel="5" x14ac:dyDescent="0.25">
      <c r="A322" s="222"/>
      <c r="B322" s="218" t="s">
        <v>2</v>
      </c>
      <c r="C322" s="228" t="s">
        <v>79</v>
      </c>
      <c r="D322" s="231">
        <v>24</v>
      </c>
      <c r="E322" s="234">
        <v>10</v>
      </c>
      <c r="F322" s="7">
        <v>23</v>
      </c>
      <c r="G322" s="31"/>
      <c r="H322" s="32"/>
      <c r="I322" s="32"/>
      <c r="J322" s="32"/>
      <c r="K322" s="32"/>
      <c r="L322" s="32"/>
      <c r="M322" s="32"/>
      <c r="N322" s="32"/>
      <c r="O322" s="32"/>
      <c r="P322" s="33"/>
      <c r="Q322" s="18"/>
      <c r="R322" s="31"/>
      <c r="S322" s="32"/>
      <c r="T322" s="32"/>
      <c r="U322" s="32"/>
      <c r="V322" s="32"/>
      <c r="W322" s="32"/>
      <c r="X322" s="32"/>
      <c r="Y322" s="32"/>
      <c r="Z322" s="32"/>
      <c r="AA322" s="33"/>
      <c r="AB322" s="48" t="e">
        <f t="shared" si="9"/>
        <v>#DIV/0!</v>
      </c>
      <c r="AC322" s="49" t="e">
        <f t="shared" si="9"/>
        <v>#DIV/0!</v>
      </c>
      <c r="AD322" s="19"/>
      <c r="AE322" s="19"/>
      <c r="AF322" s="284" t="s">
        <v>126</v>
      </c>
      <c r="AG322" s="239" t="e" cm="1">
        <f t="array" ref="AG322">bdRateExtend($G322:$G325,G322:G325,$R322:$R325,R322:R325)</f>
        <v>#VALUE!</v>
      </c>
      <c r="AH322" s="241" t="e" cm="1">
        <f t="array" ref="AH322">bdRateExtend($G322:$G327,H322:H327,$R322:$R327,S322:S327)</f>
        <v>#VALUE!</v>
      </c>
      <c r="AI322" s="241" t="e" cm="1">
        <f t="array" ref="AI322">bdRateExtend($G322:$G327,I322:I327,$R322:$R327,T322:T327)</f>
        <v>#VALUE!</v>
      </c>
      <c r="AJ322" s="244" t="e" cm="1">
        <f t="array" ref="AJ322">bdRateExtend($G322:$G327,J322:J327,$R322:$R327,U322:U327)</f>
        <v>#VALUE!</v>
      </c>
      <c r="AK322" s="239" t="e" cm="1">
        <f t="array" ref="AK322">bdRateExtend($G322:$G325,K322:K325,$R322:$R325,V322:V325)</f>
        <v>#VALUE!</v>
      </c>
      <c r="AL322" s="248" t="e" cm="1">
        <f t="array" ref="AL322">bdRateExtend($G322:$G327,K322:K327,$R322:$R327,V322:V327)</f>
        <v>#VALUE!</v>
      </c>
      <c r="AM322" s="239" t="e" cm="1">
        <f t="array" ref="AM322">bdRateExtend($G322:$G325,L322:L325,$R322:$R325,W322:W325)</f>
        <v>#VALUE!</v>
      </c>
      <c r="AN322" s="248" t="e" cm="1">
        <f t="array" ref="AN322">bdRateExtend($G322:$G327,L322:L327,$R322:$R327,W322:W327)</f>
        <v>#VALUE!</v>
      </c>
      <c r="AO322" s="254" t="e" cm="1">
        <f t="array" ref="AO322">bdRateExtend($G322:$G325,M322:M325,$R322:$R325,X322:X325)</f>
        <v>#VALUE!</v>
      </c>
      <c r="AP322" s="248" t="e" cm="1">
        <f t="array" ref="AP322">bdRateExtend($G322:$G327,M322:M327,$R322:$R327,X322:X327)</f>
        <v>#VALUE!</v>
      </c>
    </row>
    <row r="323" spans="1:42" ht="17.100000000000001" customHeight="1" outlineLevel="5" x14ac:dyDescent="0.25">
      <c r="A323" s="222"/>
      <c r="B323" s="219"/>
      <c r="C323" s="229"/>
      <c r="D323" s="232"/>
      <c r="E323" s="235"/>
      <c r="F323" s="16">
        <v>31</v>
      </c>
      <c r="G323" s="34"/>
      <c r="H323" s="39"/>
      <c r="I323" s="39"/>
      <c r="J323" s="39"/>
      <c r="K323" s="39"/>
      <c r="L323" s="39"/>
      <c r="M323" s="39"/>
      <c r="N323" s="39"/>
      <c r="O323" s="39"/>
      <c r="P323" s="35"/>
      <c r="Q323" s="18"/>
      <c r="R323" s="34"/>
      <c r="S323" s="39"/>
      <c r="T323" s="39"/>
      <c r="U323" s="39"/>
      <c r="V323" s="39"/>
      <c r="W323" s="39"/>
      <c r="X323" s="39"/>
      <c r="Y323" s="39"/>
      <c r="Z323" s="39"/>
      <c r="AA323" s="35"/>
      <c r="AB323" s="50" t="e">
        <f t="shared" si="9"/>
        <v>#DIV/0!</v>
      </c>
      <c r="AC323" s="51" t="e">
        <f t="shared" si="9"/>
        <v>#DIV/0!</v>
      </c>
      <c r="AD323" s="19"/>
      <c r="AE323" s="19"/>
      <c r="AF323" s="285"/>
      <c r="AG323" s="240"/>
      <c r="AH323" s="242"/>
      <c r="AI323" s="242"/>
      <c r="AJ323" s="245"/>
      <c r="AK323" s="240"/>
      <c r="AL323" s="249"/>
      <c r="AM323" s="240"/>
      <c r="AN323" s="249"/>
      <c r="AO323" s="252"/>
      <c r="AP323" s="249"/>
    </row>
    <row r="324" spans="1:42" ht="17.100000000000001" customHeight="1" outlineLevel="5" x14ac:dyDescent="0.25">
      <c r="A324" s="222"/>
      <c r="B324" s="219"/>
      <c r="C324" s="229"/>
      <c r="D324" s="232"/>
      <c r="E324" s="235"/>
      <c r="F324" s="16">
        <v>39</v>
      </c>
      <c r="G324" s="34"/>
      <c r="H324" s="39"/>
      <c r="I324" s="39"/>
      <c r="J324" s="39"/>
      <c r="K324" s="39"/>
      <c r="L324" s="39"/>
      <c r="M324" s="39"/>
      <c r="N324" s="39"/>
      <c r="O324" s="39"/>
      <c r="P324" s="35"/>
      <c r="Q324" s="18"/>
      <c r="R324" s="34"/>
      <c r="S324" s="39"/>
      <c r="T324" s="39"/>
      <c r="U324" s="39"/>
      <c r="V324" s="39"/>
      <c r="W324" s="39"/>
      <c r="X324" s="39"/>
      <c r="Y324" s="39"/>
      <c r="Z324" s="39"/>
      <c r="AA324" s="35"/>
      <c r="AB324" s="50" t="e">
        <f t="shared" si="9"/>
        <v>#DIV/0!</v>
      </c>
      <c r="AC324" s="51" t="e">
        <f t="shared" si="9"/>
        <v>#DIV/0!</v>
      </c>
      <c r="AD324" s="19"/>
      <c r="AE324" s="19"/>
      <c r="AF324" s="285" t="s">
        <v>127</v>
      </c>
      <c r="AG324" s="240" t="e" cm="1">
        <f t="array" ref="AG324">bdRateExtend($G323:$G326,G323:G326,$R323:$R326,R323:R326)</f>
        <v>#VALUE!</v>
      </c>
      <c r="AH324" s="242"/>
      <c r="AI324" s="242"/>
      <c r="AJ324" s="245"/>
      <c r="AK324" s="240" t="e" cm="1">
        <f t="array" ref="AK324">bdRateExtend($G323:$G326,K323:K326,$R323:$R326,V323:V326)</f>
        <v>#VALUE!</v>
      </c>
      <c r="AL324" s="249"/>
      <c r="AM324" s="240" t="e" cm="1">
        <f t="array" ref="AM324">bdRateExtend($G323:$G326,L323:L326,$R323:$R326,W323:W326)</f>
        <v>#VALUE!</v>
      </c>
      <c r="AN324" s="249"/>
      <c r="AO324" s="252" t="e" cm="1">
        <f t="array" ref="AO324">bdRateExtend($G323:$G326,M323:M326,$R323:$R326,X323:X326)</f>
        <v>#VALUE!</v>
      </c>
      <c r="AP324" s="249"/>
    </row>
    <row r="325" spans="1:42" ht="17.100000000000001" customHeight="1" outlineLevel="5" x14ac:dyDescent="0.25">
      <c r="A325" s="222"/>
      <c r="B325" s="219"/>
      <c r="C325" s="229"/>
      <c r="D325" s="232"/>
      <c r="E325" s="235"/>
      <c r="F325" s="16">
        <v>47</v>
      </c>
      <c r="G325" s="34"/>
      <c r="H325" s="39"/>
      <c r="I325" s="39"/>
      <c r="J325" s="39"/>
      <c r="K325" s="39"/>
      <c r="L325" s="39"/>
      <c r="M325" s="39"/>
      <c r="N325" s="39"/>
      <c r="O325" s="39"/>
      <c r="P325" s="35"/>
      <c r="Q325" s="18"/>
      <c r="R325" s="34"/>
      <c r="S325" s="39"/>
      <c r="T325" s="39"/>
      <c r="U325" s="39"/>
      <c r="V325" s="39"/>
      <c r="W325" s="39"/>
      <c r="X325" s="39"/>
      <c r="Y325" s="39"/>
      <c r="Z325" s="39"/>
      <c r="AA325" s="35"/>
      <c r="AB325" s="50" t="e">
        <f t="shared" si="9"/>
        <v>#DIV/0!</v>
      </c>
      <c r="AC325" s="51" t="e">
        <f t="shared" si="9"/>
        <v>#DIV/0!</v>
      </c>
      <c r="AD325" s="19"/>
      <c r="AE325" s="19"/>
      <c r="AF325" s="285"/>
      <c r="AG325" s="240"/>
      <c r="AH325" s="242"/>
      <c r="AI325" s="242"/>
      <c r="AJ325" s="245"/>
      <c r="AK325" s="240"/>
      <c r="AL325" s="249"/>
      <c r="AM325" s="240"/>
      <c r="AN325" s="249"/>
      <c r="AO325" s="252"/>
      <c r="AP325" s="249"/>
    </row>
    <row r="326" spans="1:42" ht="17.100000000000001" customHeight="1" outlineLevel="5" x14ac:dyDescent="0.25">
      <c r="A326" s="222"/>
      <c r="B326" s="219"/>
      <c r="C326" s="229"/>
      <c r="D326" s="232"/>
      <c r="E326" s="235"/>
      <c r="F326" s="16">
        <v>55</v>
      </c>
      <c r="G326" s="34"/>
      <c r="H326" s="39"/>
      <c r="I326" s="39"/>
      <c r="J326" s="39"/>
      <c r="K326" s="39"/>
      <c r="L326" s="39"/>
      <c r="M326" s="39"/>
      <c r="N326" s="39"/>
      <c r="O326" s="39"/>
      <c r="P326" s="35"/>
      <c r="Q326" s="18"/>
      <c r="R326" s="34"/>
      <c r="S326" s="39"/>
      <c r="T326" s="39"/>
      <c r="U326" s="39"/>
      <c r="V326" s="39"/>
      <c r="W326" s="39"/>
      <c r="X326" s="39"/>
      <c r="Y326" s="39"/>
      <c r="Z326" s="39"/>
      <c r="AA326" s="35"/>
      <c r="AB326" s="50" t="e">
        <f t="shared" si="9"/>
        <v>#DIV/0!</v>
      </c>
      <c r="AC326" s="51" t="e">
        <f t="shared" si="9"/>
        <v>#DIV/0!</v>
      </c>
      <c r="AD326" s="19"/>
      <c r="AE326" s="19"/>
      <c r="AF326" s="285" t="s">
        <v>128</v>
      </c>
      <c r="AG326" s="240" t="e" cm="1">
        <f t="array" ref="AG326">bdRateExtend($G324:$G327,G324:G327,$R324:$R327,R324:R327)</f>
        <v>#VALUE!</v>
      </c>
      <c r="AH326" s="242"/>
      <c r="AI326" s="242"/>
      <c r="AJ326" s="245"/>
      <c r="AK326" s="240" t="e" cm="1">
        <f t="array" ref="AK326">bdRateExtend($G324:$G327,K324:K327,$R324:$R327,V324:V327)</f>
        <v>#VALUE!</v>
      </c>
      <c r="AL326" s="249"/>
      <c r="AM326" s="240" t="e" cm="1">
        <f t="array" ref="AM326">bdRateExtend($G324:$G327,L324:L327,$R324:$R327,W324:W327)</f>
        <v>#VALUE!</v>
      </c>
      <c r="AN326" s="249"/>
      <c r="AO326" s="252" t="e" cm="1">
        <f t="array" ref="AO326">bdRateExtend($G324:$G327,M324:M327,$R324:$R327,X324:X327)</f>
        <v>#VALUE!</v>
      </c>
      <c r="AP326" s="249"/>
    </row>
    <row r="327" spans="1:42" ht="17.100000000000001" customHeight="1" outlineLevel="5" thickBot="1" x14ac:dyDescent="0.3">
      <c r="A327" s="222"/>
      <c r="B327" s="220"/>
      <c r="C327" s="230"/>
      <c r="D327" s="233"/>
      <c r="E327" s="236"/>
      <c r="F327" s="9">
        <v>63</v>
      </c>
      <c r="G327" s="36"/>
      <c r="H327" s="37"/>
      <c r="I327" s="37"/>
      <c r="J327" s="37"/>
      <c r="K327" s="37"/>
      <c r="L327" s="37"/>
      <c r="M327" s="37"/>
      <c r="N327" s="37"/>
      <c r="O327" s="37"/>
      <c r="P327" s="38"/>
      <c r="Q327" s="18"/>
      <c r="R327" s="36"/>
      <c r="S327" s="37"/>
      <c r="T327" s="37"/>
      <c r="U327" s="37"/>
      <c r="V327" s="37"/>
      <c r="W327" s="37"/>
      <c r="X327" s="37"/>
      <c r="Y327" s="37"/>
      <c r="Z327" s="37"/>
      <c r="AA327" s="38"/>
      <c r="AB327" s="52" t="e">
        <f t="shared" si="9"/>
        <v>#DIV/0!</v>
      </c>
      <c r="AC327" s="53" t="e">
        <f t="shared" si="9"/>
        <v>#DIV/0!</v>
      </c>
      <c r="AD327" s="19"/>
      <c r="AE327" s="19"/>
      <c r="AF327" s="286"/>
      <c r="AG327" s="247"/>
      <c r="AH327" s="243"/>
      <c r="AI327" s="243"/>
      <c r="AJ327" s="246"/>
      <c r="AK327" s="247"/>
      <c r="AL327" s="250"/>
      <c r="AM327" s="247"/>
      <c r="AN327" s="250"/>
      <c r="AO327" s="253"/>
      <c r="AP327" s="250"/>
    </row>
    <row r="328" spans="1:42" ht="17.100000000000001" customHeight="1" outlineLevel="5" x14ac:dyDescent="0.25">
      <c r="A328" s="222"/>
      <c r="B328" s="218" t="s">
        <v>2</v>
      </c>
      <c r="C328" s="228" t="s">
        <v>80</v>
      </c>
      <c r="D328" s="231">
        <v>24</v>
      </c>
      <c r="E328" s="234">
        <v>10</v>
      </c>
      <c r="F328" s="7">
        <v>23</v>
      </c>
      <c r="G328" s="31"/>
      <c r="H328" s="32"/>
      <c r="I328" s="32"/>
      <c r="J328" s="32"/>
      <c r="K328" s="32"/>
      <c r="L328" s="32"/>
      <c r="M328" s="32"/>
      <c r="N328" s="32"/>
      <c r="O328" s="32"/>
      <c r="P328" s="33"/>
      <c r="Q328" s="18"/>
      <c r="R328" s="31"/>
      <c r="S328" s="32"/>
      <c r="T328" s="32"/>
      <c r="U328" s="32"/>
      <c r="V328" s="32"/>
      <c r="W328" s="32"/>
      <c r="X328" s="32"/>
      <c r="Y328" s="32"/>
      <c r="Z328" s="32"/>
      <c r="AA328" s="33"/>
      <c r="AB328" s="48" t="e">
        <f t="shared" si="9"/>
        <v>#DIV/0!</v>
      </c>
      <c r="AC328" s="49" t="e">
        <f t="shared" si="9"/>
        <v>#DIV/0!</v>
      </c>
      <c r="AD328" s="19"/>
      <c r="AE328" s="19"/>
      <c r="AF328" s="284" t="s">
        <v>126</v>
      </c>
      <c r="AG328" s="239" t="e" cm="1">
        <f t="array" ref="AG328">bdRateExtend($G328:$G331,G328:G331,$R328:$R331,R328:R331)</f>
        <v>#VALUE!</v>
      </c>
      <c r="AH328" s="241" t="e" cm="1">
        <f t="array" ref="AH328">bdRateExtend($G328:$G333,H328:H333,$R328:$R333,S328:S333)</f>
        <v>#VALUE!</v>
      </c>
      <c r="AI328" s="241" t="e" cm="1">
        <f t="array" ref="AI328">bdRateExtend($G328:$G333,I328:I333,$R328:$R333,T328:T333)</f>
        <v>#VALUE!</v>
      </c>
      <c r="AJ328" s="244" t="e" cm="1">
        <f t="array" ref="AJ328">bdRateExtend($G328:$G333,J328:J333,$R328:$R333,U328:U333)</f>
        <v>#VALUE!</v>
      </c>
      <c r="AK328" s="239" t="e" cm="1">
        <f t="array" ref="AK328">bdRateExtend($G328:$G331,K328:K331,$R328:$R331,V328:V331)</f>
        <v>#VALUE!</v>
      </c>
      <c r="AL328" s="248" t="e" cm="1">
        <f t="array" ref="AL328">bdRateExtend($G328:$G333,K328:K333,$R328:$R333,V328:V333)</f>
        <v>#VALUE!</v>
      </c>
      <c r="AM328" s="239" t="e" cm="1">
        <f t="array" ref="AM328">bdRateExtend($G328:$G331,L328:L331,$R328:$R331,W328:W331)</f>
        <v>#VALUE!</v>
      </c>
      <c r="AN328" s="248" t="e" cm="1">
        <f t="array" ref="AN328">bdRateExtend($G328:$G333,L328:L333,$R328:$R333,W328:W333)</f>
        <v>#VALUE!</v>
      </c>
      <c r="AO328" s="254" t="e" cm="1">
        <f t="array" ref="AO328">bdRateExtend($G328:$G331,M328:M331,$R328:$R331,X328:X331)</f>
        <v>#VALUE!</v>
      </c>
      <c r="AP328" s="248" t="e" cm="1">
        <f t="array" ref="AP328">bdRateExtend($G328:$G333,M328:M333,$R328:$R333,X328:X333)</f>
        <v>#VALUE!</v>
      </c>
    </row>
    <row r="329" spans="1:42" ht="17.100000000000001" customHeight="1" outlineLevel="5" x14ac:dyDescent="0.25">
      <c r="A329" s="222"/>
      <c r="B329" s="219"/>
      <c r="C329" s="229"/>
      <c r="D329" s="232"/>
      <c r="E329" s="235"/>
      <c r="F329" s="16">
        <v>31</v>
      </c>
      <c r="G329" s="34"/>
      <c r="H329" s="39"/>
      <c r="I329" s="39"/>
      <c r="J329" s="39"/>
      <c r="K329" s="39"/>
      <c r="L329" s="39"/>
      <c r="M329" s="39"/>
      <c r="N329" s="39"/>
      <c r="O329" s="39"/>
      <c r="P329" s="35"/>
      <c r="Q329" s="18"/>
      <c r="R329" s="34"/>
      <c r="S329" s="39"/>
      <c r="T329" s="39"/>
      <c r="U329" s="39"/>
      <c r="V329" s="39"/>
      <c r="W329" s="39"/>
      <c r="X329" s="39"/>
      <c r="Y329" s="39"/>
      <c r="Z329" s="39"/>
      <c r="AA329" s="35"/>
      <c r="AB329" s="50" t="e">
        <f t="shared" si="9"/>
        <v>#DIV/0!</v>
      </c>
      <c r="AC329" s="51" t="e">
        <f t="shared" si="9"/>
        <v>#DIV/0!</v>
      </c>
      <c r="AD329" s="19"/>
      <c r="AE329" s="19"/>
      <c r="AF329" s="285"/>
      <c r="AG329" s="240"/>
      <c r="AH329" s="242"/>
      <c r="AI329" s="242"/>
      <c r="AJ329" s="245"/>
      <c r="AK329" s="240"/>
      <c r="AL329" s="249"/>
      <c r="AM329" s="240"/>
      <c r="AN329" s="249"/>
      <c r="AO329" s="252"/>
      <c r="AP329" s="249"/>
    </row>
    <row r="330" spans="1:42" ht="17.100000000000001" customHeight="1" outlineLevel="5" x14ac:dyDescent="0.25">
      <c r="A330" s="222"/>
      <c r="B330" s="219"/>
      <c r="C330" s="229"/>
      <c r="D330" s="232"/>
      <c r="E330" s="235"/>
      <c r="F330" s="16">
        <v>39</v>
      </c>
      <c r="G330" s="34"/>
      <c r="H330" s="39"/>
      <c r="I330" s="39"/>
      <c r="J330" s="39"/>
      <c r="K330" s="39"/>
      <c r="L330" s="39"/>
      <c r="M330" s="39"/>
      <c r="N330" s="39"/>
      <c r="O330" s="39"/>
      <c r="P330" s="35"/>
      <c r="Q330" s="18"/>
      <c r="R330" s="34"/>
      <c r="S330" s="39"/>
      <c r="T330" s="39"/>
      <c r="U330" s="39"/>
      <c r="V330" s="39"/>
      <c r="W330" s="39"/>
      <c r="X330" s="39"/>
      <c r="Y330" s="39"/>
      <c r="Z330" s="39"/>
      <c r="AA330" s="35"/>
      <c r="AB330" s="50" t="e">
        <f t="shared" si="9"/>
        <v>#DIV/0!</v>
      </c>
      <c r="AC330" s="51" t="e">
        <f t="shared" si="9"/>
        <v>#DIV/0!</v>
      </c>
      <c r="AD330" s="19"/>
      <c r="AE330" s="19"/>
      <c r="AF330" s="285" t="s">
        <v>127</v>
      </c>
      <c r="AG330" s="240" t="e" cm="1">
        <f t="array" ref="AG330">bdRateExtend($G329:$G332,G329:G332,$R329:$R332,R329:R332)</f>
        <v>#VALUE!</v>
      </c>
      <c r="AH330" s="242"/>
      <c r="AI330" s="242"/>
      <c r="AJ330" s="245"/>
      <c r="AK330" s="240" t="e" cm="1">
        <f t="array" ref="AK330">bdRateExtend($G329:$G332,K329:K332,$R329:$R332,V329:V332)</f>
        <v>#VALUE!</v>
      </c>
      <c r="AL330" s="249"/>
      <c r="AM330" s="240" t="e" cm="1">
        <f t="array" ref="AM330">bdRateExtend($G329:$G332,L329:L332,$R329:$R332,W329:W332)</f>
        <v>#VALUE!</v>
      </c>
      <c r="AN330" s="249"/>
      <c r="AO330" s="252" t="e" cm="1">
        <f t="array" ref="AO330">bdRateExtend($G329:$G332,M329:M332,$R329:$R332,X329:X332)</f>
        <v>#VALUE!</v>
      </c>
      <c r="AP330" s="249"/>
    </row>
    <row r="331" spans="1:42" ht="17.100000000000001" customHeight="1" outlineLevel="5" x14ac:dyDescent="0.25">
      <c r="A331" s="222"/>
      <c r="B331" s="219"/>
      <c r="C331" s="229"/>
      <c r="D331" s="232"/>
      <c r="E331" s="235"/>
      <c r="F331" s="16">
        <v>47</v>
      </c>
      <c r="G331" s="34"/>
      <c r="H331" s="39"/>
      <c r="I331" s="39"/>
      <c r="J331" s="39"/>
      <c r="K331" s="39"/>
      <c r="L331" s="39"/>
      <c r="M331" s="39"/>
      <c r="N331" s="39"/>
      <c r="O331" s="39"/>
      <c r="P331" s="35"/>
      <c r="Q331" s="18"/>
      <c r="R331" s="34"/>
      <c r="S331" s="39"/>
      <c r="T331" s="39"/>
      <c r="U331" s="39"/>
      <c r="V331" s="39"/>
      <c r="W331" s="39"/>
      <c r="X331" s="39"/>
      <c r="Y331" s="39"/>
      <c r="Z331" s="39"/>
      <c r="AA331" s="35"/>
      <c r="AB331" s="50" t="e">
        <f t="shared" si="9"/>
        <v>#DIV/0!</v>
      </c>
      <c r="AC331" s="51" t="e">
        <f t="shared" si="9"/>
        <v>#DIV/0!</v>
      </c>
      <c r="AD331" s="19"/>
      <c r="AE331" s="19"/>
      <c r="AF331" s="285"/>
      <c r="AG331" s="240"/>
      <c r="AH331" s="242"/>
      <c r="AI331" s="242"/>
      <c r="AJ331" s="245"/>
      <c r="AK331" s="240"/>
      <c r="AL331" s="249"/>
      <c r="AM331" s="240"/>
      <c r="AN331" s="249"/>
      <c r="AO331" s="252"/>
      <c r="AP331" s="249"/>
    </row>
    <row r="332" spans="1:42" ht="17.100000000000001" customHeight="1" outlineLevel="5" x14ac:dyDescent="0.25">
      <c r="A332" s="222"/>
      <c r="B332" s="219"/>
      <c r="C332" s="229"/>
      <c r="D332" s="232"/>
      <c r="E332" s="235"/>
      <c r="F332" s="16">
        <v>55</v>
      </c>
      <c r="G332" s="34"/>
      <c r="H332" s="39"/>
      <c r="I332" s="39"/>
      <c r="J332" s="39"/>
      <c r="K332" s="39"/>
      <c r="L332" s="39"/>
      <c r="M332" s="39"/>
      <c r="N332" s="39"/>
      <c r="O332" s="39"/>
      <c r="P332" s="35"/>
      <c r="Q332" s="18"/>
      <c r="R332" s="34"/>
      <c r="S332" s="39"/>
      <c r="T332" s="39"/>
      <c r="U332" s="39"/>
      <c r="V332" s="39"/>
      <c r="W332" s="39"/>
      <c r="X332" s="39"/>
      <c r="Y332" s="39"/>
      <c r="Z332" s="39"/>
      <c r="AA332" s="35"/>
      <c r="AB332" s="50" t="e">
        <f t="shared" si="9"/>
        <v>#DIV/0!</v>
      </c>
      <c r="AC332" s="51" t="e">
        <f t="shared" si="9"/>
        <v>#DIV/0!</v>
      </c>
      <c r="AD332" s="19"/>
      <c r="AE332" s="19"/>
      <c r="AF332" s="285" t="s">
        <v>128</v>
      </c>
      <c r="AG332" s="240" t="e" cm="1">
        <f t="array" ref="AG332">bdRateExtend($G330:$G333,G330:G333,$R330:$R333,R330:R333)</f>
        <v>#VALUE!</v>
      </c>
      <c r="AH332" s="242"/>
      <c r="AI332" s="242"/>
      <c r="AJ332" s="245"/>
      <c r="AK332" s="240" t="e" cm="1">
        <f t="array" ref="AK332">bdRateExtend($G330:$G333,K330:K333,$R330:$R333,V330:V333)</f>
        <v>#VALUE!</v>
      </c>
      <c r="AL332" s="249"/>
      <c r="AM332" s="240" t="e" cm="1">
        <f t="array" ref="AM332">bdRateExtend($G330:$G333,L330:L333,$R330:$R333,W330:W333)</f>
        <v>#VALUE!</v>
      </c>
      <c r="AN332" s="249"/>
      <c r="AO332" s="252" t="e" cm="1">
        <f t="array" ref="AO332">bdRateExtend($G330:$G333,M330:M333,$R330:$R333,X330:X333)</f>
        <v>#VALUE!</v>
      </c>
      <c r="AP332" s="249"/>
    </row>
    <row r="333" spans="1:42" ht="17.100000000000001" customHeight="1" outlineLevel="5" thickBot="1" x14ac:dyDescent="0.3">
      <c r="A333" s="222"/>
      <c r="B333" s="220"/>
      <c r="C333" s="230"/>
      <c r="D333" s="233"/>
      <c r="E333" s="236"/>
      <c r="F333" s="9">
        <v>63</v>
      </c>
      <c r="G333" s="36"/>
      <c r="H333" s="37"/>
      <c r="I333" s="37"/>
      <c r="J333" s="37"/>
      <c r="K333" s="37"/>
      <c r="L333" s="37"/>
      <c r="M333" s="37"/>
      <c r="N333" s="37"/>
      <c r="O333" s="37"/>
      <c r="P333" s="38"/>
      <c r="Q333" s="18"/>
      <c r="R333" s="36"/>
      <c r="S333" s="37"/>
      <c r="T333" s="37"/>
      <c r="U333" s="37"/>
      <c r="V333" s="37"/>
      <c r="W333" s="37"/>
      <c r="X333" s="37"/>
      <c r="Y333" s="37"/>
      <c r="Z333" s="37"/>
      <c r="AA333" s="38"/>
      <c r="AB333" s="52" t="e">
        <f t="shared" si="9"/>
        <v>#DIV/0!</v>
      </c>
      <c r="AC333" s="53" t="e">
        <f t="shared" si="9"/>
        <v>#DIV/0!</v>
      </c>
      <c r="AD333" s="19"/>
      <c r="AE333" s="19"/>
      <c r="AF333" s="286"/>
      <c r="AG333" s="247"/>
      <c r="AH333" s="243"/>
      <c r="AI333" s="243"/>
      <c r="AJ333" s="246"/>
      <c r="AK333" s="247"/>
      <c r="AL333" s="250"/>
      <c r="AM333" s="247"/>
      <c r="AN333" s="250"/>
      <c r="AO333" s="253"/>
      <c r="AP333" s="250"/>
    </row>
    <row r="334" spans="1:42" ht="17.100000000000001" customHeight="1" outlineLevel="5" x14ac:dyDescent="0.25">
      <c r="A334" s="222"/>
      <c r="B334" s="218" t="s">
        <v>2</v>
      </c>
      <c r="C334" s="228" t="s">
        <v>81</v>
      </c>
      <c r="D334" s="231">
        <v>30</v>
      </c>
      <c r="E334" s="234" t="s">
        <v>23</v>
      </c>
      <c r="F334" s="7">
        <v>23</v>
      </c>
      <c r="G334" s="31"/>
      <c r="H334" s="32"/>
      <c r="I334" s="32"/>
      <c r="J334" s="32"/>
      <c r="K334" s="32"/>
      <c r="L334" s="32"/>
      <c r="M334" s="32"/>
      <c r="N334" s="32"/>
      <c r="O334" s="32"/>
      <c r="P334" s="33"/>
      <c r="Q334" s="18"/>
      <c r="R334" s="31"/>
      <c r="S334" s="32"/>
      <c r="T334" s="32"/>
      <c r="U334" s="32"/>
      <c r="V334" s="32"/>
      <c r="W334" s="32"/>
      <c r="X334" s="32"/>
      <c r="Y334" s="32"/>
      <c r="Z334" s="32"/>
      <c r="AA334" s="33"/>
      <c r="AB334" s="48" t="e">
        <f t="shared" si="9"/>
        <v>#DIV/0!</v>
      </c>
      <c r="AC334" s="49" t="e">
        <f t="shared" si="9"/>
        <v>#DIV/0!</v>
      </c>
      <c r="AD334" s="19"/>
      <c r="AE334" s="19"/>
      <c r="AF334" s="284" t="s">
        <v>126</v>
      </c>
      <c r="AG334" s="239" t="e" cm="1">
        <f t="array" ref="AG334">bdRateExtend($G334:$G337,G334:G337,$R334:$R337,R334:R337)</f>
        <v>#VALUE!</v>
      </c>
      <c r="AH334" s="241" t="e" cm="1">
        <f t="array" ref="AH334">bdRateExtend($G334:$G339,H334:H339,$R334:$R339,S334:S339)</f>
        <v>#VALUE!</v>
      </c>
      <c r="AI334" s="241" t="e" cm="1">
        <f t="array" ref="AI334">bdRateExtend($G334:$G339,I334:I339,$R334:$R339,T334:T339)</f>
        <v>#VALUE!</v>
      </c>
      <c r="AJ334" s="244" t="e" cm="1">
        <f t="array" ref="AJ334">bdRateExtend($G334:$G339,J334:J339,$R334:$R339,U334:U339)</f>
        <v>#VALUE!</v>
      </c>
      <c r="AK334" s="239" t="e" cm="1">
        <f t="array" ref="AK334">bdRateExtend($G334:$G337,K334:K337,$R334:$R337,V334:V337)</f>
        <v>#VALUE!</v>
      </c>
      <c r="AL334" s="248" t="e" cm="1">
        <f t="array" ref="AL334">bdRateExtend($G334:$G339,K334:K339,$R334:$R339,V334:V339)</f>
        <v>#VALUE!</v>
      </c>
      <c r="AM334" s="239" t="e" cm="1">
        <f t="array" ref="AM334">bdRateExtend($G334:$G337,L334:L337,$R334:$R337,W334:W337)</f>
        <v>#VALUE!</v>
      </c>
      <c r="AN334" s="248" t="e" cm="1">
        <f t="array" ref="AN334">bdRateExtend($G334:$G339,L334:L339,$R334:$R339,W334:W339)</f>
        <v>#VALUE!</v>
      </c>
      <c r="AO334" s="254" t="e" cm="1">
        <f t="array" ref="AO334">bdRateExtend($G334:$G337,M334:M337,$R334:$R337,X334:X337)</f>
        <v>#VALUE!</v>
      </c>
      <c r="AP334" s="248" t="e" cm="1">
        <f t="array" ref="AP334">bdRateExtend($G334:$G339,M334:M339,$R334:$R339,X334:X339)</f>
        <v>#VALUE!</v>
      </c>
    </row>
    <row r="335" spans="1:42" ht="17.100000000000001" customHeight="1" outlineLevel="5" x14ac:dyDescent="0.25">
      <c r="A335" s="222"/>
      <c r="B335" s="219"/>
      <c r="C335" s="229"/>
      <c r="D335" s="232"/>
      <c r="E335" s="235"/>
      <c r="F335" s="16">
        <v>31</v>
      </c>
      <c r="G335" s="34"/>
      <c r="H335" s="39"/>
      <c r="I335" s="39"/>
      <c r="J335" s="39"/>
      <c r="K335" s="39"/>
      <c r="L335" s="39"/>
      <c r="M335" s="39"/>
      <c r="N335" s="39"/>
      <c r="O335" s="39"/>
      <c r="P335" s="35"/>
      <c r="Q335" s="18"/>
      <c r="R335" s="34"/>
      <c r="S335" s="39"/>
      <c r="T335" s="39"/>
      <c r="U335" s="39"/>
      <c r="V335" s="39"/>
      <c r="W335" s="39"/>
      <c r="X335" s="39"/>
      <c r="Y335" s="39"/>
      <c r="Z335" s="39"/>
      <c r="AA335" s="35"/>
      <c r="AB335" s="50" t="e">
        <f t="shared" si="9"/>
        <v>#DIV/0!</v>
      </c>
      <c r="AC335" s="51" t="e">
        <f t="shared" si="9"/>
        <v>#DIV/0!</v>
      </c>
      <c r="AD335" s="19"/>
      <c r="AE335" s="19"/>
      <c r="AF335" s="285"/>
      <c r="AG335" s="240"/>
      <c r="AH335" s="242"/>
      <c r="AI335" s="242"/>
      <c r="AJ335" s="245"/>
      <c r="AK335" s="240"/>
      <c r="AL335" s="249"/>
      <c r="AM335" s="240"/>
      <c r="AN335" s="249"/>
      <c r="AO335" s="252"/>
      <c r="AP335" s="249"/>
    </row>
    <row r="336" spans="1:42" ht="17.100000000000001" customHeight="1" outlineLevel="5" x14ac:dyDescent="0.25">
      <c r="A336" s="222"/>
      <c r="B336" s="219"/>
      <c r="C336" s="229"/>
      <c r="D336" s="232"/>
      <c r="E336" s="235"/>
      <c r="F336" s="16">
        <v>39</v>
      </c>
      <c r="G336" s="34"/>
      <c r="H336" s="39"/>
      <c r="I336" s="39"/>
      <c r="J336" s="39"/>
      <c r="K336" s="39"/>
      <c r="L336" s="39"/>
      <c r="M336" s="39"/>
      <c r="N336" s="39"/>
      <c r="O336" s="39"/>
      <c r="P336" s="35"/>
      <c r="Q336" s="18"/>
      <c r="R336" s="34"/>
      <c r="S336" s="39"/>
      <c r="T336" s="39"/>
      <c r="U336" s="39"/>
      <c r="V336" s="39"/>
      <c r="W336" s="39"/>
      <c r="X336" s="39"/>
      <c r="Y336" s="39"/>
      <c r="Z336" s="39"/>
      <c r="AA336" s="35"/>
      <c r="AB336" s="50" t="e">
        <f t="shared" si="9"/>
        <v>#DIV/0!</v>
      </c>
      <c r="AC336" s="51" t="e">
        <f t="shared" si="9"/>
        <v>#DIV/0!</v>
      </c>
      <c r="AD336" s="19"/>
      <c r="AE336" s="19"/>
      <c r="AF336" s="285" t="s">
        <v>127</v>
      </c>
      <c r="AG336" s="240" t="e" cm="1">
        <f t="array" ref="AG336">bdRateExtend($G335:$G338,G335:G338,$R335:$R338,R335:R338)</f>
        <v>#VALUE!</v>
      </c>
      <c r="AH336" s="242"/>
      <c r="AI336" s="242"/>
      <c r="AJ336" s="245"/>
      <c r="AK336" s="240" t="e" cm="1">
        <f t="array" ref="AK336">bdRateExtend($G335:$G338,K335:K338,$R335:$R338,V335:V338)</f>
        <v>#VALUE!</v>
      </c>
      <c r="AL336" s="249"/>
      <c r="AM336" s="240" t="e" cm="1">
        <f t="array" ref="AM336">bdRateExtend($G335:$G338,L335:L338,$R335:$R338,W335:W338)</f>
        <v>#VALUE!</v>
      </c>
      <c r="AN336" s="249"/>
      <c r="AO336" s="252" t="e" cm="1">
        <f t="array" ref="AO336">bdRateExtend($G335:$G338,M335:M338,$R335:$R338,X335:X338)</f>
        <v>#VALUE!</v>
      </c>
      <c r="AP336" s="249"/>
    </row>
    <row r="337" spans="1:42" ht="17.100000000000001" customHeight="1" outlineLevel="5" x14ac:dyDescent="0.25">
      <c r="A337" s="222"/>
      <c r="B337" s="219"/>
      <c r="C337" s="229"/>
      <c r="D337" s="232"/>
      <c r="E337" s="235"/>
      <c r="F337" s="16">
        <v>47</v>
      </c>
      <c r="G337" s="34"/>
      <c r="H337" s="39"/>
      <c r="I337" s="39"/>
      <c r="J337" s="39"/>
      <c r="K337" s="39"/>
      <c r="L337" s="39"/>
      <c r="M337" s="39"/>
      <c r="N337" s="39"/>
      <c r="O337" s="39"/>
      <c r="P337" s="35"/>
      <c r="Q337" s="18"/>
      <c r="R337" s="34"/>
      <c r="S337" s="39"/>
      <c r="T337" s="39"/>
      <c r="U337" s="39"/>
      <c r="V337" s="39"/>
      <c r="W337" s="39"/>
      <c r="X337" s="39"/>
      <c r="Y337" s="39"/>
      <c r="Z337" s="39"/>
      <c r="AA337" s="35"/>
      <c r="AB337" s="50" t="e">
        <f t="shared" si="9"/>
        <v>#DIV/0!</v>
      </c>
      <c r="AC337" s="51" t="e">
        <f t="shared" si="9"/>
        <v>#DIV/0!</v>
      </c>
      <c r="AD337" s="19"/>
      <c r="AE337" s="19"/>
      <c r="AF337" s="285"/>
      <c r="AG337" s="240"/>
      <c r="AH337" s="242"/>
      <c r="AI337" s="242"/>
      <c r="AJ337" s="245"/>
      <c r="AK337" s="240"/>
      <c r="AL337" s="249"/>
      <c r="AM337" s="240"/>
      <c r="AN337" s="249"/>
      <c r="AO337" s="252"/>
      <c r="AP337" s="249"/>
    </row>
    <row r="338" spans="1:42" ht="17.100000000000001" customHeight="1" outlineLevel="5" x14ac:dyDescent="0.25">
      <c r="A338" s="222"/>
      <c r="B338" s="219"/>
      <c r="C338" s="229"/>
      <c r="D338" s="232"/>
      <c r="E338" s="235"/>
      <c r="F338" s="16">
        <v>55</v>
      </c>
      <c r="G338" s="34"/>
      <c r="H338" s="39"/>
      <c r="I338" s="39"/>
      <c r="J338" s="39"/>
      <c r="K338" s="39"/>
      <c r="L338" s="39"/>
      <c r="M338" s="39"/>
      <c r="N338" s="39"/>
      <c r="O338" s="39"/>
      <c r="P338" s="35"/>
      <c r="Q338" s="18"/>
      <c r="R338" s="34"/>
      <c r="S338" s="39"/>
      <c r="T338" s="39"/>
      <c r="U338" s="39"/>
      <c r="V338" s="39"/>
      <c r="W338" s="39"/>
      <c r="X338" s="39"/>
      <c r="Y338" s="39"/>
      <c r="Z338" s="39"/>
      <c r="AA338" s="35"/>
      <c r="AB338" s="50" t="e">
        <f t="shared" si="9"/>
        <v>#DIV/0!</v>
      </c>
      <c r="AC338" s="51" t="e">
        <f t="shared" si="9"/>
        <v>#DIV/0!</v>
      </c>
      <c r="AD338" s="19"/>
      <c r="AE338" s="19"/>
      <c r="AF338" s="285" t="s">
        <v>128</v>
      </c>
      <c r="AG338" s="240" t="e" cm="1">
        <f t="array" ref="AG338">bdRateExtend($G336:$G339,G336:G339,$R336:$R339,R336:R339)</f>
        <v>#VALUE!</v>
      </c>
      <c r="AH338" s="242"/>
      <c r="AI338" s="242"/>
      <c r="AJ338" s="245"/>
      <c r="AK338" s="240" t="e" cm="1">
        <f t="array" ref="AK338">bdRateExtend($G336:$G339,K336:K339,$R336:$R339,V336:V339)</f>
        <v>#VALUE!</v>
      </c>
      <c r="AL338" s="249"/>
      <c r="AM338" s="240" t="e" cm="1">
        <f t="array" ref="AM338">bdRateExtend($G336:$G339,L336:L339,$R336:$R339,W336:W339)</f>
        <v>#VALUE!</v>
      </c>
      <c r="AN338" s="249"/>
      <c r="AO338" s="252" t="e" cm="1">
        <f t="array" ref="AO338">bdRateExtend($G336:$G339,M336:M339,$R336:$R339,X336:X339)</f>
        <v>#VALUE!</v>
      </c>
      <c r="AP338" s="249"/>
    </row>
    <row r="339" spans="1:42" ht="17.100000000000001" customHeight="1" outlineLevel="5" thickBot="1" x14ac:dyDescent="0.3">
      <c r="A339" s="223"/>
      <c r="B339" s="220"/>
      <c r="C339" s="230"/>
      <c r="D339" s="233"/>
      <c r="E339" s="236"/>
      <c r="F339" s="9">
        <v>63</v>
      </c>
      <c r="G339" s="36"/>
      <c r="H339" s="37"/>
      <c r="I339" s="37"/>
      <c r="J339" s="37"/>
      <c r="K339" s="37"/>
      <c r="L339" s="37"/>
      <c r="M339" s="37"/>
      <c r="N339" s="37"/>
      <c r="O339" s="37"/>
      <c r="P339" s="38"/>
      <c r="Q339" s="18"/>
      <c r="R339" s="36"/>
      <c r="S339" s="37"/>
      <c r="T339" s="37"/>
      <c r="U339" s="37"/>
      <c r="V339" s="37"/>
      <c r="W339" s="37"/>
      <c r="X339" s="37"/>
      <c r="Y339" s="37"/>
      <c r="Z339" s="37"/>
      <c r="AA339" s="38"/>
      <c r="AB339" s="52" t="e">
        <f t="shared" si="9"/>
        <v>#DIV/0!</v>
      </c>
      <c r="AC339" s="53" t="e">
        <f t="shared" si="9"/>
        <v>#DIV/0!</v>
      </c>
      <c r="AD339" s="19"/>
      <c r="AE339" s="19"/>
      <c r="AF339" s="286"/>
      <c r="AG339" s="247"/>
      <c r="AH339" s="243"/>
      <c r="AI339" s="243"/>
      <c r="AJ339" s="246"/>
      <c r="AK339" s="247"/>
      <c r="AL339" s="250"/>
      <c r="AM339" s="247"/>
      <c r="AN339" s="250"/>
      <c r="AO339" s="253"/>
      <c r="AP339" s="250"/>
    </row>
    <row r="340" spans="1:42" ht="17.100000000000001" customHeight="1" outlineLevel="4" x14ac:dyDescent="0.25">
      <c r="A340" s="221" t="s">
        <v>107</v>
      </c>
      <c r="B340" s="218" t="s">
        <v>18</v>
      </c>
      <c r="C340" s="228" t="s">
        <v>82</v>
      </c>
      <c r="D340" s="231">
        <v>59.94</v>
      </c>
      <c r="E340" s="234">
        <v>10</v>
      </c>
      <c r="F340" s="7">
        <v>23</v>
      </c>
      <c r="G340" s="31"/>
      <c r="H340" s="32"/>
      <c r="I340" s="32"/>
      <c r="J340" s="32"/>
      <c r="K340" s="32"/>
      <c r="L340" s="32"/>
      <c r="M340" s="32"/>
      <c r="N340" s="32"/>
      <c r="O340" s="32"/>
      <c r="P340" s="33"/>
      <c r="Q340" s="18"/>
      <c r="R340" s="31"/>
      <c r="S340" s="32"/>
      <c r="T340" s="32"/>
      <c r="U340" s="32"/>
      <c r="V340" s="32"/>
      <c r="W340" s="32"/>
      <c r="X340" s="32"/>
      <c r="Y340" s="32"/>
      <c r="Z340" s="32"/>
      <c r="AA340" s="33"/>
      <c r="AB340" s="48" t="e">
        <f t="shared" si="9"/>
        <v>#DIV/0!</v>
      </c>
      <c r="AC340" s="49" t="e">
        <f t="shared" si="9"/>
        <v>#DIV/0!</v>
      </c>
      <c r="AD340" s="19"/>
      <c r="AE340" s="19"/>
      <c r="AF340" s="284" t="s">
        <v>126</v>
      </c>
      <c r="AG340" s="239" t="e" cm="1">
        <f t="array" ref="AG340">bdRateExtend($G340:$G343,G340:G343,$R340:$R343,R340:R343)</f>
        <v>#VALUE!</v>
      </c>
      <c r="AH340" s="241" t="e" cm="1">
        <f t="array" ref="AH340">bdRateExtend($G340:$G345,H340:H345,$R340:$R345,S340:S345)</f>
        <v>#VALUE!</v>
      </c>
      <c r="AI340" s="241" t="e" cm="1">
        <f t="array" ref="AI340">bdRateExtend($G340:$G345,I340:I345,$R340:$R345,T340:T345)</f>
        <v>#VALUE!</v>
      </c>
      <c r="AJ340" s="244" t="e" cm="1">
        <f t="array" ref="AJ340">bdRateExtend($G340:$G345,J340:J345,$R340:$R345,U340:U345)</f>
        <v>#VALUE!</v>
      </c>
      <c r="AK340" s="239" t="e" cm="1">
        <f t="array" ref="AK340">bdRateExtend($G340:$G343,K340:K343,$R340:$R343,V340:V343)</f>
        <v>#VALUE!</v>
      </c>
      <c r="AL340" s="248" t="e" cm="1">
        <f t="array" ref="AL340">bdRateExtend($G340:$G345,K340:K345,$R340:$R345,V340:V345)</f>
        <v>#VALUE!</v>
      </c>
      <c r="AM340" s="239" t="e" cm="1">
        <f t="array" ref="AM340">bdRateExtend($G340:$G343,L340:L343,$R340:$R343,W340:W343)</f>
        <v>#VALUE!</v>
      </c>
      <c r="AN340" s="248" t="e" cm="1">
        <f t="array" ref="AN340">bdRateExtend($G340:$G345,L340:L345,$R340:$R345,W340:W345)</f>
        <v>#VALUE!</v>
      </c>
      <c r="AO340" s="254" t="e" cm="1">
        <f t="array" ref="AO340">bdRateExtend($G340:$G343,M340:M343,$R340:$R343,X340:X343)</f>
        <v>#VALUE!</v>
      </c>
      <c r="AP340" s="248" t="e" cm="1">
        <f t="array" ref="AP340">bdRateExtend($G340:$G345,M340:M345,$R340:$R345,X340:X345)</f>
        <v>#VALUE!</v>
      </c>
    </row>
    <row r="341" spans="1:42" ht="17.100000000000001" customHeight="1" outlineLevel="4" x14ac:dyDescent="0.25">
      <c r="A341" s="222"/>
      <c r="B341" s="219"/>
      <c r="C341" s="229"/>
      <c r="D341" s="232"/>
      <c r="E341" s="235"/>
      <c r="F341" s="16">
        <v>31</v>
      </c>
      <c r="G341" s="34"/>
      <c r="H341" s="39"/>
      <c r="I341" s="39"/>
      <c r="J341" s="39"/>
      <c r="K341" s="39"/>
      <c r="L341" s="39"/>
      <c r="M341" s="39"/>
      <c r="N341" s="39"/>
      <c r="O341" s="39"/>
      <c r="P341" s="35"/>
      <c r="Q341" s="18"/>
      <c r="R341" s="34"/>
      <c r="S341" s="39"/>
      <c r="T341" s="39"/>
      <c r="U341" s="39"/>
      <c r="V341" s="39"/>
      <c r="W341" s="39"/>
      <c r="X341" s="39"/>
      <c r="Y341" s="39"/>
      <c r="Z341" s="39"/>
      <c r="AA341" s="35"/>
      <c r="AB341" s="50" t="e">
        <f t="shared" si="9"/>
        <v>#DIV/0!</v>
      </c>
      <c r="AC341" s="51" t="e">
        <f t="shared" si="9"/>
        <v>#DIV/0!</v>
      </c>
      <c r="AD341" s="19"/>
      <c r="AE341" s="19"/>
      <c r="AF341" s="285"/>
      <c r="AG341" s="240"/>
      <c r="AH341" s="242"/>
      <c r="AI341" s="242"/>
      <c r="AJ341" s="245"/>
      <c r="AK341" s="240"/>
      <c r="AL341" s="249"/>
      <c r="AM341" s="240"/>
      <c r="AN341" s="249"/>
      <c r="AO341" s="252"/>
      <c r="AP341" s="249"/>
    </row>
    <row r="342" spans="1:42" ht="17.100000000000001" customHeight="1" outlineLevel="4" x14ac:dyDescent="0.25">
      <c r="A342" s="222"/>
      <c r="B342" s="219"/>
      <c r="C342" s="229"/>
      <c r="D342" s="232"/>
      <c r="E342" s="235"/>
      <c r="F342" s="16">
        <v>39</v>
      </c>
      <c r="G342" s="34"/>
      <c r="H342" s="39"/>
      <c r="I342" s="39"/>
      <c r="J342" s="39"/>
      <c r="K342" s="39"/>
      <c r="L342" s="39"/>
      <c r="M342" s="39"/>
      <c r="N342" s="39"/>
      <c r="O342" s="39"/>
      <c r="P342" s="35"/>
      <c r="Q342" s="18"/>
      <c r="R342" s="34"/>
      <c r="S342" s="39"/>
      <c r="T342" s="39"/>
      <c r="U342" s="39"/>
      <c r="V342" s="39"/>
      <c r="W342" s="39"/>
      <c r="X342" s="39"/>
      <c r="Y342" s="39"/>
      <c r="Z342" s="39"/>
      <c r="AA342" s="35"/>
      <c r="AB342" s="50" t="e">
        <f t="shared" si="9"/>
        <v>#DIV/0!</v>
      </c>
      <c r="AC342" s="51" t="e">
        <f t="shared" si="9"/>
        <v>#DIV/0!</v>
      </c>
      <c r="AD342" s="19"/>
      <c r="AE342" s="19"/>
      <c r="AF342" s="285" t="s">
        <v>127</v>
      </c>
      <c r="AG342" s="240" t="e" cm="1">
        <f t="array" ref="AG342">bdRateExtend($G341:$G344,G341:G344,$R341:$R344,R341:R344)</f>
        <v>#VALUE!</v>
      </c>
      <c r="AH342" s="242"/>
      <c r="AI342" s="242"/>
      <c r="AJ342" s="245"/>
      <c r="AK342" s="240" t="e" cm="1">
        <f t="array" ref="AK342">bdRateExtend($G341:$G344,K341:K344,$R341:$R344,V341:V344)</f>
        <v>#VALUE!</v>
      </c>
      <c r="AL342" s="249"/>
      <c r="AM342" s="240" t="e" cm="1">
        <f t="array" ref="AM342">bdRateExtend($G341:$G344,L341:L344,$R341:$R344,W341:W344)</f>
        <v>#VALUE!</v>
      </c>
      <c r="AN342" s="249"/>
      <c r="AO342" s="252" t="e" cm="1">
        <f t="array" ref="AO342">bdRateExtend($G341:$G344,M341:M344,$R341:$R344,X341:X344)</f>
        <v>#VALUE!</v>
      </c>
      <c r="AP342" s="249"/>
    </row>
    <row r="343" spans="1:42" ht="17.100000000000001" customHeight="1" outlineLevel="4" x14ac:dyDescent="0.25">
      <c r="A343" s="222"/>
      <c r="B343" s="219"/>
      <c r="C343" s="229"/>
      <c r="D343" s="232"/>
      <c r="E343" s="235"/>
      <c r="F343" s="16">
        <v>47</v>
      </c>
      <c r="G343" s="34"/>
      <c r="H343" s="39"/>
      <c r="I343" s="39"/>
      <c r="J343" s="39"/>
      <c r="K343" s="39"/>
      <c r="L343" s="39"/>
      <c r="M343" s="39"/>
      <c r="N343" s="39"/>
      <c r="O343" s="39"/>
      <c r="P343" s="35"/>
      <c r="Q343" s="18"/>
      <c r="R343" s="34"/>
      <c r="S343" s="39"/>
      <c r="T343" s="39"/>
      <c r="U343" s="39"/>
      <c r="V343" s="39"/>
      <c r="W343" s="39"/>
      <c r="X343" s="39"/>
      <c r="Y343" s="39"/>
      <c r="Z343" s="39"/>
      <c r="AA343" s="35"/>
      <c r="AB343" s="50" t="e">
        <f t="shared" si="9"/>
        <v>#DIV/0!</v>
      </c>
      <c r="AC343" s="51" t="e">
        <f t="shared" si="9"/>
        <v>#DIV/0!</v>
      </c>
      <c r="AD343" s="19"/>
      <c r="AE343" s="19"/>
      <c r="AF343" s="285"/>
      <c r="AG343" s="240"/>
      <c r="AH343" s="242"/>
      <c r="AI343" s="242"/>
      <c r="AJ343" s="245"/>
      <c r="AK343" s="240"/>
      <c r="AL343" s="249"/>
      <c r="AM343" s="240"/>
      <c r="AN343" s="249"/>
      <c r="AO343" s="252"/>
      <c r="AP343" s="249"/>
    </row>
    <row r="344" spans="1:42" ht="17.100000000000001" customHeight="1" outlineLevel="4" x14ac:dyDescent="0.25">
      <c r="A344" s="222"/>
      <c r="B344" s="219"/>
      <c r="C344" s="229"/>
      <c r="D344" s="232"/>
      <c r="E344" s="235"/>
      <c r="F344" s="16">
        <v>55</v>
      </c>
      <c r="G344" s="34"/>
      <c r="H344" s="39"/>
      <c r="I344" s="39"/>
      <c r="J344" s="39"/>
      <c r="K344" s="39"/>
      <c r="L344" s="39"/>
      <c r="M344" s="39"/>
      <c r="N344" s="39"/>
      <c r="O344" s="39"/>
      <c r="P344" s="35"/>
      <c r="Q344" s="18"/>
      <c r="R344" s="34"/>
      <c r="S344" s="39"/>
      <c r="T344" s="39"/>
      <c r="U344" s="39"/>
      <c r="V344" s="39"/>
      <c r="W344" s="39"/>
      <c r="X344" s="39"/>
      <c r="Y344" s="39"/>
      <c r="Z344" s="39"/>
      <c r="AA344" s="35"/>
      <c r="AB344" s="50" t="e">
        <f t="shared" si="9"/>
        <v>#DIV/0!</v>
      </c>
      <c r="AC344" s="51" t="e">
        <f t="shared" si="9"/>
        <v>#DIV/0!</v>
      </c>
      <c r="AD344" s="19"/>
      <c r="AE344" s="19"/>
      <c r="AF344" s="285" t="s">
        <v>128</v>
      </c>
      <c r="AG344" s="240" t="e" cm="1">
        <f t="array" ref="AG344">bdRateExtend($G342:$G345,G342:G345,$R342:$R345,R342:R345)</f>
        <v>#VALUE!</v>
      </c>
      <c r="AH344" s="242"/>
      <c r="AI344" s="242"/>
      <c r="AJ344" s="245"/>
      <c r="AK344" s="240" t="e" cm="1">
        <f t="array" ref="AK344">bdRateExtend($G342:$G345,K342:K345,$R342:$R345,V342:V345)</f>
        <v>#VALUE!</v>
      </c>
      <c r="AL344" s="249"/>
      <c r="AM344" s="240" t="e" cm="1">
        <f t="array" ref="AM344">bdRateExtend($G342:$G345,L342:L345,$R342:$R345,W342:W345)</f>
        <v>#VALUE!</v>
      </c>
      <c r="AN344" s="249"/>
      <c r="AO344" s="252" t="e" cm="1">
        <f t="array" ref="AO344">bdRateExtend($G342:$G345,M342:M345,$R342:$R345,X342:X345)</f>
        <v>#VALUE!</v>
      </c>
      <c r="AP344" s="249"/>
    </row>
    <row r="345" spans="1:42" ht="17.100000000000001" customHeight="1" outlineLevel="4" thickBot="1" x14ac:dyDescent="0.3">
      <c r="A345" s="222"/>
      <c r="B345" s="220"/>
      <c r="C345" s="230"/>
      <c r="D345" s="233"/>
      <c r="E345" s="236"/>
      <c r="F345" s="9">
        <v>63</v>
      </c>
      <c r="G345" s="36"/>
      <c r="H345" s="37"/>
      <c r="I345" s="37"/>
      <c r="J345" s="37"/>
      <c r="K345" s="37"/>
      <c r="L345" s="37"/>
      <c r="M345" s="37"/>
      <c r="N345" s="37"/>
      <c r="O345" s="37"/>
      <c r="P345" s="38"/>
      <c r="Q345" s="18"/>
      <c r="R345" s="36"/>
      <c r="S345" s="37"/>
      <c r="T345" s="37"/>
      <c r="U345" s="37"/>
      <c r="V345" s="37"/>
      <c r="W345" s="37"/>
      <c r="X345" s="37"/>
      <c r="Y345" s="37"/>
      <c r="Z345" s="37"/>
      <c r="AA345" s="38"/>
      <c r="AB345" s="52" t="e">
        <f t="shared" si="9"/>
        <v>#DIV/0!</v>
      </c>
      <c r="AC345" s="53" t="e">
        <f t="shared" si="9"/>
        <v>#DIV/0!</v>
      </c>
      <c r="AD345" s="19"/>
      <c r="AE345" s="19"/>
      <c r="AF345" s="286"/>
      <c r="AG345" s="247"/>
      <c r="AH345" s="243"/>
      <c r="AI345" s="243"/>
      <c r="AJ345" s="246"/>
      <c r="AK345" s="247"/>
      <c r="AL345" s="250"/>
      <c r="AM345" s="247"/>
      <c r="AN345" s="250"/>
      <c r="AO345" s="253"/>
      <c r="AP345" s="250"/>
    </row>
    <row r="346" spans="1:42" ht="17.100000000000001" customHeight="1" outlineLevel="4" x14ac:dyDescent="0.25">
      <c r="A346" s="222"/>
      <c r="B346" s="218" t="s">
        <v>18</v>
      </c>
      <c r="C346" s="228" t="s">
        <v>83</v>
      </c>
      <c r="D346" s="231">
        <v>60</v>
      </c>
      <c r="E346" s="234">
        <v>10</v>
      </c>
      <c r="F346" s="7">
        <v>23</v>
      </c>
      <c r="G346" s="31"/>
      <c r="H346" s="32"/>
      <c r="I346" s="32"/>
      <c r="J346" s="32"/>
      <c r="K346" s="32"/>
      <c r="L346" s="32"/>
      <c r="M346" s="32"/>
      <c r="N346" s="32"/>
      <c r="O346" s="32"/>
      <c r="P346" s="33"/>
      <c r="Q346" s="18"/>
      <c r="R346" s="31"/>
      <c r="S346" s="32"/>
      <c r="T346" s="32"/>
      <c r="U346" s="32"/>
      <c r="V346" s="32"/>
      <c r="W346" s="32"/>
      <c r="X346" s="32"/>
      <c r="Y346" s="32"/>
      <c r="Z346" s="32"/>
      <c r="AA346" s="33"/>
      <c r="AB346" s="48" t="e">
        <f t="shared" si="9"/>
        <v>#DIV/0!</v>
      </c>
      <c r="AC346" s="49" t="e">
        <f t="shared" si="9"/>
        <v>#DIV/0!</v>
      </c>
      <c r="AD346" s="19"/>
      <c r="AE346" s="19"/>
      <c r="AF346" s="284" t="s">
        <v>126</v>
      </c>
      <c r="AG346" s="239" t="e" cm="1">
        <f t="array" ref="AG346">bdRateExtend($G346:$G349,G346:G349,$R346:$R349,R346:R349)</f>
        <v>#VALUE!</v>
      </c>
      <c r="AH346" s="241" t="e" cm="1">
        <f t="array" ref="AH346">bdRateExtend($G346:$G351,H346:H351,$R346:$R351,S346:S351)</f>
        <v>#VALUE!</v>
      </c>
      <c r="AI346" s="241" t="e" cm="1">
        <f t="array" ref="AI346">bdRateExtend($G346:$G351,I346:I351,$R346:$R351,T346:T351)</f>
        <v>#VALUE!</v>
      </c>
      <c r="AJ346" s="244" t="e" cm="1">
        <f t="array" ref="AJ346">bdRateExtend($G346:$G351,J346:J351,$R346:$R351,U346:U351)</f>
        <v>#VALUE!</v>
      </c>
      <c r="AK346" s="239" t="e" cm="1">
        <f t="array" ref="AK346">bdRateExtend($G346:$G349,K346:K349,$R346:$R349,V346:V349)</f>
        <v>#VALUE!</v>
      </c>
      <c r="AL346" s="248" t="e" cm="1">
        <f t="array" ref="AL346">bdRateExtend($G346:$G351,K346:K351,$R346:$R351,V346:V351)</f>
        <v>#VALUE!</v>
      </c>
      <c r="AM346" s="239" t="e" cm="1">
        <f t="array" ref="AM346">bdRateExtend($G346:$G349,L346:L349,$R346:$R349,W346:W349)</f>
        <v>#VALUE!</v>
      </c>
      <c r="AN346" s="248" t="e" cm="1">
        <f t="array" ref="AN346">bdRateExtend($G346:$G351,L346:L351,$R346:$R351,W346:W351)</f>
        <v>#VALUE!</v>
      </c>
      <c r="AO346" s="254" t="e" cm="1">
        <f t="array" ref="AO346">bdRateExtend($G346:$G349,M346:M349,$R346:$R349,X346:X349)</f>
        <v>#VALUE!</v>
      </c>
      <c r="AP346" s="248" t="e" cm="1">
        <f t="array" ref="AP346">bdRateExtend($G346:$G351,M346:M351,$R346:$R351,X346:X351)</f>
        <v>#VALUE!</v>
      </c>
    </row>
    <row r="347" spans="1:42" ht="17.100000000000001" customHeight="1" outlineLevel="4" x14ac:dyDescent="0.25">
      <c r="A347" s="222"/>
      <c r="B347" s="219"/>
      <c r="C347" s="229"/>
      <c r="D347" s="232"/>
      <c r="E347" s="235"/>
      <c r="F347" s="16">
        <v>31</v>
      </c>
      <c r="G347" s="34"/>
      <c r="H347" s="39"/>
      <c r="I347" s="39"/>
      <c r="J347" s="39"/>
      <c r="K347" s="39"/>
      <c r="L347" s="39"/>
      <c r="M347" s="39"/>
      <c r="N347" s="39"/>
      <c r="O347" s="39"/>
      <c r="P347" s="35"/>
      <c r="Q347" s="18"/>
      <c r="R347" s="34"/>
      <c r="S347" s="39"/>
      <c r="T347" s="39"/>
      <c r="U347" s="39"/>
      <c r="V347" s="39"/>
      <c r="W347" s="39"/>
      <c r="X347" s="39"/>
      <c r="Y347" s="39"/>
      <c r="Z347" s="39"/>
      <c r="AA347" s="35"/>
      <c r="AB347" s="50" t="e">
        <f t="shared" si="9"/>
        <v>#DIV/0!</v>
      </c>
      <c r="AC347" s="51" t="e">
        <f t="shared" si="9"/>
        <v>#DIV/0!</v>
      </c>
      <c r="AD347" s="19"/>
      <c r="AE347" s="19"/>
      <c r="AF347" s="285"/>
      <c r="AG347" s="240"/>
      <c r="AH347" s="242"/>
      <c r="AI347" s="242"/>
      <c r="AJ347" s="245"/>
      <c r="AK347" s="240"/>
      <c r="AL347" s="249"/>
      <c r="AM347" s="240"/>
      <c r="AN347" s="249"/>
      <c r="AO347" s="252"/>
      <c r="AP347" s="249"/>
    </row>
    <row r="348" spans="1:42" ht="17.100000000000001" customHeight="1" outlineLevel="4" x14ac:dyDescent="0.25">
      <c r="A348" s="222"/>
      <c r="B348" s="219"/>
      <c r="C348" s="229"/>
      <c r="D348" s="232"/>
      <c r="E348" s="235"/>
      <c r="F348" s="16">
        <v>39</v>
      </c>
      <c r="G348" s="34"/>
      <c r="H348" s="39"/>
      <c r="I348" s="39"/>
      <c r="J348" s="39"/>
      <c r="K348" s="39"/>
      <c r="L348" s="39"/>
      <c r="M348" s="39"/>
      <c r="N348" s="39"/>
      <c r="O348" s="39"/>
      <c r="P348" s="35"/>
      <c r="Q348" s="18"/>
      <c r="R348" s="34"/>
      <c r="S348" s="39"/>
      <c r="T348" s="39"/>
      <c r="U348" s="39"/>
      <c r="V348" s="39"/>
      <c r="W348" s="39"/>
      <c r="X348" s="39"/>
      <c r="Y348" s="39"/>
      <c r="Z348" s="39"/>
      <c r="AA348" s="35"/>
      <c r="AB348" s="50" t="e">
        <f t="shared" si="9"/>
        <v>#DIV/0!</v>
      </c>
      <c r="AC348" s="51" t="e">
        <f t="shared" si="9"/>
        <v>#DIV/0!</v>
      </c>
      <c r="AD348" s="19"/>
      <c r="AE348" s="19"/>
      <c r="AF348" s="285" t="s">
        <v>127</v>
      </c>
      <c r="AG348" s="240" t="e" cm="1">
        <f t="array" ref="AG348">bdRateExtend($G347:$G350,G347:G350,$R347:$R350,R347:R350)</f>
        <v>#VALUE!</v>
      </c>
      <c r="AH348" s="242"/>
      <c r="AI348" s="242"/>
      <c r="AJ348" s="245"/>
      <c r="AK348" s="240" t="e" cm="1">
        <f t="array" ref="AK348">bdRateExtend($G347:$G350,K347:K350,$R347:$R350,V347:V350)</f>
        <v>#VALUE!</v>
      </c>
      <c r="AL348" s="249"/>
      <c r="AM348" s="240" t="e" cm="1">
        <f t="array" ref="AM348">bdRateExtend($G347:$G350,L347:L350,$R347:$R350,W347:W350)</f>
        <v>#VALUE!</v>
      </c>
      <c r="AN348" s="249"/>
      <c r="AO348" s="252" t="e" cm="1">
        <f t="array" ref="AO348">bdRateExtend($G347:$G350,M347:M350,$R347:$R350,X347:X350)</f>
        <v>#VALUE!</v>
      </c>
      <c r="AP348" s="249"/>
    </row>
    <row r="349" spans="1:42" ht="17.100000000000001" customHeight="1" outlineLevel="4" x14ac:dyDescent="0.25">
      <c r="A349" s="222"/>
      <c r="B349" s="219"/>
      <c r="C349" s="229"/>
      <c r="D349" s="232"/>
      <c r="E349" s="235"/>
      <c r="F349" s="16">
        <v>47</v>
      </c>
      <c r="G349" s="34"/>
      <c r="H349" s="39"/>
      <c r="I349" s="39"/>
      <c r="J349" s="39"/>
      <c r="K349" s="39"/>
      <c r="L349" s="39"/>
      <c r="M349" s="39"/>
      <c r="N349" s="39"/>
      <c r="O349" s="39"/>
      <c r="P349" s="35"/>
      <c r="Q349" s="18"/>
      <c r="R349" s="34"/>
      <c r="S349" s="39"/>
      <c r="T349" s="39"/>
      <c r="U349" s="39"/>
      <c r="V349" s="39"/>
      <c r="W349" s="39"/>
      <c r="X349" s="39"/>
      <c r="Y349" s="39"/>
      <c r="Z349" s="39"/>
      <c r="AA349" s="35"/>
      <c r="AB349" s="50" t="e">
        <f t="shared" si="9"/>
        <v>#DIV/0!</v>
      </c>
      <c r="AC349" s="51" t="e">
        <f t="shared" si="9"/>
        <v>#DIV/0!</v>
      </c>
      <c r="AD349" s="19"/>
      <c r="AE349" s="19"/>
      <c r="AF349" s="285"/>
      <c r="AG349" s="240"/>
      <c r="AH349" s="242"/>
      <c r="AI349" s="242"/>
      <c r="AJ349" s="245"/>
      <c r="AK349" s="240"/>
      <c r="AL349" s="249"/>
      <c r="AM349" s="240"/>
      <c r="AN349" s="249"/>
      <c r="AO349" s="252"/>
      <c r="AP349" s="249"/>
    </row>
    <row r="350" spans="1:42" ht="17.100000000000001" customHeight="1" outlineLevel="4" x14ac:dyDescent="0.25">
      <c r="A350" s="222"/>
      <c r="B350" s="219"/>
      <c r="C350" s="229"/>
      <c r="D350" s="232"/>
      <c r="E350" s="235"/>
      <c r="F350" s="16">
        <v>55</v>
      </c>
      <c r="G350" s="34"/>
      <c r="H350" s="39"/>
      <c r="I350" s="39"/>
      <c r="J350" s="39"/>
      <c r="K350" s="39"/>
      <c r="L350" s="39"/>
      <c r="M350" s="39"/>
      <c r="N350" s="39"/>
      <c r="O350" s="39"/>
      <c r="P350" s="35"/>
      <c r="Q350" s="18"/>
      <c r="R350" s="34"/>
      <c r="S350" s="39"/>
      <c r="T350" s="39"/>
      <c r="U350" s="39"/>
      <c r="V350" s="39"/>
      <c r="W350" s="39"/>
      <c r="X350" s="39"/>
      <c r="Y350" s="39"/>
      <c r="Z350" s="39"/>
      <c r="AA350" s="35"/>
      <c r="AB350" s="50" t="e">
        <f t="shared" si="9"/>
        <v>#DIV/0!</v>
      </c>
      <c r="AC350" s="51" t="e">
        <f t="shared" si="9"/>
        <v>#DIV/0!</v>
      </c>
      <c r="AD350" s="19"/>
      <c r="AE350" s="19"/>
      <c r="AF350" s="285" t="s">
        <v>128</v>
      </c>
      <c r="AG350" s="240" t="e" cm="1">
        <f t="array" ref="AG350">bdRateExtend($G348:$G351,G348:G351,$R348:$R351,R348:R351)</f>
        <v>#VALUE!</v>
      </c>
      <c r="AH350" s="242"/>
      <c r="AI350" s="242"/>
      <c r="AJ350" s="245"/>
      <c r="AK350" s="240" t="e" cm="1">
        <f t="array" ref="AK350">bdRateExtend($G348:$G351,K348:K351,$R348:$R351,V348:V351)</f>
        <v>#VALUE!</v>
      </c>
      <c r="AL350" s="249"/>
      <c r="AM350" s="240" t="e" cm="1">
        <f t="array" ref="AM350">bdRateExtend($G348:$G351,L348:L351,$R348:$R351,W348:W351)</f>
        <v>#VALUE!</v>
      </c>
      <c r="AN350" s="249"/>
      <c r="AO350" s="252" t="e" cm="1">
        <f t="array" ref="AO350">bdRateExtend($G348:$G351,M348:M351,$R348:$R351,X348:X351)</f>
        <v>#VALUE!</v>
      </c>
      <c r="AP350" s="249"/>
    </row>
    <row r="351" spans="1:42" ht="17.100000000000001" customHeight="1" outlineLevel="4" thickBot="1" x14ac:dyDescent="0.3">
      <c r="A351" s="222"/>
      <c r="B351" s="220"/>
      <c r="C351" s="230"/>
      <c r="D351" s="233"/>
      <c r="E351" s="236"/>
      <c r="F351" s="9">
        <v>63</v>
      </c>
      <c r="G351" s="36"/>
      <c r="H351" s="37"/>
      <c r="I351" s="37"/>
      <c r="J351" s="37"/>
      <c r="K351" s="37"/>
      <c r="L351" s="37"/>
      <c r="M351" s="37"/>
      <c r="N351" s="37"/>
      <c r="O351" s="37"/>
      <c r="P351" s="38"/>
      <c r="Q351" s="18"/>
      <c r="R351" s="36"/>
      <c r="S351" s="37"/>
      <c r="T351" s="37"/>
      <c r="U351" s="37"/>
      <c r="V351" s="37"/>
      <c r="W351" s="37"/>
      <c r="X351" s="37"/>
      <c r="Y351" s="37"/>
      <c r="Z351" s="37"/>
      <c r="AA351" s="38"/>
      <c r="AB351" s="52" t="e">
        <f t="shared" si="9"/>
        <v>#DIV/0!</v>
      </c>
      <c r="AC351" s="53" t="e">
        <f t="shared" si="9"/>
        <v>#DIV/0!</v>
      </c>
      <c r="AD351" s="19"/>
      <c r="AE351" s="19"/>
      <c r="AF351" s="286"/>
      <c r="AG351" s="247"/>
      <c r="AH351" s="243"/>
      <c r="AI351" s="243"/>
      <c r="AJ351" s="246"/>
      <c r="AK351" s="247"/>
      <c r="AL351" s="250"/>
      <c r="AM351" s="247"/>
      <c r="AN351" s="250"/>
      <c r="AO351" s="253"/>
      <c r="AP351" s="250"/>
    </row>
    <row r="352" spans="1:42" ht="17.100000000000001" customHeight="1" outlineLevel="4" x14ac:dyDescent="0.25">
      <c r="A352" s="222"/>
      <c r="B352" s="218" t="s">
        <v>18</v>
      </c>
      <c r="C352" s="228" t="s">
        <v>84</v>
      </c>
      <c r="D352" s="231">
        <v>60</v>
      </c>
      <c r="E352" s="234">
        <v>10</v>
      </c>
      <c r="F352" s="7">
        <v>23</v>
      </c>
      <c r="G352" s="31"/>
      <c r="H352" s="32"/>
      <c r="I352" s="32"/>
      <c r="J352" s="32"/>
      <c r="K352" s="32"/>
      <c r="L352" s="32"/>
      <c r="M352" s="32"/>
      <c r="N352" s="32"/>
      <c r="O352" s="32"/>
      <c r="P352" s="33"/>
      <c r="Q352" s="18"/>
      <c r="R352" s="31"/>
      <c r="S352" s="32"/>
      <c r="T352" s="32"/>
      <c r="U352" s="32"/>
      <c r="V352" s="32"/>
      <c r="W352" s="32"/>
      <c r="X352" s="32"/>
      <c r="Y352" s="32"/>
      <c r="Z352" s="32"/>
      <c r="AA352" s="33"/>
      <c r="AB352" s="48" t="e">
        <f t="shared" si="9"/>
        <v>#DIV/0!</v>
      </c>
      <c r="AC352" s="49" t="e">
        <f t="shared" si="9"/>
        <v>#DIV/0!</v>
      </c>
      <c r="AD352" s="19"/>
      <c r="AE352" s="19"/>
      <c r="AF352" s="284" t="s">
        <v>126</v>
      </c>
      <c r="AG352" s="239" t="e" cm="1">
        <f t="array" ref="AG352">bdRateExtend($G352:$G355,G352:G355,$R352:$R355,R352:R355)</f>
        <v>#VALUE!</v>
      </c>
      <c r="AH352" s="241" t="e" cm="1">
        <f t="array" ref="AH352">bdRateExtend($G352:$G357,H352:H357,$R352:$R357,S352:S357)</f>
        <v>#VALUE!</v>
      </c>
      <c r="AI352" s="241" t="e" cm="1">
        <f t="array" ref="AI352">bdRateExtend($G352:$G357,I352:I357,$R352:$R357,T352:T357)</f>
        <v>#VALUE!</v>
      </c>
      <c r="AJ352" s="244" t="e" cm="1">
        <f t="array" ref="AJ352">bdRateExtend($G352:$G357,J352:J357,$R352:$R357,U352:U357)</f>
        <v>#VALUE!</v>
      </c>
      <c r="AK352" s="239" t="e" cm="1">
        <f t="array" ref="AK352">bdRateExtend($G352:$G355,K352:K355,$R352:$R355,V352:V355)</f>
        <v>#VALUE!</v>
      </c>
      <c r="AL352" s="248" t="e" cm="1">
        <f t="array" ref="AL352">bdRateExtend($G352:$G357,K352:K357,$R352:$R357,V352:V357)</f>
        <v>#VALUE!</v>
      </c>
      <c r="AM352" s="239" t="e" cm="1">
        <f t="array" ref="AM352">bdRateExtend($G352:$G355,L352:L355,$R352:$R355,W352:W355)</f>
        <v>#VALUE!</v>
      </c>
      <c r="AN352" s="248" t="e" cm="1">
        <f t="array" ref="AN352">bdRateExtend($G352:$G357,L352:L357,$R352:$R357,W352:W357)</f>
        <v>#VALUE!</v>
      </c>
      <c r="AO352" s="254" t="e" cm="1">
        <f t="array" ref="AO352">bdRateExtend($G352:$G355,M352:M355,$R352:$R355,X352:X355)</f>
        <v>#VALUE!</v>
      </c>
      <c r="AP352" s="248" t="e" cm="1">
        <f t="array" ref="AP352">bdRateExtend($G352:$G357,M352:M357,$R352:$R357,X352:X357)</f>
        <v>#VALUE!</v>
      </c>
    </row>
    <row r="353" spans="1:42" ht="17.100000000000001" customHeight="1" outlineLevel="4" x14ac:dyDescent="0.25">
      <c r="A353" s="222"/>
      <c r="B353" s="219"/>
      <c r="C353" s="229"/>
      <c r="D353" s="232"/>
      <c r="E353" s="235"/>
      <c r="F353" s="16">
        <v>31</v>
      </c>
      <c r="G353" s="34"/>
      <c r="H353" s="39"/>
      <c r="I353" s="39"/>
      <c r="J353" s="39"/>
      <c r="K353" s="39"/>
      <c r="L353" s="39"/>
      <c r="M353" s="39"/>
      <c r="N353" s="39"/>
      <c r="O353" s="39"/>
      <c r="P353" s="35"/>
      <c r="Q353" s="18"/>
      <c r="R353" s="34"/>
      <c r="S353" s="39"/>
      <c r="T353" s="39"/>
      <c r="U353" s="39"/>
      <c r="V353" s="39"/>
      <c r="W353" s="39"/>
      <c r="X353" s="39"/>
      <c r="Y353" s="39"/>
      <c r="Z353" s="39"/>
      <c r="AA353" s="35"/>
      <c r="AB353" s="50" t="e">
        <f t="shared" si="9"/>
        <v>#DIV/0!</v>
      </c>
      <c r="AC353" s="51" t="e">
        <f t="shared" si="9"/>
        <v>#DIV/0!</v>
      </c>
      <c r="AD353" s="19"/>
      <c r="AE353" s="19"/>
      <c r="AF353" s="285"/>
      <c r="AG353" s="240"/>
      <c r="AH353" s="242"/>
      <c r="AI353" s="242"/>
      <c r="AJ353" s="245"/>
      <c r="AK353" s="240"/>
      <c r="AL353" s="249"/>
      <c r="AM353" s="240"/>
      <c r="AN353" s="249"/>
      <c r="AO353" s="252"/>
      <c r="AP353" s="249"/>
    </row>
    <row r="354" spans="1:42" ht="17.100000000000001" customHeight="1" outlineLevel="4" x14ac:dyDescent="0.25">
      <c r="A354" s="222"/>
      <c r="B354" s="219"/>
      <c r="C354" s="229"/>
      <c r="D354" s="232"/>
      <c r="E354" s="235"/>
      <c r="F354" s="16">
        <v>39</v>
      </c>
      <c r="G354" s="34"/>
      <c r="H354" s="39"/>
      <c r="I354" s="39"/>
      <c r="J354" s="39"/>
      <c r="K354" s="39"/>
      <c r="L354" s="39"/>
      <c r="M354" s="39"/>
      <c r="N354" s="39"/>
      <c r="O354" s="39"/>
      <c r="P354" s="35"/>
      <c r="Q354" s="18"/>
      <c r="R354" s="34"/>
      <c r="S354" s="39"/>
      <c r="T354" s="39"/>
      <c r="U354" s="39"/>
      <c r="V354" s="39"/>
      <c r="W354" s="39"/>
      <c r="X354" s="39"/>
      <c r="Y354" s="39"/>
      <c r="Z354" s="39"/>
      <c r="AA354" s="35"/>
      <c r="AB354" s="50" t="e">
        <f t="shared" si="9"/>
        <v>#DIV/0!</v>
      </c>
      <c r="AC354" s="51" t="e">
        <f t="shared" si="9"/>
        <v>#DIV/0!</v>
      </c>
      <c r="AD354" s="19"/>
      <c r="AE354" s="19"/>
      <c r="AF354" s="285" t="s">
        <v>127</v>
      </c>
      <c r="AG354" s="240" t="e" cm="1">
        <f t="array" ref="AG354">bdRateExtend($G353:$G356,G353:G356,$R353:$R356,R353:R356)</f>
        <v>#VALUE!</v>
      </c>
      <c r="AH354" s="242"/>
      <c r="AI354" s="242"/>
      <c r="AJ354" s="245"/>
      <c r="AK354" s="240" t="e" cm="1">
        <f t="array" ref="AK354">bdRateExtend($G353:$G356,K353:K356,$R353:$R356,V353:V356)</f>
        <v>#VALUE!</v>
      </c>
      <c r="AL354" s="249"/>
      <c r="AM354" s="240" t="e" cm="1">
        <f t="array" ref="AM354">bdRateExtend($G353:$G356,L353:L356,$R353:$R356,W353:W356)</f>
        <v>#VALUE!</v>
      </c>
      <c r="AN354" s="249"/>
      <c r="AO354" s="252" t="e" cm="1">
        <f t="array" ref="AO354">bdRateExtend($G353:$G356,M353:M356,$R353:$R356,X353:X356)</f>
        <v>#VALUE!</v>
      </c>
      <c r="AP354" s="249"/>
    </row>
    <row r="355" spans="1:42" ht="17.100000000000001" customHeight="1" outlineLevel="4" x14ac:dyDescent="0.25">
      <c r="A355" s="222"/>
      <c r="B355" s="219"/>
      <c r="C355" s="229"/>
      <c r="D355" s="232"/>
      <c r="E355" s="235"/>
      <c r="F355" s="16">
        <v>47</v>
      </c>
      <c r="G355" s="34"/>
      <c r="H355" s="39"/>
      <c r="I355" s="39"/>
      <c r="J355" s="39"/>
      <c r="K355" s="39"/>
      <c r="L355" s="39"/>
      <c r="M355" s="39"/>
      <c r="N355" s="39"/>
      <c r="O355" s="39"/>
      <c r="P355" s="35"/>
      <c r="Q355" s="18"/>
      <c r="R355" s="34"/>
      <c r="S355" s="39"/>
      <c r="T355" s="39"/>
      <c r="U355" s="39"/>
      <c r="V355" s="39"/>
      <c r="W355" s="39"/>
      <c r="X355" s="39"/>
      <c r="Y355" s="39"/>
      <c r="Z355" s="39"/>
      <c r="AA355" s="35"/>
      <c r="AB355" s="50" t="e">
        <f t="shared" si="9"/>
        <v>#DIV/0!</v>
      </c>
      <c r="AC355" s="51" t="e">
        <f t="shared" si="9"/>
        <v>#DIV/0!</v>
      </c>
      <c r="AD355" s="19"/>
      <c r="AE355" s="19"/>
      <c r="AF355" s="285"/>
      <c r="AG355" s="240"/>
      <c r="AH355" s="242"/>
      <c r="AI355" s="242"/>
      <c r="AJ355" s="245"/>
      <c r="AK355" s="240"/>
      <c r="AL355" s="249"/>
      <c r="AM355" s="240"/>
      <c r="AN355" s="249"/>
      <c r="AO355" s="252"/>
      <c r="AP355" s="249"/>
    </row>
    <row r="356" spans="1:42" ht="17.100000000000001" customHeight="1" outlineLevel="4" x14ac:dyDescent="0.25">
      <c r="A356" s="222"/>
      <c r="B356" s="219"/>
      <c r="C356" s="229"/>
      <c r="D356" s="232"/>
      <c r="E356" s="235"/>
      <c r="F356" s="16">
        <v>55</v>
      </c>
      <c r="G356" s="34"/>
      <c r="H356" s="39"/>
      <c r="I356" s="39"/>
      <c r="J356" s="39"/>
      <c r="K356" s="39"/>
      <c r="L356" s="39"/>
      <c r="M356" s="39"/>
      <c r="N356" s="39"/>
      <c r="O356" s="39"/>
      <c r="P356" s="35"/>
      <c r="Q356" s="18"/>
      <c r="R356" s="34"/>
      <c r="S356" s="39"/>
      <c r="T356" s="39"/>
      <c r="U356" s="39"/>
      <c r="V356" s="39"/>
      <c r="W356" s="39"/>
      <c r="X356" s="39"/>
      <c r="Y356" s="39"/>
      <c r="Z356" s="39"/>
      <c r="AA356" s="35"/>
      <c r="AB356" s="50" t="e">
        <f t="shared" si="9"/>
        <v>#DIV/0!</v>
      </c>
      <c r="AC356" s="51" t="e">
        <f t="shared" si="9"/>
        <v>#DIV/0!</v>
      </c>
      <c r="AD356" s="19"/>
      <c r="AE356" s="19"/>
      <c r="AF356" s="285" t="s">
        <v>128</v>
      </c>
      <c r="AG356" s="240" t="e" cm="1">
        <f t="array" ref="AG356">bdRateExtend($G354:$G357,G354:G357,$R354:$R357,R354:R357)</f>
        <v>#VALUE!</v>
      </c>
      <c r="AH356" s="242"/>
      <c r="AI356" s="242"/>
      <c r="AJ356" s="245"/>
      <c r="AK356" s="240" t="e" cm="1">
        <f t="array" ref="AK356">bdRateExtend($G354:$G357,K354:K357,$R354:$R357,V354:V357)</f>
        <v>#VALUE!</v>
      </c>
      <c r="AL356" s="249"/>
      <c r="AM356" s="240" t="e" cm="1">
        <f t="array" ref="AM356">bdRateExtend($G354:$G357,L354:L357,$R354:$R357,W354:W357)</f>
        <v>#VALUE!</v>
      </c>
      <c r="AN356" s="249"/>
      <c r="AO356" s="252" t="e" cm="1">
        <f t="array" ref="AO356">bdRateExtend($G354:$G357,M354:M357,$R354:$R357,X354:X357)</f>
        <v>#VALUE!</v>
      </c>
      <c r="AP356" s="249"/>
    </row>
    <row r="357" spans="1:42" ht="17.100000000000001" customHeight="1" outlineLevel="4" thickBot="1" x14ac:dyDescent="0.3">
      <c r="A357" s="222"/>
      <c r="B357" s="220"/>
      <c r="C357" s="230"/>
      <c r="D357" s="233"/>
      <c r="E357" s="236"/>
      <c r="F357" s="9">
        <v>63</v>
      </c>
      <c r="G357" s="36"/>
      <c r="H357" s="37"/>
      <c r="I357" s="37"/>
      <c r="J357" s="37"/>
      <c r="K357" s="37"/>
      <c r="L357" s="37"/>
      <c r="M357" s="37"/>
      <c r="N357" s="37"/>
      <c r="O357" s="37"/>
      <c r="P357" s="38"/>
      <c r="Q357" s="18"/>
      <c r="R357" s="36"/>
      <c r="S357" s="37"/>
      <c r="T357" s="37"/>
      <c r="U357" s="37"/>
      <c r="V357" s="37"/>
      <c r="W357" s="37"/>
      <c r="X357" s="37"/>
      <c r="Y357" s="37"/>
      <c r="Z357" s="37"/>
      <c r="AA357" s="38"/>
      <c r="AB357" s="52" t="e">
        <f t="shared" si="9"/>
        <v>#DIV/0!</v>
      </c>
      <c r="AC357" s="53" t="e">
        <f t="shared" si="9"/>
        <v>#DIV/0!</v>
      </c>
      <c r="AD357" s="19"/>
      <c r="AE357" s="19"/>
      <c r="AF357" s="286"/>
      <c r="AG357" s="247"/>
      <c r="AH357" s="243"/>
      <c r="AI357" s="243"/>
      <c r="AJ357" s="246"/>
      <c r="AK357" s="247"/>
      <c r="AL357" s="250"/>
      <c r="AM357" s="247"/>
      <c r="AN357" s="250"/>
      <c r="AO357" s="253"/>
      <c r="AP357" s="250"/>
    </row>
    <row r="358" spans="1:42" ht="17.100000000000001" customHeight="1" outlineLevel="4" x14ac:dyDescent="0.25">
      <c r="A358" s="222"/>
      <c r="B358" s="218" t="s">
        <v>97</v>
      </c>
      <c r="C358" s="228" t="s">
        <v>85</v>
      </c>
      <c r="D358" s="231">
        <v>59.94</v>
      </c>
      <c r="E358" s="234">
        <v>10</v>
      </c>
      <c r="F358" s="7">
        <v>23</v>
      </c>
      <c r="G358" s="31"/>
      <c r="H358" s="32"/>
      <c r="I358" s="32"/>
      <c r="J358" s="32"/>
      <c r="K358" s="32"/>
      <c r="L358" s="32"/>
      <c r="M358" s="32"/>
      <c r="N358" s="32"/>
      <c r="O358" s="32"/>
      <c r="P358" s="33"/>
      <c r="Q358" s="18"/>
      <c r="R358" s="31"/>
      <c r="S358" s="32"/>
      <c r="T358" s="32"/>
      <c r="U358" s="32"/>
      <c r="V358" s="32"/>
      <c r="W358" s="32"/>
      <c r="X358" s="32"/>
      <c r="Y358" s="32"/>
      <c r="Z358" s="32"/>
      <c r="AA358" s="33"/>
      <c r="AB358" s="48" t="e">
        <f t="shared" ref="AB358:AC405" si="10">Y358/N358</f>
        <v>#DIV/0!</v>
      </c>
      <c r="AC358" s="49" t="e">
        <f t="shared" si="10"/>
        <v>#DIV/0!</v>
      </c>
      <c r="AD358" s="19"/>
      <c r="AE358" s="19"/>
      <c r="AF358" s="284" t="s">
        <v>126</v>
      </c>
      <c r="AG358" s="239" t="e" cm="1">
        <f t="array" ref="AG358">bdRateExtend($G358:$G361,G358:G361,$R358:$R361,R358:R361)</f>
        <v>#VALUE!</v>
      </c>
      <c r="AH358" s="241" t="e" cm="1">
        <f t="array" ref="AH358">bdRateExtend($G358:$G363,H358:H363,$R358:$R363,S358:S363)</f>
        <v>#VALUE!</v>
      </c>
      <c r="AI358" s="241" t="e" cm="1">
        <f t="array" ref="AI358">bdRateExtend($G358:$G363,I358:I363,$R358:$R363,T358:T363)</f>
        <v>#VALUE!</v>
      </c>
      <c r="AJ358" s="244" t="e" cm="1">
        <f t="array" ref="AJ358">bdRateExtend($G358:$G363,J358:J363,$R358:$R363,U358:U363)</f>
        <v>#VALUE!</v>
      </c>
      <c r="AK358" s="239" t="e" cm="1">
        <f t="array" ref="AK358">bdRateExtend($G358:$G361,K358:K361,$R358:$R361,V358:V361)</f>
        <v>#VALUE!</v>
      </c>
      <c r="AL358" s="248" t="e" cm="1">
        <f t="array" ref="AL358">bdRateExtend($G358:$G363,K358:K363,$R358:$R363,V358:V363)</f>
        <v>#VALUE!</v>
      </c>
      <c r="AM358" s="239" t="e" cm="1">
        <f t="array" ref="AM358">bdRateExtend($G358:$G361,L358:L361,$R358:$R361,W358:W361)</f>
        <v>#VALUE!</v>
      </c>
      <c r="AN358" s="248" t="e" cm="1">
        <f t="array" ref="AN358">bdRateExtend($G358:$G363,L358:L363,$R358:$R363,W358:W363)</f>
        <v>#VALUE!</v>
      </c>
      <c r="AO358" s="254" t="e" cm="1">
        <f t="array" ref="AO358">bdRateExtend($G358:$G361,M358:M361,$R358:$R361,X358:X361)</f>
        <v>#VALUE!</v>
      </c>
      <c r="AP358" s="248" t="e" cm="1">
        <f t="array" ref="AP358">bdRateExtend($G358:$G363,M358:M363,$R358:$R363,X358:X363)</f>
        <v>#VALUE!</v>
      </c>
    </row>
    <row r="359" spans="1:42" ht="17.100000000000001" customHeight="1" outlineLevel="4" x14ac:dyDescent="0.25">
      <c r="A359" s="222"/>
      <c r="B359" s="219"/>
      <c r="C359" s="229"/>
      <c r="D359" s="232"/>
      <c r="E359" s="235"/>
      <c r="F359" s="16">
        <v>31</v>
      </c>
      <c r="G359" s="34"/>
      <c r="H359" s="39"/>
      <c r="I359" s="39"/>
      <c r="J359" s="39"/>
      <c r="K359" s="39"/>
      <c r="L359" s="39"/>
      <c r="M359" s="39"/>
      <c r="N359" s="39"/>
      <c r="O359" s="39"/>
      <c r="P359" s="35"/>
      <c r="Q359" s="18"/>
      <c r="R359" s="34"/>
      <c r="S359" s="39"/>
      <c r="T359" s="39"/>
      <c r="U359" s="39"/>
      <c r="V359" s="39"/>
      <c r="W359" s="39"/>
      <c r="X359" s="39"/>
      <c r="Y359" s="39"/>
      <c r="Z359" s="39"/>
      <c r="AA359" s="35"/>
      <c r="AB359" s="50" t="e">
        <f t="shared" si="10"/>
        <v>#DIV/0!</v>
      </c>
      <c r="AC359" s="51" t="e">
        <f t="shared" si="10"/>
        <v>#DIV/0!</v>
      </c>
      <c r="AD359" s="19"/>
      <c r="AE359" s="19"/>
      <c r="AF359" s="285"/>
      <c r="AG359" s="240"/>
      <c r="AH359" s="242"/>
      <c r="AI359" s="242"/>
      <c r="AJ359" s="245"/>
      <c r="AK359" s="240"/>
      <c r="AL359" s="249"/>
      <c r="AM359" s="240"/>
      <c r="AN359" s="249"/>
      <c r="AO359" s="252"/>
      <c r="AP359" s="249"/>
    </row>
    <row r="360" spans="1:42" ht="17.100000000000001" customHeight="1" outlineLevel="4" x14ac:dyDescent="0.25">
      <c r="A360" s="222"/>
      <c r="B360" s="219"/>
      <c r="C360" s="229"/>
      <c r="D360" s="232"/>
      <c r="E360" s="235"/>
      <c r="F360" s="16">
        <v>39</v>
      </c>
      <c r="G360" s="34"/>
      <c r="H360" s="39"/>
      <c r="I360" s="39"/>
      <c r="J360" s="39"/>
      <c r="K360" s="39"/>
      <c r="L360" s="39"/>
      <c r="M360" s="39"/>
      <c r="N360" s="39"/>
      <c r="O360" s="39"/>
      <c r="P360" s="35"/>
      <c r="Q360" s="18"/>
      <c r="R360" s="34"/>
      <c r="S360" s="39"/>
      <c r="T360" s="39"/>
      <c r="U360" s="39"/>
      <c r="V360" s="39"/>
      <c r="W360" s="39"/>
      <c r="X360" s="39"/>
      <c r="Y360" s="39"/>
      <c r="Z360" s="39"/>
      <c r="AA360" s="35"/>
      <c r="AB360" s="50" t="e">
        <f t="shared" si="10"/>
        <v>#DIV/0!</v>
      </c>
      <c r="AC360" s="51" t="e">
        <f t="shared" si="10"/>
        <v>#DIV/0!</v>
      </c>
      <c r="AD360" s="19"/>
      <c r="AE360" s="19"/>
      <c r="AF360" s="285" t="s">
        <v>127</v>
      </c>
      <c r="AG360" s="240" t="e" cm="1">
        <f t="array" ref="AG360">bdRateExtend($G359:$G362,G359:G362,$R359:$R362,R359:R362)</f>
        <v>#VALUE!</v>
      </c>
      <c r="AH360" s="242"/>
      <c r="AI360" s="242"/>
      <c r="AJ360" s="245"/>
      <c r="AK360" s="240" t="e" cm="1">
        <f t="array" ref="AK360">bdRateExtend($G359:$G362,K359:K362,$R359:$R362,V359:V362)</f>
        <v>#VALUE!</v>
      </c>
      <c r="AL360" s="249"/>
      <c r="AM360" s="240" t="e" cm="1">
        <f t="array" ref="AM360">bdRateExtend($G359:$G362,L359:L362,$R359:$R362,W359:W362)</f>
        <v>#VALUE!</v>
      </c>
      <c r="AN360" s="249"/>
      <c r="AO360" s="252" t="e" cm="1">
        <f t="array" ref="AO360">bdRateExtend($G359:$G362,M359:M362,$R359:$R362,X359:X362)</f>
        <v>#VALUE!</v>
      </c>
      <c r="AP360" s="249"/>
    </row>
    <row r="361" spans="1:42" ht="17.100000000000001" customHeight="1" outlineLevel="4" x14ac:dyDescent="0.25">
      <c r="A361" s="222"/>
      <c r="B361" s="219"/>
      <c r="C361" s="229"/>
      <c r="D361" s="232"/>
      <c r="E361" s="235"/>
      <c r="F361" s="16">
        <v>47</v>
      </c>
      <c r="G361" s="34"/>
      <c r="H361" s="39"/>
      <c r="I361" s="39"/>
      <c r="J361" s="39"/>
      <c r="K361" s="39"/>
      <c r="L361" s="39"/>
      <c r="M361" s="39"/>
      <c r="N361" s="39"/>
      <c r="O361" s="39"/>
      <c r="P361" s="35"/>
      <c r="Q361" s="18"/>
      <c r="R361" s="34"/>
      <c r="S361" s="39"/>
      <c r="T361" s="39"/>
      <c r="U361" s="39"/>
      <c r="V361" s="39"/>
      <c r="W361" s="39"/>
      <c r="X361" s="39"/>
      <c r="Y361" s="39"/>
      <c r="Z361" s="39"/>
      <c r="AA361" s="35"/>
      <c r="AB361" s="50" t="e">
        <f t="shared" si="10"/>
        <v>#DIV/0!</v>
      </c>
      <c r="AC361" s="51" t="e">
        <f t="shared" si="10"/>
        <v>#DIV/0!</v>
      </c>
      <c r="AD361" s="19"/>
      <c r="AE361" s="19"/>
      <c r="AF361" s="285"/>
      <c r="AG361" s="240"/>
      <c r="AH361" s="242"/>
      <c r="AI361" s="242"/>
      <c r="AJ361" s="245"/>
      <c r="AK361" s="240"/>
      <c r="AL361" s="249"/>
      <c r="AM361" s="240"/>
      <c r="AN361" s="249"/>
      <c r="AO361" s="252"/>
      <c r="AP361" s="249"/>
    </row>
    <row r="362" spans="1:42" ht="17.100000000000001" customHeight="1" outlineLevel="4" x14ac:dyDescent="0.25">
      <c r="A362" s="222"/>
      <c r="B362" s="219"/>
      <c r="C362" s="229"/>
      <c r="D362" s="232"/>
      <c r="E362" s="235"/>
      <c r="F362" s="16">
        <v>55</v>
      </c>
      <c r="G362" s="34"/>
      <c r="H362" s="39"/>
      <c r="I362" s="39"/>
      <c r="J362" s="39"/>
      <c r="K362" s="39"/>
      <c r="L362" s="39"/>
      <c r="M362" s="39"/>
      <c r="N362" s="39"/>
      <c r="O362" s="39"/>
      <c r="P362" s="35"/>
      <c r="Q362" s="18"/>
      <c r="R362" s="34"/>
      <c r="S362" s="39"/>
      <c r="T362" s="39"/>
      <c r="U362" s="39"/>
      <c r="V362" s="39"/>
      <c r="W362" s="39"/>
      <c r="X362" s="39"/>
      <c r="Y362" s="39"/>
      <c r="Z362" s="39"/>
      <c r="AA362" s="35"/>
      <c r="AB362" s="50" t="e">
        <f t="shared" si="10"/>
        <v>#DIV/0!</v>
      </c>
      <c r="AC362" s="51" t="e">
        <f t="shared" si="10"/>
        <v>#DIV/0!</v>
      </c>
      <c r="AD362" s="19"/>
      <c r="AE362" s="19"/>
      <c r="AF362" s="285" t="s">
        <v>128</v>
      </c>
      <c r="AG362" s="240" t="e" cm="1">
        <f t="array" ref="AG362">bdRateExtend($G360:$G363,G360:G363,$R360:$R363,R360:R363)</f>
        <v>#VALUE!</v>
      </c>
      <c r="AH362" s="242"/>
      <c r="AI362" s="242"/>
      <c r="AJ362" s="245"/>
      <c r="AK362" s="240" t="e" cm="1">
        <f t="array" ref="AK362">bdRateExtend($G360:$G363,K360:K363,$R360:$R363,V360:V363)</f>
        <v>#VALUE!</v>
      </c>
      <c r="AL362" s="249"/>
      <c r="AM362" s="240" t="e" cm="1">
        <f t="array" ref="AM362">bdRateExtend($G360:$G363,L360:L363,$R360:$R363,W360:W363)</f>
        <v>#VALUE!</v>
      </c>
      <c r="AN362" s="249"/>
      <c r="AO362" s="252" t="e" cm="1">
        <f t="array" ref="AO362">bdRateExtend($G360:$G363,M360:M363,$R360:$R363,X360:X363)</f>
        <v>#VALUE!</v>
      </c>
      <c r="AP362" s="249"/>
    </row>
    <row r="363" spans="1:42" ht="17.100000000000001" customHeight="1" outlineLevel="4" thickBot="1" x14ac:dyDescent="0.3">
      <c r="A363" s="223"/>
      <c r="B363" s="220"/>
      <c r="C363" s="230"/>
      <c r="D363" s="233"/>
      <c r="E363" s="236"/>
      <c r="F363" s="9">
        <v>63</v>
      </c>
      <c r="G363" s="36"/>
      <c r="H363" s="37"/>
      <c r="I363" s="37"/>
      <c r="J363" s="37"/>
      <c r="K363" s="37"/>
      <c r="L363" s="37"/>
      <c r="M363" s="37"/>
      <c r="N363" s="37"/>
      <c r="O363" s="37"/>
      <c r="P363" s="38"/>
      <c r="Q363" s="18"/>
      <c r="R363" s="36"/>
      <c r="S363" s="37"/>
      <c r="T363" s="37"/>
      <c r="U363" s="37"/>
      <c r="V363" s="37"/>
      <c r="W363" s="37"/>
      <c r="X363" s="37"/>
      <c r="Y363" s="37"/>
      <c r="Z363" s="37"/>
      <c r="AA363" s="38"/>
      <c r="AB363" s="52" t="e">
        <f t="shared" si="10"/>
        <v>#DIV/0!</v>
      </c>
      <c r="AC363" s="53" t="e">
        <f t="shared" si="10"/>
        <v>#DIV/0!</v>
      </c>
      <c r="AD363" s="19"/>
      <c r="AE363" s="19"/>
      <c r="AF363" s="286"/>
      <c r="AG363" s="247"/>
      <c r="AH363" s="243"/>
      <c r="AI363" s="243"/>
      <c r="AJ363" s="246"/>
      <c r="AK363" s="247"/>
      <c r="AL363" s="250"/>
      <c r="AM363" s="247"/>
      <c r="AN363" s="250"/>
      <c r="AO363" s="253"/>
      <c r="AP363" s="250"/>
    </row>
    <row r="364" spans="1:42" ht="17.100000000000001" customHeight="1" outlineLevel="3" x14ac:dyDescent="0.25">
      <c r="A364" s="221" t="s">
        <v>106</v>
      </c>
      <c r="B364" s="218" t="s">
        <v>93</v>
      </c>
      <c r="C364" s="228" t="s">
        <v>86</v>
      </c>
      <c r="D364" s="231">
        <v>24</v>
      </c>
      <c r="E364" s="234">
        <v>10</v>
      </c>
      <c r="F364" s="7">
        <v>23</v>
      </c>
      <c r="G364" s="31"/>
      <c r="H364" s="32"/>
      <c r="I364" s="32"/>
      <c r="J364" s="32"/>
      <c r="K364" s="32"/>
      <c r="L364" s="32"/>
      <c r="M364" s="32"/>
      <c r="N364" s="32"/>
      <c r="O364" s="32"/>
      <c r="P364" s="33"/>
      <c r="Q364" s="18"/>
      <c r="R364" s="31"/>
      <c r="S364" s="32"/>
      <c r="T364" s="32"/>
      <c r="U364" s="32"/>
      <c r="V364" s="32"/>
      <c r="W364" s="32"/>
      <c r="X364" s="32"/>
      <c r="Y364" s="32"/>
      <c r="Z364" s="32"/>
      <c r="AA364" s="33"/>
      <c r="AB364" s="48" t="e">
        <f t="shared" si="10"/>
        <v>#DIV/0!</v>
      </c>
      <c r="AC364" s="49" t="e">
        <f t="shared" si="10"/>
        <v>#DIV/0!</v>
      </c>
      <c r="AD364" s="19"/>
      <c r="AE364" s="19"/>
      <c r="AF364" s="284" t="s">
        <v>126</v>
      </c>
      <c r="AG364" s="239" t="e" cm="1">
        <f t="array" ref="AG364">bdRateExtend($G364:$G367,G364:G367,$R364:$R367,R364:R367)</f>
        <v>#VALUE!</v>
      </c>
      <c r="AH364" s="241" t="e" cm="1">
        <f t="array" ref="AH364">bdRateExtend($G364:$G369,H364:H369,$R364:$R369,S364:S369)</f>
        <v>#VALUE!</v>
      </c>
      <c r="AI364" s="241" t="e" cm="1">
        <f t="array" ref="AI364">bdRateExtend($G364:$G369,I364:I369,$R364:$R369,T364:T369)</f>
        <v>#VALUE!</v>
      </c>
      <c r="AJ364" s="244" t="e" cm="1">
        <f t="array" ref="AJ364">bdRateExtend($G364:$G369,J364:J369,$R364:$R369,U364:U369)</f>
        <v>#VALUE!</v>
      </c>
      <c r="AK364" s="239" t="e" cm="1">
        <f t="array" ref="AK364">bdRateExtend($G364:$G367,K364:K367,$R364:$R367,V364:V367)</f>
        <v>#VALUE!</v>
      </c>
      <c r="AL364" s="248" t="e" cm="1">
        <f t="array" ref="AL364">bdRateExtend($G364:$G369,K364:K369,$R364:$R369,V364:V369)</f>
        <v>#VALUE!</v>
      </c>
      <c r="AM364" s="239" t="e" cm="1">
        <f t="array" ref="AM364">bdRateExtend($G364:$G367,L364:L367,$R364:$R367,W364:W367)</f>
        <v>#VALUE!</v>
      </c>
      <c r="AN364" s="248" t="e" cm="1">
        <f t="array" ref="AN364">bdRateExtend($G364:$G369,L364:L369,$R364:$R369,W364:W369)</f>
        <v>#VALUE!</v>
      </c>
      <c r="AO364" s="254" t="e" cm="1">
        <f t="array" ref="AO364">bdRateExtend($G364:$G367,M364:M367,$R364:$R367,X364:X367)</f>
        <v>#VALUE!</v>
      </c>
      <c r="AP364" s="248" t="e" cm="1">
        <f t="array" ref="AP364">bdRateExtend($G364:$G369,M364:M369,$R364:$R369,X364:X369)</f>
        <v>#VALUE!</v>
      </c>
    </row>
    <row r="365" spans="1:42" ht="17.100000000000001" customHeight="1" outlineLevel="3" x14ac:dyDescent="0.25">
      <c r="A365" s="222"/>
      <c r="B365" s="219"/>
      <c r="C365" s="229"/>
      <c r="D365" s="232"/>
      <c r="E365" s="235"/>
      <c r="F365" s="16">
        <v>31</v>
      </c>
      <c r="G365" s="34"/>
      <c r="H365" s="39"/>
      <c r="I365" s="39"/>
      <c r="J365" s="39"/>
      <c r="K365" s="39"/>
      <c r="L365" s="39"/>
      <c r="M365" s="39"/>
      <c r="N365" s="39"/>
      <c r="O365" s="39"/>
      <c r="P365" s="35"/>
      <c r="Q365" s="18"/>
      <c r="R365" s="34"/>
      <c r="S365" s="39"/>
      <c r="T365" s="39"/>
      <c r="U365" s="39"/>
      <c r="V365" s="39"/>
      <c r="W365" s="39"/>
      <c r="X365" s="39"/>
      <c r="Y365" s="39"/>
      <c r="Z365" s="39"/>
      <c r="AA365" s="35"/>
      <c r="AB365" s="50" t="e">
        <f t="shared" si="10"/>
        <v>#DIV/0!</v>
      </c>
      <c r="AC365" s="51" t="e">
        <f t="shared" si="10"/>
        <v>#DIV/0!</v>
      </c>
      <c r="AD365" s="19"/>
      <c r="AE365" s="19"/>
      <c r="AF365" s="285"/>
      <c r="AG365" s="240"/>
      <c r="AH365" s="242"/>
      <c r="AI365" s="242"/>
      <c r="AJ365" s="245"/>
      <c r="AK365" s="240"/>
      <c r="AL365" s="249"/>
      <c r="AM365" s="240"/>
      <c r="AN365" s="249"/>
      <c r="AO365" s="252"/>
      <c r="AP365" s="249"/>
    </row>
    <row r="366" spans="1:42" ht="17.100000000000001" customHeight="1" outlineLevel="3" x14ac:dyDescent="0.25">
      <c r="A366" s="222"/>
      <c r="B366" s="219"/>
      <c r="C366" s="229"/>
      <c r="D366" s="232"/>
      <c r="E366" s="235"/>
      <c r="F366" s="16">
        <v>39</v>
      </c>
      <c r="G366" s="34"/>
      <c r="H366" s="39"/>
      <c r="I366" s="39"/>
      <c r="J366" s="39"/>
      <c r="K366" s="39"/>
      <c r="L366" s="39"/>
      <c r="M366" s="39"/>
      <c r="N366" s="39"/>
      <c r="O366" s="39"/>
      <c r="P366" s="35"/>
      <c r="Q366" s="18"/>
      <c r="R366" s="34"/>
      <c r="S366" s="39"/>
      <c r="T366" s="39"/>
      <c r="U366" s="39"/>
      <c r="V366" s="39"/>
      <c r="W366" s="39"/>
      <c r="X366" s="39"/>
      <c r="Y366" s="39"/>
      <c r="Z366" s="39"/>
      <c r="AA366" s="35"/>
      <c r="AB366" s="50" t="e">
        <f t="shared" si="10"/>
        <v>#DIV/0!</v>
      </c>
      <c r="AC366" s="51" t="e">
        <f t="shared" si="10"/>
        <v>#DIV/0!</v>
      </c>
      <c r="AD366" s="19"/>
      <c r="AE366" s="19"/>
      <c r="AF366" s="285" t="s">
        <v>127</v>
      </c>
      <c r="AG366" s="240" t="e" cm="1">
        <f t="array" ref="AG366">bdRateExtend($G365:$G368,G365:G368,$R365:$R368,R365:R368)</f>
        <v>#VALUE!</v>
      </c>
      <c r="AH366" s="242"/>
      <c r="AI366" s="242"/>
      <c r="AJ366" s="245"/>
      <c r="AK366" s="240" t="e" cm="1">
        <f t="array" ref="AK366">bdRateExtend($G365:$G368,K365:K368,$R365:$R368,V365:V368)</f>
        <v>#VALUE!</v>
      </c>
      <c r="AL366" s="249"/>
      <c r="AM366" s="240" t="e" cm="1">
        <f t="array" ref="AM366">bdRateExtend($G365:$G368,L365:L368,$R365:$R368,W365:W368)</f>
        <v>#VALUE!</v>
      </c>
      <c r="AN366" s="249"/>
      <c r="AO366" s="252" t="e" cm="1">
        <f t="array" ref="AO366">bdRateExtend($G365:$G368,M365:M368,$R365:$R368,X365:X368)</f>
        <v>#VALUE!</v>
      </c>
      <c r="AP366" s="249"/>
    </row>
    <row r="367" spans="1:42" ht="17.100000000000001" customHeight="1" outlineLevel="3" x14ac:dyDescent="0.25">
      <c r="A367" s="222"/>
      <c r="B367" s="219"/>
      <c r="C367" s="229"/>
      <c r="D367" s="232"/>
      <c r="E367" s="235"/>
      <c r="F367" s="16">
        <v>47</v>
      </c>
      <c r="G367" s="34"/>
      <c r="H367" s="39"/>
      <c r="I367" s="39"/>
      <c r="J367" s="39"/>
      <c r="K367" s="39"/>
      <c r="L367" s="39"/>
      <c r="M367" s="39"/>
      <c r="N367" s="39"/>
      <c r="O367" s="39"/>
      <c r="P367" s="35"/>
      <c r="Q367" s="18"/>
      <c r="R367" s="34"/>
      <c r="S367" s="39"/>
      <c r="T367" s="39"/>
      <c r="U367" s="39"/>
      <c r="V367" s="39"/>
      <c r="W367" s="39"/>
      <c r="X367" s="39"/>
      <c r="Y367" s="39"/>
      <c r="Z367" s="39"/>
      <c r="AA367" s="35"/>
      <c r="AB367" s="50" t="e">
        <f t="shared" si="10"/>
        <v>#DIV/0!</v>
      </c>
      <c r="AC367" s="51" t="e">
        <f t="shared" si="10"/>
        <v>#DIV/0!</v>
      </c>
      <c r="AD367" s="19"/>
      <c r="AE367" s="19"/>
      <c r="AF367" s="285"/>
      <c r="AG367" s="240"/>
      <c r="AH367" s="242"/>
      <c r="AI367" s="242"/>
      <c r="AJ367" s="245"/>
      <c r="AK367" s="240"/>
      <c r="AL367" s="249"/>
      <c r="AM367" s="240"/>
      <c r="AN367" s="249"/>
      <c r="AO367" s="252"/>
      <c r="AP367" s="249"/>
    </row>
    <row r="368" spans="1:42" ht="17.100000000000001" customHeight="1" outlineLevel="3" x14ac:dyDescent="0.25">
      <c r="A368" s="222"/>
      <c r="B368" s="219"/>
      <c r="C368" s="229"/>
      <c r="D368" s="232"/>
      <c r="E368" s="235"/>
      <c r="F368" s="16">
        <v>55</v>
      </c>
      <c r="G368" s="34"/>
      <c r="H368" s="39"/>
      <c r="I368" s="39"/>
      <c r="J368" s="39"/>
      <c r="K368" s="39"/>
      <c r="L368" s="39"/>
      <c r="M368" s="39"/>
      <c r="N368" s="39"/>
      <c r="O368" s="39"/>
      <c r="P368" s="35"/>
      <c r="Q368" s="18"/>
      <c r="R368" s="34"/>
      <c r="S368" s="39"/>
      <c r="T368" s="39"/>
      <c r="U368" s="39"/>
      <c r="V368" s="39"/>
      <c r="W368" s="39"/>
      <c r="X368" s="39"/>
      <c r="Y368" s="39"/>
      <c r="Z368" s="39"/>
      <c r="AA368" s="35"/>
      <c r="AB368" s="50" t="e">
        <f t="shared" si="10"/>
        <v>#DIV/0!</v>
      </c>
      <c r="AC368" s="51" t="e">
        <f t="shared" si="10"/>
        <v>#DIV/0!</v>
      </c>
      <c r="AD368" s="19"/>
      <c r="AE368" s="19"/>
      <c r="AF368" s="285" t="s">
        <v>128</v>
      </c>
      <c r="AG368" s="240" t="e" cm="1">
        <f t="array" ref="AG368">bdRateExtend($G366:$G369,G366:G369,$R366:$R369,R366:R369)</f>
        <v>#VALUE!</v>
      </c>
      <c r="AH368" s="242"/>
      <c r="AI368" s="242"/>
      <c r="AJ368" s="245"/>
      <c r="AK368" s="240" t="e" cm="1">
        <f t="array" ref="AK368">bdRateExtend($G366:$G369,K366:K369,$R366:$R369,V366:V369)</f>
        <v>#VALUE!</v>
      </c>
      <c r="AL368" s="249"/>
      <c r="AM368" s="240" t="e" cm="1">
        <f t="array" ref="AM368">bdRateExtend($G366:$G369,L366:L369,$R366:$R369,W366:W369)</f>
        <v>#VALUE!</v>
      </c>
      <c r="AN368" s="249"/>
      <c r="AO368" s="252" t="e" cm="1">
        <f t="array" ref="AO368">bdRateExtend($G366:$G369,M366:M369,$R366:$R369,X366:X369)</f>
        <v>#VALUE!</v>
      </c>
      <c r="AP368" s="249"/>
    </row>
    <row r="369" spans="1:42" ht="17.100000000000001" customHeight="1" outlineLevel="3" thickBot="1" x14ac:dyDescent="0.3">
      <c r="A369" s="222"/>
      <c r="B369" s="220"/>
      <c r="C369" s="230"/>
      <c r="D369" s="233"/>
      <c r="E369" s="236"/>
      <c r="F369" s="9">
        <v>63</v>
      </c>
      <c r="G369" s="36"/>
      <c r="H369" s="37"/>
      <c r="I369" s="37"/>
      <c r="J369" s="37"/>
      <c r="K369" s="37"/>
      <c r="L369" s="37"/>
      <c r="M369" s="37"/>
      <c r="N369" s="37"/>
      <c r="O369" s="37"/>
      <c r="P369" s="38"/>
      <c r="Q369" s="18"/>
      <c r="R369" s="36"/>
      <c r="S369" s="37"/>
      <c r="T369" s="37"/>
      <c r="U369" s="37"/>
      <c r="V369" s="37"/>
      <c r="W369" s="37"/>
      <c r="X369" s="37"/>
      <c r="Y369" s="37"/>
      <c r="Z369" s="37"/>
      <c r="AA369" s="38"/>
      <c r="AB369" s="52" t="e">
        <f t="shared" si="10"/>
        <v>#DIV/0!</v>
      </c>
      <c r="AC369" s="53" t="e">
        <f t="shared" si="10"/>
        <v>#DIV/0!</v>
      </c>
      <c r="AD369" s="19"/>
      <c r="AE369" s="19"/>
      <c r="AF369" s="286"/>
      <c r="AG369" s="247"/>
      <c r="AH369" s="243"/>
      <c r="AI369" s="243"/>
      <c r="AJ369" s="246"/>
      <c r="AK369" s="247"/>
      <c r="AL369" s="250"/>
      <c r="AM369" s="247"/>
      <c r="AN369" s="250"/>
      <c r="AO369" s="253"/>
      <c r="AP369" s="250"/>
    </row>
    <row r="370" spans="1:42" ht="17.100000000000001" customHeight="1" outlineLevel="3" x14ac:dyDescent="0.25">
      <c r="A370" s="222"/>
      <c r="B370" s="218" t="s">
        <v>93</v>
      </c>
      <c r="C370" s="228" t="s">
        <v>87</v>
      </c>
      <c r="D370" s="231">
        <v>24</v>
      </c>
      <c r="E370" s="234">
        <v>8</v>
      </c>
      <c r="F370" s="7">
        <v>23</v>
      </c>
      <c r="G370" s="31"/>
      <c r="H370" s="32"/>
      <c r="I370" s="32"/>
      <c r="J370" s="32"/>
      <c r="K370" s="32"/>
      <c r="L370" s="32"/>
      <c r="M370" s="32"/>
      <c r="N370" s="32"/>
      <c r="O370" s="32"/>
      <c r="P370" s="33"/>
      <c r="Q370" s="18"/>
      <c r="R370" s="31"/>
      <c r="S370" s="32"/>
      <c r="T370" s="32"/>
      <c r="U370" s="32"/>
      <c r="V370" s="32"/>
      <c r="W370" s="32"/>
      <c r="X370" s="32"/>
      <c r="Y370" s="32"/>
      <c r="Z370" s="32"/>
      <c r="AA370" s="33"/>
      <c r="AB370" s="48" t="e">
        <f t="shared" si="10"/>
        <v>#DIV/0!</v>
      </c>
      <c r="AC370" s="49" t="e">
        <f t="shared" si="10"/>
        <v>#DIV/0!</v>
      </c>
      <c r="AD370" s="19"/>
      <c r="AE370" s="19"/>
      <c r="AF370" s="284" t="s">
        <v>126</v>
      </c>
      <c r="AG370" s="239" t="e" cm="1">
        <f t="array" ref="AG370">bdRateExtend($G370:$G373,G370:G373,$R370:$R373,R370:R373)</f>
        <v>#VALUE!</v>
      </c>
      <c r="AH370" s="241" t="e" cm="1">
        <f t="array" ref="AH370">bdRateExtend($G370:$G375,H370:H375,$R370:$R375,S370:S375)</f>
        <v>#VALUE!</v>
      </c>
      <c r="AI370" s="241" t="e" cm="1">
        <f t="array" ref="AI370">bdRateExtend($G370:$G375,I370:I375,$R370:$R375,T370:T375)</f>
        <v>#VALUE!</v>
      </c>
      <c r="AJ370" s="244" t="e" cm="1">
        <f t="array" ref="AJ370">bdRateExtend($G370:$G375,J370:J375,$R370:$R375,U370:U375)</f>
        <v>#VALUE!</v>
      </c>
      <c r="AK370" s="239" t="e" cm="1">
        <f t="array" ref="AK370">bdRateExtend($G370:$G373,K370:K373,$R370:$R373,V370:V373)</f>
        <v>#VALUE!</v>
      </c>
      <c r="AL370" s="248" t="e" cm="1">
        <f t="array" ref="AL370">bdRateExtend($G370:$G375,K370:K375,$R370:$R375,V370:V375)</f>
        <v>#VALUE!</v>
      </c>
      <c r="AM370" s="239" t="e" cm="1">
        <f t="array" ref="AM370">bdRateExtend($G370:$G373,L370:L373,$R370:$R373,W370:W373)</f>
        <v>#VALUE!</v>
      </c>
      <c r="AN370" s="248" t="e" cm="1">
        <f t="array" ref="AN370">bdRateExtend($G370:$G375,L370:L375,$R370:$R375,W370:W375)</f>
        <v>#VALUE!</v>
      </c>
      <c r="AO370" s="254" t="e" cm="1">
        <f t="array" ref="AO370">bdRateExtend($G370:$G373,M370:M373,$R370:$R373,X370:X373)</f>
        <v>#VALUE!</v>
      </c>
      <c r="AP370" s="248" t="e" cm="1">
        <f t="array" ref="AP370">bdRateExtend($G370:$G375,M370:M375,$R370:$R375,X370:X375)</f>
        <v>#VALUE!</v>
      </c>
    </row>
    <row r="371" spans="1:42" ht="17.100000000000001" customHeight="1" outlineLevel="3" x14ac:dyDescent="0.25">
      <c r="A371" s="222"/>
      <c r="B371" s="219"/>
      <c r="C371" s="229"/>
      <c r="D371" s="232"/>
      <c r="E371" s="235"/>
      <c r="F371" s="16">
        <v>31</v>
      </c>
      <c r="G371" s="34"/>
      <c r="H371" s="39"/>
      <c r="I371" s="39"/>
      <c r="J371" s="39"/>
      <c r="K371" s="39"/>
      <c r="L371" s="39"/>
      <c r="M371" s="39"/>
      <c r="N371" s="39"/>
      <c r="O371" s="39"/>
      <c r="P371" s="35"/>
      <c r="Q371" s="18"/>
      <c r="R371" s="34"/>
      <c r="S371" s="39"/>
      <c r="T371" s="39"/>
      <c r="U371" s="39"/>
      <c r="V371" s="39"/>
      <c r="W371" s="39"/>
      <c r="X371" s="39"/>
      <c r="Y371" s="39"/>
      <c r="Z371" s="39"/>
      <c r="AA371" s="35"/>
      <c r="AB371" s="50" t="e">
        <f t="shared" si="10"/>
        <v>#DIV/0!</v>
      </c>
      <c r="AC371" s="51" t="e">
        <f t="shared" si="10"/>
        <v>#DIV/0!</v>
      </c>
      <c r="AD371" s="19"/>
      <c r="AE371" s="19"/>
      <c r="AF371" s="285"/>
      <c r="AG371" s="240"/>
      <c r="AH371" s="242"/>
      <c r="AI371" s="242"/>
      <c r="AJ371" s="245"/>
      <c r="AK371" s="240"/>
      <c r="AL371" s="249"/>
      <c r="AM371" s="240"/>
      <c r="AN371" s="249"/>
      <c r="AO371" s="252"/>
      <c r="AP371" s="249"/>
    </row>
    <row r="372" spans="1:42" ht="17.100000000000001" customHeight="1" outlineLevel="3" x14ac:dyDescent="0.25">
      <c r="A372" s="222"/>
      <c r="B372" s="219"/>
      <c r="C372" s="229"/>
      <c r="D372" s="232"/>
      <c r="E372" s="235"/>
      <c r="F372" s="16">
        <v>39</v>
      </c>
      <c r="G372" s="34"/>
      <c r="H372" s="39"/>
      <c r="I372" s="39"/>
      <c r="J372" s="39"/>
      <c r="K372" s="39"/>
      <c r="L372" s="39"/>
      <c r="M372" s="39"/>
      <c r="N372" s="39"/>
      <c r="O372" s="39"/>
      <c r="P372" s="35"/>
      <c r="Q372" s="18"/>
      <c r="R372" s="34"/>
      <c r="S372" s="39"/>
      <c r="T372" s="39"/>
      <c r="U372" s="39"/>
      <c r="V372" s="39"/>
      <c r="W372" s="39"/>
      <c r="X372" s="39"/>
      <c r="Y372" s="39"/>
      <c r="Z372" s="39"/>
      <c r="AA372" s="35"/>
      <c r="AB372" s="50" t="e">
        <f t="shared" si="10"/>
        <v>#DIV/0!</v>
      </c>
      <c r="AC372" s="51" t="e">
        <f t="shared" si="10"/>
        <v>#DIV/0!</v>
      </c>
      <c r="AD372" s="19"/>
      <c r="AE372" s="19"/>
      <c r="AF372" s="285" t="s">
        <v>127</v>
      </c>
      <c r="AG372" s="240" t="e" cm="1">
        <f t="array" ref="AG372">bdRateExtend($G371:$G374,G371:G374,$R371:$R374,R371:R374)</f>
        <v>#VALUE!</v>
      </c>
      <c r="AH372" s="242"/>
      <c r="AI372" s="242"/>
      <c r="AJ372" s="245"/>
      <c r="AK372" s="240" t="e" cm="1">
        <f t="array" ref="AK372">bdRateExtend($G371:$G374,K371:K374,$R371:$R374,V371:V374)</f>
        <v>#VALUE!</v>
      </c>
      <c r="AL372" s="249"/>
      <c r="AM372" s="240" t="e" cm="1">
        <f t="array" ref="AM372">bdRateExtend($G371:$G374,L371:L374,$R371:$R374,W371:W374)</f>
        <v>#VALUE!</v>
      </c>
      <c r="AN372" s="249"/>
      <c r="AO372" s="252" t="e" cm="1">
        <f t="array" ref="AO372">bdRateExtend($G371:$G374,M371:M374,$R371:$R374,X371:X374)</f>
        <v>#VALUE!</v>
      </c>
      <c r="AP372" s="249"/>
    </row>
    <row r="373" spans="1:42" ht="17.100000000000001" customHeight="1" outlineLevel="3" x14ac:dyDescent="0.25">
      <c r="A373" s="222"/>
      <c r="B373" s="219"/>
      <c r="C373" s="229"/>
      <c r="D373" s="232"/>
      <c r="E373" s="235"/>
      <c r="F373" s="16">
        <v>47</v>
      </c>
      <c r="G373" s="34"/>
      <c r="H373" s="39"/>
      <c r="I373" s="39"/>
      <c r="J373" s="39"/>
      <c r="K373" s="39"/>
      <c r="L373" s="39"/>
      <c r="M373" s="39"/>
      <c r="N373" s="39"/>
      <c r="O373" s="39"/>
      <c r="P373" s="35"/>
      <c r="Q373" s="18"/>
      <c r="R373" s="34"/>
      <c r="S373" s="39"/>
      <c r="T373" s="39"/>
      <c r="U373" s="39"/>
      <c r="V373" s="39"/>
      <c r="W373" s="39"/>
      <c r="X373" s="39"/>
      <c r="Y373" s="39"/>
      <c r="Z373" s="39"/>
      <c r="AA373" s="35"/>
      <c r="AB373" s="50" t="e">
        <f t="shared" si="10"/>
        <v>#DIV/0!</v>
      </c>
      <c r="AC373" s="51" t="e">
        <f t="shared" si="10"/>
        <v>#DIV/0!</v>
      </c>
      <c r="AD373" s="19"/>
      <c r="AE373" s="19"/>
      <c r="AF373" s="285"/>
      <c r="AG373" s="240"/>
      <c r="AH373" s="242"/>
      <c r="AI373" s="242"/>
      <c r="AJ373" s="245"/>
      <c r="AK373" s="240"/>
      <c r="AL373" s="249"/>
      <c r="AM373" s="240"/>
      <c r="AN373" s="249"/>
      <c r="AO373" s="252"/>
      <c r="AP373" s="249"/>
    </row>
    <row r="374" spans="1:42" ht="17.100000000000001" customHeight="1" outlineLevel="3" x14ac:dyDescent="0.25">
      <c r="A374" s="222"/>
      <c r="B374" s="219"/>
      <c r="C374" s="229"/>
      <c r="D374" s="232"/>
      <c r="E374" s="235"/>
      <c r="F374" s="16">
        <v>55</v>
      </c>
      <c r="G374" s="34"/>
      <c r="H374" s="39"/>
      <c r="I374" s="39"/>
      <c r="J374" s="39"/>
      <c r="K374" s="39"/>
      <c r="L374" s="39"/>
      <c r="M374" s="39"/>
      <c r="N374" s="39"/>
      <c r="O374" s="39"/>
      <c r="P374" s="35"/>
      <c r="Q374" s="18"/>
      <c r="R374" s="34"/>
      <c r="S374" s="39"/>
      <c r="T374" s="39"/>
      <c r="U374" s="39"/>
      <c r="V374" s="39"/>
      <c r="W374" s="39"/>
      <c r="X374" s="39"/>
      <c r="Y374" s="39"/>
      <c r="Z374" s="39"/>
      <c r="AA374" s="35"/>
      <c r="AB374" s="50" t="e">
        <f t="shared" si="10"/>
        <v>#DIV/0!</v>
      </c>
      <c r="AC374" s="51" t="e">
        <f t="shared" si="10"/>
        <v>#DIV/0!</v>
      </c>
      <c r="AD374" s="19"/>
      <c r="AE374" s="19"/>
      <c r="AF374" s="285" t="s">
        <v>128</v>
      </c>
      <c r="AG374" s="240" t="e" cm="1">
        <f t="array" ref="AG374">bdRateExtend($G372:$G375,G372:G375,$R372:$R375,R372:R375)</f>
        <v>#VALUE!</v>
      </c>
      <c r="AH374" s="242"/>
      <c r="AI374" s="242"/>
      <c r="AJ374" s="245"/>
      <c r="AK374" s="240" t="e" cm="1">
        <f t="array" ref="AK374">bdRateExtend($G372:$G375,K372:K375,$R372:$R375,V372:V375)</f>
        <v>#VALUE!</v>
      </c>
      <c r="AL374" s="249"/>
      <c r="AM374" s="240" t="e" cm="1">
        <f t="array" ref="AM374">bdRateExtend($G372:$G375,L372:L375,$R372:$R375,W372:W375)</f>
        <v>#VALUE!</v>
      </c>
      <c r="AN374" s="249"/>
      <c r="AO374" s="252" t="e" cm="1">
        <f t="array" ref="AO374">bdRateExtend($G372:$G375,M372:M375,$R372:$R375,X372:X375)</f>
        <v>#VALUE!</v>
      </c>
      <c r="AP374" s="249"/>
    </row>
    <row r="375" spans="1:42" ht="17.100000000000001" customHeight="1" outlineLevel="3" thickBot="1" x14ac:dyDescent="0.3">
      <c r="A375" s="222"/>
      <c r="B375" s="220"/>
      <c r="C375" s="230"/>
      <c r="D375" s="233"/>
      <c r="E375" s="236"/>
      <c r="F375" s="9">
        <v>63</v>
      </c>
      <c r="G375" s="36"/>
      <c r="H375" s="37"/>
      <c r="I375" s="37"/>
      <c r="J375" s="37"/>
      <c r="K375" s="37"/>
      <c r="L375" s="37"/>
      <c r="M375" s="37"/>
      <c r="N375" s="37"/>
      <c r="O375" s="37"/>
      <c r="P375" s="38"/>
      <c r="Q375" s="18"/>
      <c r="R375" s="36"/>
      <c r="S375" s="37"/>
      <c r="T375" s="37"/>
      <c r="U375" s="37"/>
      <c r="V375" s="37"/>
      <c r="W375" s="37"/>
      <c r="X375" s="37"/>
      <c r="Y375" s="37"/>
      <c r="Z375" s="37"/>
      <c r="AA375" s="38"/>
      <c r="AB375" s="52" t="e">
        <f t="shared" si="10"/>
        <v>#DIV/0!</v>
      </c>
      <c r="AC375" s="53" t="e">
        <f t="shared" si="10"/>
        <v>#DIV/0!</v>
      </c>
      <c r="AD375" s="19"/>
      <c r="AE375" s="19"/>
      <c r="AF375" s="286"/>
      <c r="AG375" s="247"/>
      <c r="AH375" s="243"/>
      <c r="AI375" s="243"/>
      <c r="AJ375" s="246"/>
      <c r="AK375" s="247"/>
      <c r="AL375" s="250"/>
      <c r="AM375" s="247"/>
      <c r="AN375" s="250"/>
      <c r="AO375" s="253"/>
      <c r="AP375" s="250"/>
    </row>
    <row r="376" spans="1:42" ht="17.100000000000001" customHeight="1" outlineLevel="3" x14ac:dyDescent="0.25">
      <c r="A376" s="222"/>
      <c r="B376" s="218" t="s">
        <v>2</v>
      </c>
      <c r="C376" s="228" t="s">
        <v>88</v>
      </c>
      <c r="D376" s="231">
        <v>59.94</v>
      </c>
      <c r="E376" s="234">
        <v>10</v>
      </c>
      <c r="F376" s="7">
        <v>23</v>
      </c>
      <c r="G376" s="31"/>
      <c r="H376" s="32"/>
      <c r="I376" s="32"/>
      <c r="J376" s="32"/>
      <c r="K376" s="32"/>
      <c r="L376" s="32"/>
      <c r="M376" s="32"/>
      <c r="N376" s="32"/>
      <c r="O376" s="32"/>
      <c r="P376" s="33"/>
      <c r="Q376" s="18"/>
      <c r="R376" s="31"/>
      <c r="S376" s="32"/>
      <c r="T376" s="32"/>
      <c r="U376" s="32"/>
      <c r="V376" s="32"/>
      <c r="W376" s="32"/>
      <c r="X376" s="32"/>
      <c r="Y376" s="32"/>
      <c r="Z376" s="32"/>
      <c r="AA376" s="33"/>
      <c r="AB376" s="48" t="e">
        <f t="shared" si="10"/>
        <v>#DIV/0!</v>
      </c>
      <c r="AC376" s="49" t="e">
        <f t="shared" si="10"/>
        <v>#DIV/0!</v>
      </c>
      <c r="AD376" s="19"/>
      <c r="AE376" s="19"/>
      <c r="AF376" s="284" t="s">
        <v>126</v>
      </c>
      <c r="AG376" s="239" t="e" cm="1">
        <f t="array" ref="AG376">bdRateExtend($G376:$G379,G376:G379,$R376:$R379,R376:R379)</f>
        <v>#VALUE!</v>
      </c>
      <c r="AH376" s="241" t="e" cm="1">
        <f t="array" ref="AH376">bdRateExtend($G376:$G381,H376:H381,$R376:$R381,S376:S381)</f>
        <v>#VALUE!</v>
      </c>
      <c r="AI376" s="241" t="e" cm="1">
        <f t="array" ref="AI376">bdRateExtend($G376:$G381,I376:I381,$R376:$R381,T376:T381)</f>
        <v>#VALUE!</v>
      </c>
      <c r="AJ376" s="244" t="e" cm="1">
        <f t="array" ref="AJ376">bdRateExtend($G376:$G381,J376:J381,$R376:$R381,U376:U381)</f>
        <v>#VALUE!</v>
      </c>
      <c r="AK376" s="239" t="e" cm="1">
        <f t="array" ref="AK376">bdRateExtend($G376:$G379,K376:K379,$R376:$R379,V376:V379)</f>
        <v>#VALUE!</v>
      </c>
      <c r="AL376" s="248" t="e" cm="1">
        <f t="array" ref="AL376">bdRateExtend($G376:$G381,K376:K381,$R376:$R381,V376:V381)</f>
        <v>#VALUE!</v>
      </c>
      <c r="AM376" s="239" t="e" cm="1">
        <f t="array" ref="AM376">bdRateExtend($G376:$G379,L376:L379,$R376:$R379,W376:W379)</f>
        <v>#VALUE!</v>
      </c>
      <c r="AN376" s="248" t="e" cm="1">
        <f t="array" ref="AN376">bdRateExtend($G376:$G381,L376:L381,$R376:$R381,W376:W381)</f>
        <v>#VALUE!</v>
      </c>
      <c r="AO376" s="254" t="e" cm="1">
        <f t="array" ref="AO376">bdRateExtend($G376:$G379,M376:M379,$R376:$R379,X376:X379)</f>
        <v>#VALUE!</v>
      </c>
      <c r="AP376" s="248" t="e" cm="1">
        <f t="array" ref="AP376">bdRateExtend($G376:$G381,M376:M381,$R376:$R381,X376:X381)</f>
        <v>#VALUE!</v>
      </c>
    </row>
    <row r="377" spans="1:42" ht="17.100000000000001" customHeight="1" outlineLevel="3" x14ac:dyDescent="0.25">
      <c r="A377" s="222"/>
      <c r="B377" s="219"/>
      <c r="C377" s="229"/>
      <c r="D377" s="232"/>
      <c r="E377" s="235"/>
      <c r="F377" s="16">
        <v>31</v>
      </c>
      <c r="G377" s="34"/>
      <c r="H377" s="39"/>
      <c r="I377" s="39"/>
      <c r="J377" s="39"/>
      <c r="K377" s="39"/>
      <c r="L377" s="39"/>
      <c r="M377" s="39"/>
      <c r="N377" s="39"/>
      <c r="O377" s="39"/>
      <c r="P377" s="35"/>
      <c r="Q377" s="18"/>
      <c r="R377" s="34"/>
      <c r="S377" s="39"/>
      <c r="T377" s="39"/>
      <c r="U377" s="39"/>
      <c r="V377" s="39"/>
      <c r="W377" s="39"/>
      <c r="X377" s="39"/>
      <c r="Y377" s="39"/>
      <c r="Z377" s="39"/>
      <c r="AA377" s="35"/>
      <c r="AB377" s="50" t="e">
        <f t="shared" si="10"/>
        <v>#DIV/0!</v>
      </c>
      <c r="AC377" s="51" t="e">
        <f t="shared" si="10"/>
        <v>#DIV/0!</v>
      </c>
      <c r="AD377" s="19"/>
      <c r="AE377" s="19"/>
      <c r="AF377" s="285"/>
      <c r="AG377" s="240"/>
      <c r="AH377" s="242"/>
      <c r="AI377" s="242"/>
      <c r="AJ377" s="245"/>
      <c r="AK377" s="240"/>
      <c r="AL377" s="249"/>
      <c r="AM377" s="240"/>
      <c r="AN377" s="249"/>
      <c r="AO377" s="252"/>
      <c r="AP377" s="249"/>
    </row>
    <row r="378" spans="1:42" ht="17.100000000000001" customHeight="1" outlineLevel="3" x14ac:dyDescent="0.25">
      <c r="A378" s="222"/>
      <c r="B378" s="219"/>
      <c r="C378" s="229"/>
      <c r="D378" s="232"/>
      <c r="E378" s="235"/>
      <c r="F378" s="16">
        <v>39</v>
      </c>
      <c r="G378" s="34"/>
      <c r="H378" s="39"/>
      <c r="I378" s="39"/>
      <c r="J378" s="39"/>
      <c r="K378" s="39"/>
      <c r="L378" s="39"/>
      <c r="M378" s="39"/>
      <c r="N378" s="39"/>
      <c r="O378" s="39"/>
      <c r="P378" s="35"/>
      <c r="Q378" s="18"/>
      <c r="R378" s="34"/>
      <c r="S378" s="39"/>
      <c r="T378" s="39"/>
      <c r="U378" s="39"/>
      <c r="V378" s="39"/>
      <c r="W378" s="39"/>
      <c r="X378" s="39"/>
      <c r="Y378" s="39"/>
      <c r="Z378" s="39"/>
      <c r="AA378" s="35"/>
      <c r="AB378" s="50" t="e">
        <f t="shared" si="10"/>
        <v>#DIV/0!</v>
      </c>
      <c r="AC378" s="51" t="e">
        <f t="shared" si="10"/>
        <v>#DIV/0!</v>
      </c>
      <c r="AD378" s="19"/>
      <c r="AE378" s="19"/>
      <c r="AF378" s="285" t="s">
        <v>127</v>
      </c>
      <c r="AG378" s="240" t="e" cm="1">
        <f t="array" ref="AG378">bdRateExtend($G377:$G380,G377:G380,$R377:$R380,R377:R380)</f>
        <v>#VALUE!</v>
      </c>
      <c r="AH378" s="242"/>
      <c r="AI378" s="242"/>
      <c r="AJ378" s="245"/>
      <c r="AK378" s="240" t="e" cm="1">
        <f t="array" ref="AK378">bdRateExtend($G377:$G380,K377:K380,$R377:$R380,V377:V380)</f>
        <v>#VALUE!</v>
      </c>
      <c r="AL378" s="249"/>
      <c r="AM378" s="240" t="e" cm="1">
        <f t="array" ref="AM378">bdRateExtend($G377:$G380,L377:L380,$R377:$R380,W377:W380)</f>
        <v>#VALUE!</v>
      </c>
      <c r="AN378" s="249"/>
      <c r="AO378" s="252" t="e" cm="1">
        <f t="array" ref="AO378">bdRateExtend($G377:$G380,M377:M380,$R377:$R380,X377:X380)</f>
        <v>#VALUE!</v>
      </c>
      <c r="AP378" s="249"/>
    </row>
    <row r="379" spans="1:42" ht="17.100000000000001" customHeight="1" outlineLevel="3" x14ac:dyDescent="0.25">
      <c r="A379" s="222"/>
      <c r="B379" s="219"/>
      <c r="C379" s="229"/>
      <c r="D379" s="232"/>
      <c r="E379" s="235"/>
      <c r="F379" s="16">
        <v>47</v>
      </c>
      <c r="G379" s="34"/>
      <c r="H379" s="39"/>
      <c r="I379" s="39"/>
      <c r="J379" s="39"/>
      <c r="K379" s="39"/>
      <c r="L379" s="39"/>
      <c r="M379" s="39"/>
      <c r="N379" s="39"/>
      <c r="O379" s="39"/>
      <c r="P379" s="35"/>
      <c r="Q379" s="18"/>
      <c r="R379" s="34"/>
      <c r="S379" s="39"/>
      <c r="T379" s="39"/>
      <c r="U379" s="39"/>
      <c r="V379" s="39"/>
      <c r="W379" s="39"/>
      <c r="X379" s="39"/>
      <c r="Y379" s="39"/>
      <c r="Z379" s="39"/>
      <c r="AA379" s="35"/>
      <c r="AB379" s="50" t="e">
        <f t="shared" si="10"/>
        <v>#DIV/0!</v>
      </c>
      <c r="AC379" s="51" t="e">
        <f t="shared" si="10"/>
        <v>#DIV/0!</v>
      </c>
      <c r="AD379" s="19"/>
      <c r="AE379" s="19"/>
      <c r="AF379" s="285"/>
      <c r="AG379" s="240"/>
      <c r="AH379" s="242"/>
      <c r="AI379" s="242"/>
      <c r="AJ379" s="245"/>
      <c r="AK379" s="240"/>
      <c r="AL379" s="249"/>
      <c r="AM379" s="240"/>
      <c r="AN379" s="249"/>
      <c r="AO379" s="252"/>
      <c r="AP379" s="249"/>
    </row>
    <row r="380" spans="1:42" ht="17.100000000000001" customHeight="1" outlineLevel="3" x14ac:dyDescent="0.25">
      <c r="A380" s="222"/>
      <c r="B380" s="219"/>
      <c r="C380" s="229"/>
      <c r="D380" s="232"/>
      <c r="E380" s="235"/>
      <c r="F380" s="16">
        <v>55</v>
      </c>
      <c r="G380" s="34"/>
      <c r="H380" s="39"/>
      <c r="I380" s="39"/>
      <c r="J380" s="39"/>
      <c r="K380" s="39"/>
      <c r="L380" s="39"/>
      <c r="M380" s="39"/>
      <c r="N380" s="39"/>
      <c r="O380" s="39"/>
      <c r="P380" s="35"/>
      <c r="Q380" s="18"/>
      <c r="R380" s="34"/>
      <c r="S380" s="39"/>
      <c r="T380" s="39"/>
      <c r="U380" s="39"/>
      <c r="V380" s="39"/>
      <c r="W380" s="39"/>
      <c r="X380" s="39"/>
      <c r="Y380" s="39"/>
      <c r="Z380" s="39"/>
      <c r="AA380" s="35"/>
      <c r="AB380" s="50" t="e">
        <f t="shared" si="10"/>
        <v>#DIV/0!</v>
      </c>
      <c r="AC380" s="51" t="e">
        <f t="shared" si="10"/>
        <v>#DIV/0!</v>
      </c>
      <c r="AD380" s="19"/>
      <c r="AE380" s="19"/>
      <c r="AF380" s="285" t="s">
        <v>128</v>
      </c>
      <c r="AG380" s="240" t="e" cm="1">
        <f t="array" ref="AG380">bdRateExtend($G378:$G381,G378:G381,$R378:$R381,R378:R381)</f>
        <v>#VALUE!</v>
      </c>
      <c r="AH380" s="242"/>
      <c r="AI380" s="242"/>
      <c r="AJ380" s="245"/>
      <c r="AK380" s="240" t="e" cm="1">
        <f t="array" ref="AK380">bdRateExtend($G378:$G381,K378:K381,$R378:$R381,V378:V381)</f>
        <v>#VALUE!</v>
      </c>
      <c r="AL380" s="249"/>
      <c r="AM380" s="240" t="e" cm="1">
        <f t="array" ref="AM380">bdRateExtend($G378:$G381,L378:L381,$R378:$R381,W378:W381)</f>
        <v>#VALUE!</v>
      </c>
      <c r="AN380" s="249"/>
      <c r="AO380" s="252" t="e" cm="1">
        <f t="array" ref="AO380">bdRateExtend($G378:$G381,M378:M381,$R378:$R381,X378:X381)</f>
        <v>#VALUE!</v>
      </c>
      <c r="AP380" s="249"/>
    </row>
    <row r="381" spans="1:42" ht="17.100000000000001" customHeight="1" outlineLevel="3" thickBot="1" x14ac:dyDescent="0.3">
      <c r="A381" s="222"/>
      <c r="B381" s="220"/>
      <c r="C381" s="230"/>
      <c r="D381" s="233"/>
      <c r="E381" s="236"/>
      <c r="F381" s="9">
        <v>63</v>
      </c>
      <c r="G381" s="36"/>
      <c r="H381" s="37"/>
      <c r="I381" s="37"/>
      <c r="J381" s="37"/>
      <c r="K381" s="37"/>
      <c r="L381" s="37"/>
      <c r="M381" s="37"/>
      <c r="N381" s="37"/>
      <c r="O381" s="37"/>
      <c r="P381" s="38"/>
      <c r="Q381" s="18"/>
      <c r="R381" s="36"/>
      <c r="S381" s="37"/>
      <c r="T381" s="37"/>
      <c r="U381" s="37"/>
      <c r="V381" s="37"/>
      <c r="W381" s="37"/>
      <c r="X381" s="37"/>
      <c r="Y381" s="37"/>
      <c r="Z381" s="37"/>
      <c r="AA381" s="38"/>
      <c r="AB381" s="52" t="e">
        <f t="shared" si="10"/>
        <v>#DIV/0!</v>
      </c>
      <c r="AC381" s="53" t="e">
        <f t="shared" si="10"/>
        <v>#DIV/0!</v>
      </c>
      <c r="AD381" s="19"/>
      <c r="AE381" s="19"/>
      <c r="AF381" s="286"/>
      <c r="AG381" s="247"/>
      <c r="AH381" s="243"/>
      <c r="AI381" s="243"/>
      <c r="AJ381" s="246"/>
      <c r="AK381" s="247"/>
      <c r="AL381" s="250"/>
      <c r="AM381" s="247"/>
      <c r="AN381" s="250"/>
      <c r="AO381" s="253"/>
      <c r="AP381" s="250"/>
    </row>
    <row r="382" spans="1:42" ht="17.100000000000001" customHeight="1" outlineLevel="3" x14ac:dyDescent="0.25">
      <c r="A382" s="222"/>
      <c r="B382" s="218" t="s">
        <v>2</v>
      </c>
      <c r="C382" s="228" t="s">
        <v>89</v>
      </c>
      <c r="D382" s="231">
        <v>59.94</v>
      </c>
      <c r="E382" s="234">
        <v>10</v>
      </c>
      <c r="F382" s="7">
        <v>23</v>
      </c>
      <c r="G382" s="31"/>
      <c r="H382" s="32"/>
      <c r="I382" s="32"/>
      <c r="J382" s="32"/>
      <c r="K382" s="32"/>
      <c r="L382" s="32"/>
      <c r="M382" s="32"/>
      <c r="N382" s="32"/>
      <c r="O382" s="32"/>
      <c r="P382" s="33"/>
      <c r="Q382" s="18"/>
      <c r="R382" s="31"/>
      <c r="S382" s="32"/>
      <c r="T382" s="32"/>
      <c r="U382" s="32"/>
      <c r="V382" s="32"/>
      <c r="W382" s="32"/>
      <c r="X382" s="32"/>
      <c r="Y382" s="32"/>
      <c r="Z382" s="32"/>
      <c r="AA382" s="33"/>
      <c r="AB382" s="48" t="e">
        <f t="shared" si="10"/>
        <v>#DIV/0!</v>
      </c>
      <c r="AC382" s="49" t="e">
        <f t="shared" si="10"/>
        <v>#DIV/0!</v>
      </c>
      <c r="AD382" s="19"/>
      <c r="AE382" s="19"/>
      <c r="AF382" s="284" t="s">
        <v>126</v>
      </c>
      <c r="AG382" s="239" t="e" cm="1">
        <f t="array" ref="AG382">bdRateExtend($G382:$G385,G382:G385,$R382:$R385,R382:R385)</f>
        <v>#VALUE!</v>
      </c>
      <c r="AH382" s="241" t="e" cm="1">
        <f t="array" ref="AH382">bdRateExtend($G382:$G387,H382:H387,$R382:$R387,S382:S387)</f>
        <v>#VALUE!</v>
      </c>
      <c r="AI382" s="241" t="e" cm="1">
        <f t="array" ref="AI382">bdRateExtend($G382:$G387,I382:I387,$R382:$R387,T382:T387)</f>
        <v>#VALUE!</v>
      </c>
      <c r="AJ382" s="244" t="e" cm="1">
        <f t="array" ref="AJ382">bdRateExtend($G382:$G387,J382:J387,$R382:$R387,U382:U387)</f>
        <v>#VALUE!</v>
      </c>
      <c r="AK382" s="239" t="e" cm="1">
        <f t="array" ref="AK382">bdRateExtend($G382:$G385,K382:K385,$R382:$R385,V382:V385)</f>
        <v>#VALUE!</v>
      </c>
      <c r="AL382" s="248" t="e" cm="1">
        <f t="array" ref="AL382">bdRateExtend($G382:$G387,K382:K387,$R382:$R387,V382:V387)</f>
        <v>#VALUE!</v>
      </c>
      <c r="AM382" s="239" t="e" cm="1">
        <f t="array" ref="AM382">bdRateExtend($G382:$G385,L382:L385,$R382:$R385,W382:W385)</f>
        <v>#VALUE!</v>
      </c>
      <c r="AN382" s="248" t="e" cm="1">
        <f t="array" ref="AN382">bdRateExtend($G382:$G387,L382:L387,$R382:$R387,W382:W387)</f>
        <v>#VALUE!</v>
      </c>
      <c r="AO382" s="254" t="e" cm="1">
        <f t="array" ref="AO382">bdRateExtend($G382:$G385,M382:M385,$R382:$R385,X382:X385)</f>
        <v>#VALUE!</v>
      </c>
      <c r="AP382" s="248" t="e" cm="1">
        <f t="array" ref="AP382">bdRateExtend($G382:$G387,M382:M387,$R382:$R387,X382:X387)</f>
        <v>#VALUE!</v>
      </c>
    </row>
    <row r="383" spans="1:42" ht="17.100000000000001" customHeight="1" outlineLevel="3" x14ac:dyDescent="0.25">
      <c r="A383" s="222"/>
      <c r="B383" s="219"/>
      <c r="C383" s="229"/>
      <c r="D383" s="232"/>
      <c r="E383" s="235"/>
      <c r="F383" s="16">
        <v>31</v>
      </c>
      <c r="G383" s="34"/>
      <c r="H383" s="39"/>
      <c r="I383" s="39"/>
      <c r="J383" s="39"/>
      <c r="K383" s="39"/>
      <c r="L383" s="39"/>
      <c r="M383" s="39"/>
      <c r="N383" s="39"/>
      <c r="O383" s="39"/>
      <c r="P383" s="35"/>
      <c r="Q383" s="18"/>
      <c r="R383" s="34"/>
      <c r="S383" s="39"/>
      <c r="T383" s="39"/>
      <c r="U383" s="39"/>
      <c r="V383" s="39"/>
      <c r="W383" s="39"/>
      <c r="X383" s="39"/>
      <c r="Y383" s="39"/>
      <c r="Z383" s="39"/>
      <c r="AA383" s="35"/>
      <c r="AB383" s="50" t="e">
        <f t="shared" si="10"/>
        <v>#DIV/0!</v>
      </c>
      <c r="AC383" s="51" t="e">
        <f t="shared" si="10"/>
        <v>#DIV/0!</v>
      </c>
      <c r="AD383" s="19"/>
      <c r="AE383" s="19"/>
      <c r="AF383" s="285"/>
      <c r="AG383" s="240"/>
      <c r="AH383" s="242"/>
      <c r="AI383" s="242"/>
      <c r="AJ383" s="245"/>
      <c r="AK383" s="240"/>
      <c r="AL383" s="249"/>
      <c r="AM383" s="240"/>
      <c r="AN383" s="249"/>
      <c r="AO383" s="252"/>
      <c r="AP383" s="249"/>
    </row>
    <row r="384" spans="1:42" ht="17.100000000000001" customHeight="1" outlineLevel="3" x14ac:dyDescent="0.25">
      <c r="A384" s="222"/>
      <c r="B384" s="219"/>
      <c r="C384" s="229"/>
      <c r="D384" s="232"/>
      <c r="E384" s="235"/>
      <c r="F384" s="16">
        <v>39</v>
      </c>
      <c r="G384" s="34"/>
      <c r="H384" s="39"/>
      <c r="I384" s="39"/>
      <c r="J384" s="39"/>
      <c r="K384" s="39"/>
      <c r="L384" s="39"/>
      <c r="M384" s="39"/>
      <c r="N384" s="39"/>
      <c r="O384" s="39"/>
      <c r="P384" s="35"/>
      <c r="Q384" s="18"/>
      <c r="R384" s="34"/>
      <c r="S384" s="39"/>
      <c r="T384" s="39"/>
      <c r="U384" s="39"/>
      <c r="V384" s="39"/>
      <c r="W384" s="39"/>
      <c r="X384" s="39"/>
      <c r="Y384" s="39"/>
      <c r="Z384" s="39"/>
      <c r="AA384" s="35"/>
      <c r="AB384" s="50" t="e">
        <f t="shared" si="10"/>
        <v>#DIV/0!</v>
      </c>
      <c r="AC384" s="51" t="e">
        <f t="shared" si="10"/>
        <v>#DIV/0!</v>
      </c>
      <c r="AD384" s="19"/>
      <c r="AE384" s="19"/>
      <c r="AF384" s="285" t="s">
        <v>127</v>
      </c>
      <c r="AG384" s="240" t="e" cm="1">
        <f t="array" ref="AG384">bdRateExtend($G383:$G386,G383:G386,$R383:$R386,R383:R386)</f>
        <v>#VALUE!</v>
      </c>
      <c r="AH384" s="242"/>
      <c r="AI384" s="242"/>
      <c r="AJ384" s="245"/>
      <c r="AK384" s="240" t="e" cm="1">
        <f t="array" ref="AK384">bdRateExtend($G383:$G386,K383:K386,$R383:$R386,V383:V386)</f>
        <v>#VALUE!</v>
      </c>
      <c r="AL384" s="249"/>
      <c r="AM384" s="240" t="e" cm="1">
        <f t="array" ref="AM384">bdRateExtend($G383:$G386,L383:L386,$R383:$R386,W383:W386)</f>
        <v>#VALUE!</v>
      </c>
      <c r="AN384" s="249"/>
      <c r="AO384" s="252" t="e" cm="1">
        <f t="array" ref="AO384">bdRateExtend($G383:$G386,M383:M386,$R383:$R386,X383:X386)</f>
        <v>#VALUE!</v>
      </c>
      <c r="AP384" s="249"/>
    </row>
    <row r="385" spans="1:42" ht="17.100000000000001" customHeight="1" outlineLevel="3" x14ac:dyDescent="0.25">
      <c r="A385" s="222"/>
      <c r="B385" s="219"/>
      <c r="C385" s="229"/>
      <c r="D385" s="232"/>
      <c r="E385" s="235"/>
      <c r="F385" s="16">
        <v>47</v>
      </c>
      <c r="G385" s="34"/>
      <c r="H385" s="39"/>
      <c r="I385" s="39"/>
      <c r="J385" s="39"/>
      <c r="K385" s="39"/>
      <c r="L385" s="39"/>
      <c r="M385" s="39"/>
      <c r="N385" s="39"/>
      <c r="O385" s="39"/>
      <c r="P385" s="35"/>
      <c r="Q385" s="18"/>
      <c r="R385" s="34"/>
      <c r="S385" s="39"/>
      <c r="T385" s="39"/>
      <c r="U385" s="39"/>
      <c r="V385" s="39"/>
      <c r="W385" s="39"/>
      <c r="X385" s="39"/>
      <c r="Y385" s="39"/>
      <c r="Z385" s="39"/>
      <c r="AA385" s="35"/>
      <c r="AB385" s="50" t="e">
        <f t="shared" si="10"/>
        <v>#DIV/0!</v>
      </c>
      <c r="AC385" s="51" t="e">
        <f t="shared" si="10"/>
        <v>#DIV/0!</v>
      </c>
      <c r="AD385" s="19"/>
      <c r="AE385" s="19"/>
      <c r="AF385" s="285"/>
      <c r="AG385" s="240"/>
      <c r="AH385" s="242"/>
      <c r="AI385" s="242"/>
      <c r="AJ385" s="245"/>
      <c r="AK385" s="240"/>
      <c r="AL385" s="249"/>
      <c r="AM385" s="240"/>
      <c r="AN385" s="249"/>
      <c r="AO385" s="252"/>
      <c r="AP385" s="249"/>
    </row>
    <row r="386" spans="1:42" ht="17.100000000000001" customHeight="1" outlineLevel="3" x14ac:dyDescent="0.25">
      <c r="A386" s="222"/>
      <c r="B386" s="219"/>
      <c r="C386" s="229"/>
      <c r="D386" s="232"/>
      <c r="E386" s="235"/>
      <c r="F386" s="16">
        <v>55</v>
      </c>
      <c r="G386" s="34"/>
      <c r="H386" s="39"/>
      <c r="I386" s="39"/>
      <c r="J386" s="39"/>
      <c r="K386" s="39"/>
      <c r="L386" s="39"/>
      <c r="M386" s="39"/>
      <c r="N386" s="39"/>
      <c r="O386" s="39"/>
      <c r="P386" s="35"/>
      <c r="Q386" s="18"/>
      <c r="R386" s="34"/>
      <c r="S386" s="39"/>
      <c r="T386" s="39"/>
      <c r="U386" s="39"/>
      <c r="V386" s="39"/>
      <c r="W386" s="39"/>
      <c r="X386" s="39"/>
      <c r="Y386" s="39"/>
      <c r="Z386" s="39"/>
      <c r="AA386" s="35"/>
      <c r="AB386" s="50" t="e">
        <f t="shared" si="10"/>
        <v>#DIV/0!</v>
      </c>
      <c r="AC386" s="51" t="e">
        <f t="shared" si="10"/>
        <v>#DIV/0!</v>
      </c>
      <c r="AD386" s="19"/>
      <c r="AE386" s="19"/>
      <c r="AF386" s="285" t="s">
        <v>128</v>
      </c>
      <c r="AG386" s="240" t="e" cm="1">
        <f t="array" ref="AG386">bdRateExtend($G384:$G387,G384:G387,$R384:$R387,R384:R387)</f>
        <v>#VALUE!</v>
      </c>
      <c r="AH386" s="242"/>
      <c r="AI386" s="242"/>
      <c r="AJ386" s="245"/>
      <c r="AK386" s="240" t="e" cm="1">
        <f t="array" ref="AK386">bdRateExtend($G384:$G387,K384:K387,$R384:$R387,V384:V387)</f>
        <v>#VALUE!</v>
      </c>
      <c r="AL386" s="249"/>
      <c r="AM386" s="240" t="e" cm="1">
        <f t="array" ref="AM386">bdRateExtend($G384:$G387,L384:L387,$R384:$R387,W384:W387)</f>
        <v>#VALUE!</v>
      </c>
      <c r="AN386" s="249"/>
      <c r="AO386" s="252" t="e" cm="1">
        <f t="array" ref="AO386">bdRateExtend($G384:$G387,M384:M387,$R384:$R387,X384:X387)</f>
        <v>#VALUE!</v>
      </c>
      <c r="AP386" s="249"/>
    </row>
    <row r="387" spans="1:42" ht="17.100000000000001" customHeight="1" outlineLevel="3" thickBot="1" x14ac:dyDescent="0.3">
      <c r="A387" s="222"/>
      <c r="B387" s="220"/>
      <c r="C387" s="230"/>
      <c r="D387" s="233"/>
      <c r="E387" s="236"/>
      <c r="F387" s="9">
        <v>63</v>
      </c>
      <c r="G387" s="36"/>
      <c r="H387" s="37"/>
      <c r="I387" s="37"/>
      <c r="J387" s="37"/>
      <c r="K387" s="37"/>
      <c r="L387" s="37"/>
      <c r="M387" s="37"/>
      <c r="N387" s="37"/>
      <c r="O387" s="37"/>
      <c r="P387" s="38"/>
      <c r="Q387" s="18"/>
      <c r="R387" s="36"/>
      <c r="S387" s="37"/>
      <c r="T387" s="37"/>
      <c r="U387" s="37"/>
      <c r="V387" s="37"/>
      <c r="W387" s="37"/>
      <c r="X387" s="37"/>
      <c r="Y387" s="37"/>
      <c r="Z387" s="37"/>
      <c r="AA387" s="38"/>
      <c r="AB387" s="52" t="e">
        <f t="shared" si="10"/>
        <v>#DIV/0!</v>
      </c>
      <c r="AC387" s="53" t="e">
        <f t="shared" si="10"/>
        <v>#DIV/0!</v>
      </c>
      <c r="AD387" s="19"/>
      <c r="AE387" s="19"/>
      <c r="AF387" s="286"/>
      <c r="AG387" s="247"/>
      <c r="AH387" s="243"/>
      <c r="AI387" s="243"/>
      <c r="AJ387" s="246"/>
      <c r="AK387" s="247"/>
      <c r="AL387" s="250"/>
      <c r="AM387" s="247"/>
      <c r="AN387" s="250"/>
      <c r="AO387" s="253"/>
      <c r="AP387" s="250"/>
    </row>
    <row r="388" spans="1:42" ht="17.100000000000001" customHeight="1" outlineLevel="3" x14ac:dyDescent="0.25">
      <c r="A388" s="222"/>
      <c r="B388" s="218" t="s">
        <v>2</v>
      </c>
      <c r="C388" s="228" t="s">
        <v>90</v>
      </c>
      <c r="D388" s="231">
        <v>24</v>
      </c>
      <c r="E388" s="234">
        <v>10</v>
      </c>
      <c r="F388" s="7">
        <v>23</v>
      </c>
      <c r="G388" s="31"/>
      <c r="H388" s="32"/>
      <c r="I388" s="32"/>
      <c r="J388" s="32"/>
      <c r="K388" s="32"/>
      <c r="L388" s="32"/>
      <c r="M388" s="32"/>
      <c r="N388" s="32"/>
      <c r="O388" s="32"/>
      <c r="P388" s="33"/>
      <c r="Q388" s="18"/>
      <c r="R388" s="31"/>
      <c r="S388" s="32"/>
      <c r="T388" s="32"/>
      <c r="U388" s="32"/>
      <c r="V388" s="32"/>
      <c r="W388" s="32"/>
      <c r="X388" s="32"/>
      <c r="Y388" s="32"/>
      <c r="Z388" s="32"/>
      <c r="AA388" s="33"/>
      <c r="AB388" s="48" t="e">
        <f t="shared" si="10"/>
        <v>#DIV/0!</v>
      </c>
      <c r="AC388" s="49" t="e">
        <f t="shared" si="10"/>
        <v>#DIV/0!</v>
      </c>
      <c r="AD388" s="19"/>
      <c r="AE388" s="19"/>
      <c r="AF388" s="284" t="s">
        <v>126</v>
      </c>
      <c r="AG388" s="239" t="e" cm="1">
        <f t="array" ref="AG388">bdRateExtend($G388:$G391,G388:G391,$R388:$R391,R388:R391)</f>
        <v>#VALUE!</v>
      </c>
      <c r="AH388" s="241" t="e" cm="1">
        <f t="array" ref="AH388">bdRateExtend($G388:$G393,H388:H393,$R388:$R393,S388:S393)</f>
        <v>#VALUE!</v>
      </c>
      <c r="AI388" s="241" t="e" cm="1">
        <f t="array" ref="AI388">bdRateExtend($G388:$G393,I388:I393,$R388:$R393,T388:T393)</f>
        <v>#VALUE!</v>
      </c>
      <c r="AJ388" s="244" t="e" cm="1">
        <f t="array" ref="AJ388">bdRateExtend($G388:$G393,J388:J393,$R388:$R393,U388:U393)</f>
        <v>#VALUE!</v>
      </c>
      <c r="AK388" s="239" t="e" cm="1">
        <f t="array" ref="AK388">bdRateExtend($G388:$G391,K388:K391,$R388:$R391,V388:V391)</f>
        <v>#VALUE!</v>
      </c>
      <c r="AL388" s="248" t="e" cm="1">
        <f t="array" ref="AL388">bdRateExtend($G388:$G393,K388:K393,$R388:$R393,V388:V393)</f>
        <v>#VALUE!</v>
      </c>
      <c r="AM388" s="239" t="e" cm="1">
        <f t="array" ref="AM388">bdRateExtend($G388:$G391,L388:L391,$R388:$R391,W388:W391)</f>
        <v>#VALUE!</v>
      </c>
      <c r="AN388" s="248" t="e" cm="1">
        <f t="array" ref="AN388">bdRateExtend($G388:$G393,L388:L393,$R388:$R393,W388:W393)</f>
        <v>#VALUE!</v>
      </c>
      <c r="AO388" s="254" t="e" cm="1">
        <f t="array" ref="AO388">bdRateExtend($G388:$G391,M388:M391,$R388:$R391,X388:X391)</f>
        <v>#VALUE!</v>
      </c>
      <c r="AP388" s="248" t="e" cm="1">
        <f t="array" ref="AP388">bdRateExtend($G388:$G393,M388:M393,$R388:$R393,X388:X393)</f>
        <v>#VALUE!</v>
      </c>
    </row>
    <row r="389" spans="1:42" ht="17.100000000000001" customHeight="1" outlineLevel="3" x14ac:dyDescent="0.25">
      <c r="A389" s="222"/>
      <c r="B389" s="219"/>
      <c r="C389" s="229"/>
      <c r="D389" s="232"/>
      <c r="E389" s="235"/>
      <c r="F389" s="16">
        <v>31</v>
      </c>
      <c r="G389" s="34"/>
      <c r="H389" s="39"/>
      <c r="I389" s="39"/>
      <c r="J389" s="39"/>
      <c r="K389" s="39"/>
      <c r="L389" s="39"/>
      <c r="M389" s="39"/>
      <c r="N389" s="39"/>
      <c r="O389" s="39"/>
      <c r="P389" s="35"/>
      <c r="Q389" s="18"/>
      <c r="R389" s="34"/>
      <c r="S389" s="39"/>
      <c r="T389" s="39"/>
      <c r="U389" s="39"/>
      <c r="V389" s="39"/>
      <c r="W389" s="39"/>
      <c r="X389" s="39"/>
      <c r="Y389" s="39"/>
      <c r="Z389" s="39"/>
      <c r="AA389" s="35"/>
      <c r="AB389" s="50" t="e">
        <f t="shared" si="10"/>
        <v>#DIV/0!</v>
      </c>
      <c r="AC389" s="51" t="e">
        <f t="shared" si="10"/>
        <v>#DIV/0!</v>
      </c>
      <c r="AD389" s="19"/>
      <c r="AE389" s="19"/>
      <c r="AF389" s="285"/>
      <c r="AG389" s="240"/>
      <c r="AH389" s="242"/>
      <c r="AI389" s="242"/>
      <c r="AJ389" s="245"/>
      <c r="AK389" s="240"/>
      <c r="AL389" s="249"/>
      <c r="AM389" s="240"/>
      <c r="AN389" s="249"/>
      <c r="AO389" s="252"/>
      <c r="AP389" s="249"/>
    </row>
    <row r="390" spans="1:42" ht="17.100000000000001" customHeight="1" outlineLevel="3" x14ac:dyDescent="0.25">
      <c r="A390" s="222"/>
      <c r="B390" s="219"/>
      <c r="C390" s="229"/>
      <c r="D390" s="232"/>
      <c r="E390" s="235"/>
      <c r="F390" s="16">
        <v>39</v>
      </c>
      <c r="G390" s="34"/>
      <c r="H390" s="39"/>
      <c r="I390" s="39"/>
      <c r="J390" s="39"/>
      <c r="K390" s="39"/>
      <c r="L390" s="39"/>
      <c r="M390" s="39"/>
      <c r="N390" s="39"/>
      <c r="O390" s="39"/>
      <c r="P390" s="35"/>
      <c r="Q390" s="18"/>
      <c r="R390" s="34"/>
      <c r="S390" s="39"/>
      <c r="T390" s="39"/>
      <c r="U390" s="39"/>
      <c r="V390" s="39"/>
      <c r="W390" s="39"/>
      <c r="X390" s="39"/>
      <c r="Y390" s="39"/>
      <c r="Z390" s="39"/>
      <c r="AA390" s="35"/>
      <c r="AB390" s="50" t="e">
        <f t="shared" si="10"/>
        <v>#DIV/0!</v>
      </c>
      <c r="AC390" s="51" t="e">
        <f t="shared" si="10"/>
        <v>#DIV/0!</v>
      </c>
      <c r="AD390" s="19"/>
      <c r="AE390" s="19"/>
      <c r="AF390" s="285" t="s">
        <v>127</v>
      </c>
      <c r="AG390" s="240" t="e" cm="1">
        <f t="array" ref="AG390">bdRateExtend($G389:$G392,G389:G392,$R389:$R392,R389:R392)</f>
        <v>#VALUE!</v>
      </c>
      <c r="AH390" s="242"/>
      <c r="AI390" s="242"/>
      <c r="AJ390" s="245"/>
      <c r="AK390" s="240" t="e" cm="1">
        <f t="array" ref="AK390">bdRateExtend($G389:$G392,K389:K392,$R389:$R392,V389:V392)</f>
        <v>#VALUE!</v>
      </c>
      <c r="AL390" s="249"/>
      <c r="AM390" s="240" t="e" cm="1">
        <f t="array" ref="AM390">bdRateExtend($G389:$G392,L389:L392,$R389:$R392,W389:W392)</f>
        <v>#VALUE!</v>
      </c>
      <c r="AN390" s="249"/>
      <c r="AO390" s="252" t="e" cm="1">
        <f t="array" ref="AO390">bdRateExtend($G389:$G392,M389:M392,$R389:$R392,X389:X392)</f>
        <v>#VALUE!</v>
      </c>
      <c r="AP390" s="249"/>
    </row>
    <row r="391" spans="1:42" ht="17.100000000000001" customHeight="1" outlineLevel="3" x14ac:dyDescent="0.25">
      <c r="A391" s="222"/>
      <c r="B391" s="219"/>
      <c r="C391" s="229"/>
      <c r="D391" s="232"/>
      <c r="E391" s="235"/>
      <c r="F391" s="16">
        <v>47</v>
      </c>
      <c r="G391" s="34"/>
      <c r="H391" s="39"/>
      <c r="I391" s="39"/>
      <c r="J391" s="39"/>
      <c r="K391" s="39"/>
      <c r="L391" s="39"/>
      <c r="M391" s="39"/>
      <c r="N391" s="39"/>
      <c r="O391" s="39"/>
      <c r="P391" s="35"/>
      <c r="Q391" s="18"/>
      <c r="R391" s="34"/>
      <c r="S391" s="39"/>
      <c r="T391" s="39"/>
      <c r="U391" s="39"/>
      <c r="V391" s="39"/>
      <c r="W391" s="39"/>
      <c r="X391" s="39"/>
      <c r="Y391" s="39"/>
      <c r="Z391" s="39"/>
      <c r="AA391" s="35"/>
      <c r="AB391" s="50" t="e">
        <f t="shared" si="10"/>
        <v>#DIV/0!</v>
      </c>
      <c r="AC391" s="51" t="e">
        <f t="shared" si="10"/>
        <v>#DIV/0!</v>
      </c>
      <c r="AD391" s="19"/>
      <c r="AE391" s="19"/>
      <c r="AF391" s="285"/>
      <c r="AG391" s="240"/>
      <c r="AH391" s="242"/>
      <c r="AI391" s="242"/>
      <c r="AJ391" s="245"/>
      <c r="AK391" s="240"/>
      <c r="AL391" s="249"/>
      <c r="AM391" s="240"/>
      <c r="AN391" s="249"/>
      <c r="AO391" s="252"/>
      <c r="AP391" s="249"/>
    </row>
    <row r="392" spans="1:42" ht="17.100000000000001" customHeight="1" outlineLevel="3" x14ac:dyDescent="0.25">
      <c r="A392" s="222"/>
      <c r="B392" s="219"/>
      <c r="C392" s="229"/>
      <c r="D392" s="232"/>
      <c r="E392" s="235"/>
      <c r="F392" s="16">
        <v>55</v>
      </c>
      <c r="G392" s="34"/>
      <c r="H392" s="39"/>
      <c r="I392" s="39"/>
      <c r="J392" s="39"/>
      <c r="K392" s="39"/>
      <c r="L392" s="39"/>
      <c r="M392" s="39"/>
      <c r="N392" s="39"/>
      <c r="O392" s="39"/>
      <c r="P392" s="35"/>
      <c r="Q392" s="18"/>
      <c r="R392" s="34"/>
      <c r="S392" s="39"/>
      <c r="T392" s="39"/>
      <c r="U392" s="39"/>
      <c r="V392" s="39"/>
      <c r="W392" s="39"/>
      <c r="X392" s="39"/>
      <c r="Y392" s="39"/>
      <c r="Z392" s="39"/>
      <c r="AA392" s="35"/>
      <c r="AB392" s="50" t="e">
        <f t="shared" si="10"/>
        <v>#DIV/0!</v>
      </c>
      <c r="AC392" s="51" t="e">
        <f t="shared" si="10"/>
        <v>#DIV/0!</v>
      </c>
      <c r="AD392" s="19"/>
      <c r="AE392" s="19"/>
      <c r="AF392" s="285" t="s">
        <v>128</v>
      </c>
      <c r="AG392" s="240" t="e" cm="1">
        <f t="array" ref="AG392">bdRateExtend($G390:$G393,G390:G393,$R390:$R393,R390:R393)</f>
        <v>#VALUE!</v>
      </c>
      <c r="AH392" s="242"/>
      <c r="AI392" s="242"/>
      <c r="AJ392" s="245"/>
      <c r="AK392" s="240" t="e" cm="1">
        <f t="array" ref="AK392">bdRateExtend($G390:$G393,K390:K393,$R390:$R393,V390:V393)</f>
        <v>#VALUE!</v>
      </c>
      <c r="AL392" s="249"/>
      <c r="AM392" s="240" t="e" cm="1">
        <f t="array" ref="AM392">bdRateExtend($G390:$G393,L390:L393,$R390:$R393,W390:W393)</f>
        <v>#VALUE!</v>
      </c>
      <c r="AN392" s="249"/>
      <c r="AO392" s="252" t="e" cm="1">
        <f t="array" ref="AO392">bdRateExtend($G390:$G393,M390:M393,$R390:$R393,X390:X393)</f>
        <v>#VALUE!</v>
      </c>
      <c r="AP392" s="249"/>
    </row>
    <row r="393" spans="1:42" ht="17.100000000000001" customHeight="1" outlineLevel="3" thickBot="1" x14ac:dyDescent="0.3">
      <c r="A393" s="222"/>
      <c r="B393" s="220"/>
      <c r="C393" s="230"/>
      <c r="D393" s="233"/>
      <c r="E393" s="236"/>
      <c r="F393" s="9">
        <v>63</v>
      </c>
      <c r="G393" s="36"/>
      <c r="H393" s="37"/>
      <c r="I393" s="37"/>
      <c r="J393" s="37"/>
      <c r="K393" s="37"/>
      <c r="L393" s="37"/>
      <c r="M393" s="37"/>
      <c r="N393" s="37"/>
      <c r="O393" s="37"/>
      <c r="P393" s="38"/>
      <c r="Q393" s="18"/>
      <c r="R393" s="36"/>
      <c r="S393" s="37"/>
      <c r="T393" s="37"/>
      <c r="U393" s="37"/>
      <c r="V393" s="37"/>
      <c r="W393" s="37"/>
      <c r="X393" s="37"/>
      <c r="Y393" s="37"/>
      <c r="Z393" s="37"/>
      <c r="AA393" s="38"/>
      <c r="AB393" s="52" t="e">
        <f t="shared" si="10"/>
        <v>#DIV/0!</v>
      </c>
      <c r="AC393" s="53" t="e">
        <f t="shared" si="10"/>
        <v>#DIV/0!</v>
      </c>
      <c r="AD393" s="19"/>
      <c r="AE393" s="19"/>
      <c r="AF393" s="286"/>
      <c r="AG393" s="247"/>
      <c r="AH393" s="243"/>
      <c r="AI393" s="243"/>
      <c r="AJ393" s="246"/>
      <c r="AK393" s="247"/>
      <c r="AL393" s="250"/>
      <c r="AM393" s="247"/>
      <c r="AN393" s="250"/>
      <c r="AO393" s="253"/>
      <c r="AP393" s="250"/>
    </row>
    <row r="394" spans="1:42" ht="17.100000000000001" customHeight="1" outlineLevel="3" x14ac:dyDescent="0.25">
      <c r="A394" s="222"/>
      <c r="B394" s="218" t="s">
        <v>2</v>
      </c>
      <c r="C394" s="228" t="s">
        <v>91</v>
      </c>
      <c r="D394" s="231">
        <v>24</v>
      </c>
      <c r="E394" s="234">
        <v>10</v>
      </c>
      <c r="F394" s="7">
        <v>23</v>
      </c>
      <c r="G394" s="31"/>
      <c r="H394" s="32"/>
      <c r="I394" s="32"/>
      <c r="J394" s="32"/>
      <c r="K394" s="32"/>
      <c r="L394" s="32"/>
      <c r="M394" s="32"/>
      <c r="N394" s="32"/>
      <c r="O394" s="32"/>
      <c r="P394" s="33"/>
      <c r="Q394" s="18"/>
      <c r="R394" s="31"/>
      <c r="S394" s="32"/>
      <c r="T394" s="32"/>
      <c r="U394" s="32"/>
      <c r="V394" s="32"/>
      <c r="W394" s="32"/>
      <c r="X394" s="32"/>
      <c r="Y394" s="32"/>
      <c r="Z394" s="32"/>
      <c r="AA394" s="33"/>
      <c r="AB394" s="48" t="e">
        <f t="shared" si="10"/>
        <v>#DIV/0!</v>
      </c>
      <c r="AC394" s="49" t="e">
        <f t="shared" si="10"/>
        <v>#DIV/0!</v>
      </c>
      <c r="AD394" s="19"/>
      <c r="AE394" s="19"/>
      <c r="AF394" s="284" t="s">
        <v>126</v>
      </c>
      <c r="AG394" s="239" t="e" cm="1">
        <f t="array" ref="AG394">bdRateExtend($G394:$G397,G394:G397,$R394:$R397,R394:R397)</f>
        <v>#VALUE!</v>
      </c>
      <c r="AH394" s="241" t="e" cm="1">
        <f t="array" ref="AH394">bdRateExtend($G394:$G399,H394:H399,$R394:$R399,S394:S399)</f>
        <v>#VALUE!</v>
      </c>
      <c r="AI394" s="241" t="e" cm="1">
        <f t="array" ref="AI394">bdRateExtend($G394:$G399,I394:I399,$R394:$R399,T394:T399)</f>
        <v>#VALUE!</v>
      </c>
      <c r="AJ394" s="244" t="e" cm="1">
        <f t="array" ref="AJ394">bdRateExtend($G394:$G399,J394:J399,$R394:$R399,U394:U399)</f>
        <v>#VALUE!</v>
      </c>
      <c r="AK394" s="239" t="e" cm="1">
        <f t="array" ref="AK394">bdRateExtend($G394:$G397,K394:K397,$R394:$R397,V394:V397)</f>
        <v>#VALUE!</v>
      </c>
      <c r="AL394" s="248" t="e" cm="1">
        <f t="array" ref="AL394">bdRateExtend($G394:$G399,K394:K399,$R394:$R399,V394:V399)</f>
        <v>#VALUE!</v>
      </c>
      <c r="AM394" s="239" t="e" cm="1">
        <f t="array" ref="AM394">bdRateExtend($G394:$G397,L394:L397,$R394:$R397,W394:W397)</f>
        <v>#VALUE!</v>
      </c>
      <c r="AN394" s="248" t="e" cm="1">
        <f t="array" ref="AN394">bdRateExtend($G394:$G399,L394:L399,$R394:$R399,W394:W399)</f>
        <v>#VALUE!</v>
      </c>
      <c r="AO394" s="254" t="e" cm="1">
        <f t="array" ref="AO394">bdRateExtend($G394:$G397,M394:M397,$R394:$R397,X394:X397)</f>
        <v>#VALUE!</v>
      </c>
      <c r="AP394" s="248" t="e" cm="1">
        <f t="array" ref="AP394">bdRateExtend($G394:$G399,M394:M399,$R394:$R399,X394:X399)</f>
        <v>#VALUE!</v>
      </c>
    </row>
    <row r="395" spans="1:42" ht="17.100000000000001" customHeight="1" outlineLevel="3" x14ac:dyDescent="0.25">
      <c r="A395" s="222"/>
      <c r="B395" s="219"/>
      <c r="C395" s="229"/>
      <c r="D395" s="232"/>
      <c r="E395" s="235"/>
      <c r="F395" s="16">
        <v>31</v>
      </c>
      <c r="G395" s="34"/>
      <c r="H395" s="39"/>
      <c r="I395" s="39"/>
      <c r="J395" s="39"/>
      <c r="K395" s="39"/>
      <c r="L395" s="39"/>
      <c r="M395" s="39"/>
      <c r="N395" s="39"/>
      <c r="O395" s="39"/>
      <c r="P395" s="35"/>
      <c r="Q395" s="18"/>
      <c r="R395" s="34"/>
      <c r="S395" s="39"/>
      <c r="T395" s="39"/>
      <c r="U395" s="39"/>
      <c r="V395" s="39"/>
      <c r="W395" s="39"/>
      <c r="X395" s="39"/>
      <c r="Y395" s="39"/>
      <c r="Z395" s="39"/>
      <c r="AA395" s="35"/>
      <c r="AB395" s="50" t="e">
        <f t="shared" si="10"/>
        <v>#DIV/0!</v>
      </c>
      <c r="AC395" s="51" t="e">
        <f t="shared" si="10"/>
        <v>#DIV/0!</v>
      </c>
      <c r="AD395" s="19"/>
      <c r="AE395" s="19"/>
      <c r="AF395" s="285"/>
      <c r="AG395" s="240"/>
      <c r="AH395" s="242"/>
      <c r="AI395" s="242"/>
      <c r="AJ395" s="245"/>
      <c r="AK395" s="240"/>
      <c r="AL395" s="249"/>
      <c r="AM395" s="240"/>
      <c r="AN395" s="249"/>
      <c r="AO395" s="252"/>
      <c r="AP395" s="249"/>
    </row>
    <row r="396" spans="1:42" ht="17.100000000000001" customHeight="1" outlineLevel="3" x14ac:dyDescent="0.25">
      <c r="A396" s="222"/>
      <c r="B396" s="219"/>
      <c r="C396" s="229"/>
      <c r="D396" s="232"/>
      <c r="E396" s="235"/>
      <c r="F396" s="16">
        <v>39</v>
      </c>
      <c r="G396" s="34"/>
      <c r="H396" s="39"/>
      <c r="I396" s="39"/>
      <c r="J396" s="39"/>
      <c r="K396" s="39"/>
      <c r="L396" s="39"/>
      <c r="M396" s="39"/>
      <c r="N396" s="39"/>
      <c r="O396" s="39"/>
      <c r="P396" s="35"/>
      <c r="Q396" s="18"/>
      <c r="R396" s="34"/>
      <c r="S396" s="39"/>
      <c r="T396" s="39"/>
      <c r="U396" s="39"/>
      <c r="V396" s="39"/>
      <c r="W396" s="39"/>
      <c r="X396" s="39"/>
      <c r="Y396" s="39"/>
      <c r="Z396" s="39"/>
      <c r="AA396" s="35"/>
      <c r="AB396" s="50" t="e">
        <f t="shared" si="10"/>
        <v>#DIV/0!</v>
      </c>
      <c r="AC396" s="51" t="e">
        <f t="shared" si="10"/>
        <v>#DIV/0!</v>
      </c>
      <c r="AD396" s="19"/>
      <c r="AE396" s="19"/>
      <c r="AF396" s="285" t="s">
        <v>127</v>
      </c>
      <c r="AG396" s="240" t="e" cm="1">
        <f t="array" ref="AG396">bdRateExtend($G395:$G398,G395:G398,$R395:$R398,R395:R398)</f>
        <v>#VALUE!</v>
      </c>
      <c r="AH396" s="242"/>
      <c r="AI396" s="242"/>
      <c r="AJ396" s="245"/>
      <c r="AK396" s="240" t="e" cm="1">
        <f t="array" ref="AK396">bdRateExtend($G395:$G398,K395:K398,$R395:$R398,V395:V398)</f>
        <v>#VALUE!</v>
      </c>
      <c r="AL396" s="249"/>
      <c r="AM396" s="240" t="e" cm="1">
        <f t="array" ref="AM396">bdRateExtend($G395:$G398,L395:L398,$R395:$R398,W395:W398)</f>
        <v>#VALUE!</v>
      </c>
      <c r="AN396" s="249"/>
      <c r="AO396" s="252" t="e" cm="1">
        <f t="array" ref="AO396">bdRateExtend($G395:$G398,M395:M398,$R395:$R398,X395:X398)</f>
        <v>#VALUE!</v>
      </c>
      <c r="AP396" s="249"/>
    </row>
    <row r="397" spans="1:42" ht="17.100000000000001" customHeight="1" outlineLevel="3" x14ac:dyDescent="0.25">
      <c r="A397" s="222"/>
      <c r="B397" s="219"/>
      <c r="C397" s="229"/>
      <c r="D397" s="232"/>
      <c r="E397" s="235"/>
      <c r="F397" s="16">
        <v>47</v>
      </c>
      <c r="G397" s="34"/>
      <c r="H397" s="39"/>
      <c r="I397" s="39"/>
      <c r="J397" s="39"/>
      <c r="K397" s="39"/>
      <c r="L397" s="39"/>
      <c r="M397" s="39"/>
      <c r="N397" s="39"/>
      <c r="O397" s="39"/>
      <c r="P397" s="35"/>
      <c r="Q397" s="18"/>
      <c r="R397" s="34"/>
      <c r="S397" s="39"/>
      <c r="T397" s="39"/>
      <c r="U397" s="39"/>
      <c r="V397" s="39"/>
      <c r="W397" s="39"/>
      <c r="X397" s="39"/>
      <c r="Y397" s="39"/>
      <c r="Z397" s="39"/>
      <c r="AA397" s="35"/>
      <c r="AB397" s="50" t="e">
        <f t="shared" si="10"/>
        <v>#DIV/0!</v>
      </c>
      <c r="AC397" s="51" t="e">
        <f t="shared" si="10"/>
        <v>#DIV/0!</v>
      </c>
      <c r="AD397" s="19"/>
      <c r="AE397" s="19"/>
      <c r="AF397" s="285"/>
      <c r="AG397" s="240"/>
      <c r="AH397" s="242"/>
      <c r="AI397" s="242"/>
      <c r="AJ397" s="245"/>
      <c r="AK397" s="240"/>
      <c r="AL397" s="249"/>
      <c r="AM397" s="240"/>
      <c r="AN397" s="249"/>
      <c r="AO397" s="252"/>
      <c r="AP397" s="249"/>
    </row>
    <row r="398" spans="1:42" ht="17.100000000000001" customHeight="1" outlineLevel="3" x14ac:dyDescent="0.25">
      <c r="A398" s="222"/>
      <c r="B398" s="219"/>
      <c r="C398" s="229"/>
      <c r="D398" s="232"/>
      <c r="E398" s="235"/>
      <c r="F398" s="16">
        <v>55</v>
      </c>
      <c r="G398" s="34"/>
      <c r="H398" s="39"/>
      <c r="I398" s="39"/>
      <c r="J398" s="39"/>
      <c r="K398" s="39"/>
      <c r="L398" s="39"/>
      <c r="M398" s="39"/>
      <c r="N398" s="39"/>
      <c r="O398" s="39"/>
      <c r="P398" s="35"/>
      <c r="Q398" s="18"/>
      <c r="R398" s="34"/>
      <c r="S398" s="39"/>
      <c r="T398" s="39"/>
      <c r="U398" s="39"/>
      <c r="V398" s="39"/>
      <c r="W398" s="39"/>
      <c r="X398" s="39"/>
      <c r="Y398" s="39"/>
      <c r="Z398" s="39"/>
      <c r="AA398" s="35"/>
      <c r="AB398" s="50" t="e">
        <f t="shared" si="10"/>
        <v>#DIV/0!</v>
      </c>
      <c r="AC398" s="51" t="e">
        <f t="shared" si="10"/>
        <v>#DIV/0!</v>
      </c>
      <c r="AD398" s="19"/>
      <c r="AE398" s="19"/>
      <c r="AF398" s="285" t="s">
        <v>128</v>
      </c>
      <c r="AG398" s="240" t="e" cm="1">
        <f t="array" ref="AG398">bdRateExtend($G396:$G399,G396:G399,$R396:$R399,R396:R399)</f>
        <v>#VALUE!</v>
      </c>
      <c r="AH398" s="242"/>
      <c r="AI398" s="242"/>
      <c r="AJ398" s="245"/>
      <c r="AK398" s="240" t="e" cm="1">
        <f t="array" ref="AK398">bdRateExtend($G396:$G399,K396:K399,$R396:$R399,V396:V399)</f>
        <v>#VALUE!</v>
      </c>
      <c r="AL398" s="249"/>
      <c r="AM398" s="240" t="e" cm="1">
        <f t="array" ref="AM398">bdRateExtend($G396:$G399,L396:L399,$R396:$R399,W396:W399)</f>
        <v>#VALUE!</v>
      </c>
      <c r="AN398" s="249"/>
      <c r="AO398" s="252" t="e" cm="1">
        <f t="array" ref="AO398">bdRateExtend($G396:$G399,M396:M399,$R396:$R399,X396:X399)</f>
        <v>#VALUE!</v>
      </c>
      <c r="AP398" s="249"/>
    </row>
    <row r="399" spans="1:42" ht="17.100000000000001" customHeight="1" outlineLevel="3" thickBot="1" x14ac:dyDescent="0.3">
      <c r="A399" s="222"/>
      <c r="B399" s="220"/>
      <c r="C399" s="230"/>
      <c r="D399" s="233"/>
      <c r="E399" s="236"/>
      <c r="F399" s="9">
        <v>63</v>
      </c>
      <c r="G399" s="36"/>
      <c r="H399" s="37"/>
      <c r="I399" s="37"/>
      <c r="J399" s="37"/>
      <c r="K399" s="37"/>
      <c r="L399" s="37"/>
      <c r="M399" s="37"/>
      <c r="N399" s="37"/>
      <c r="O399" s="37"/>
      <c r="P399" s="38"/>
      <c r="Q399" s="18"/>
      <c r="R399" s="36"/>
      <c r="S399" s="37"/>
      <c r="T399" s="37"/>
      <c r="U399" s="37"/>
      <c r="V399" s="37"/>
      <c r="W399" s="37"/>
      <c r="X399" s="37"/>
      <c r="Y399" s="37"/>
      <c r="Z399" s="37"/>
      <c r="AA399" s="38"/>
      <c r="AB399" s="52" t="e">
        <f t="shared" si="10"/>
        <v>#DIV/0!</v>
      </c>
      <c r="AC399" s="53" t="e">
        <f t="shared" si="10"/>
        <v>#DIV/0!</v>
      </c>
      <c r="AD399" s="19"/>
      <c r="AE399" s="19"/>
      <c r="AF399" s="286"/>
      <c r="AG399" s="247"/>
      <c r="AH399" s="243"/>
      <c r="AI399" s="243"/>
      <c r="AJ399" s="246"/>
      <c r="AK399" s="247"/>
      <c r="AL399" s="250"/>
      <c r="AM399" s="247"/>
      <c r="AN399" s="250"/>
      <c r="AO399" s="253"/>
      <c r="AP399" s="250"/>
    </row>
    <row r="400" spans="1:42" ht="17.100000000000001" customHeight="1" outlineLevel="3" x14ac:dyDescent="0.25">
      <c r="A400" s="222"/>
      <c r="B400" s="218" t="s">
        <v>96</v>
      </c>
      <c r="C400" s="228" t="s">
        <v>92</v>
      </c>
      <c r="D400" s="231">
        <v>59.94</v>
      </c>
      <c r="E400" s="234">
        <v>10</v>
      </c>
      <c r="F400" s="7">
        <v>23</v>
      </c>
      <c r="G400" s="31"/>
      <c r="H400" s="32"/>
      <c r="I400" s="32"/>
      <c r="J400" s="32"/>
      <c r="K400" s="32"/>
      <c r="L400" s="32"/>
      <c r="M400" s="32"/>
      <c r="N400" s="32"/>
      <c r="O400" s="32"/>
      <c r="P400" s="33"/>
      <c r="Q400" s="18"/>
      <c r="R400" s="31"/>
      <c r="S400" s="32"/>
      <c r="T400" s="32"/>
      <c r="U400" s="32"/>
      <c r="V400" s="32"/>
      <c r="W400" s="32"/>
      <c r="X400" s="32"/>
      <c r="Y400" s="32"/>
      <c r="Z400" s="32"/>
      <c r="AA400" s="33"/>
      <c r="AB400" s="48" t="e">
        <f t="shared" si="10"/>
        <v>#DIV/0!</v>
      </c>
      <c r="AC400" s="49" t="e">
        <f t="shared" si="10"/>
        <v>#DIV/0!</v>
      </c>
      <c r="AD400" s="19"/>
      <c r="AE400" s="19"/>
      <c r="AF400" s="284" t="s">
        <v>126</v>
      </c>
      <c r="AG400" s="239" t="e" cm="1">
        <f t="array" ref="AG400">bdRateExtend($G400:$G403,G400:G403,$R400:$R403,R400:R403)</f>
        <v>#VALUE!</v>
      </c>
      <c r="AH400" s="241" t="e" cm="1">
        <f t="array" ref="AH400">bdRateExtend($G400:$G405,H400:H405,$R400:$R405,S400:S405)</f>
        <v>#VALUE!</v>
      </c>
      <c r="AI400" s="241" t="e" cm="1">
        <f t="array" ref="AI400">bdRateExtend($G400:$G405,I400:I405,$R400:$R405,T400:T405)</f>
        <v>#VALUE!</v>
      </c>
      <c r="AJ400" s="244" t="e" cm="1">
        <f t="array" ref="AJ400">bdRateExtend($G400:$G405,J400:J405,$R400:$R405,U400:U405)</f>
        <v>#VALUE!</v>
      </c>
      <c r="AK400" s="239" t="e" cm="1">
        <f t="array" ref="AK400">bdRateExtend($G400:$G403,K400:K403,$R400:$R403,V400:V403)</f>
        <v>#VALUE!</v>
      </c>
      <c r="AL400" s="248" t="e" cm="1">
        <f t="array" ref="AL400">bdRateExtend($G400:$G405,K400:K405,$R400:$R405,V400:V405)</f>
        <v>#VALUE!</v>
      </c>
      <c r="AM400" s="239" t="e" cm="1">
        <f t="array" ref="AM400">bdRateExtend($G400:$G403,L400:L403,$R400:$R403,W400:W403)</f>
        <v>#VALUE!</v>
      </c>
      <c r="AN400" s="248" t="e" cm="1">
        <f t="array" ref="AN400">bdRateExtend($G400:$G405,L400:L405,$R400:$R405,W400:W405)</f>
        <v>#VALUE!</v>
      </c>
      <c r="AO400" s="254" t="e" cm="1">
        <f t="array" ref="AO400">bdRateExtend($G400:$G403,M400:M403,$R400:$R403,X400:X403)</f>
        <v>#VALUE!</v>
      </c>
      <c r="AP400" s="248" t="e" cm="1">
        <f t="array" ref="AP400">bdRateExtend($G400:$G405,M400:M405,$R400:$R405,X400:X405)</f>
        <v>#VALUE!</v>
      </c>
    </row>
    <row r="401" spans="1:42" ht="17.100000000000001" customHeight="1" outlineLevel="3" x14ac:dyDescent="0.25">
      <c r="A401" s="222"/>
      <c r="B401" s="219"/>
      <c r="C401" s="229"/>
      <c r="D401" s="232"/>
      <c r="E401" s="235"/>
      <c r="F401" s="16">
        <v>31</v>
      </c>
      <c r="G401" s="34"/>
      <c r="H401" s="39"/>
      <c r="I401" s="39"/>
      <c r="J401" s="39"/>
      <c r="K401" s="39"/>
      <c r="L401" s="39"/>
      <c r="M401" s="39"/>
      <c r="N401" s="39"/>
      <c r="O401" s="39"/>
      <c r="P401" s="35"/>
      <c r="Q401" s="18"/>
      <c r="R401" s="34"/>
      <c r="S401" s="39"/>
      <c r="T401" s="39"/>
      <c r="U401" s="39"/>
      <c r="V401" s="39"/>
      <c r="W401" s="39"/>
      <c r="X401" s="39"/>
      <c r="Y401" s="39"/>
      <c r="Z401" s="39"/>
      <c r="AA401" s="35"/>
      <c r="AB401" s="50" t="e">
        <f t="shared" si="10"/>
        <v>#DIV/0!</v>
      </c>
      <c r="AC401" s="51" t="e">
        <f t="shared" si="10"/>
        <v>#DIV/0!</v>
      </c>
      <c r="AD401" s="19"/>
      <c r="AE401" s="19"/>
      <c r="AF401" s="285"/>
      <c r="AG401" s="240"/>
      <c r="AH401" s="242"/>
      <c r="AI401" s="242"/>
      <c r="AJ401" s="245"/>
      <c r="AK401" s="240"/>
      <c r="AL401" s="249"/>
      <c r="AM401" s="240"/>
      <c r="AN401" s="249"/>
      <c r="AO401" s="252"/>
      <c r="AP401" s="249"/>
    </row>
    <row r="402" spans="1:42" ht="17.100000000000001" customHeight="1" outlineLevel="3" x14ac:dyDescent="0.25">
      <c r="A402" s="222"/>
      <c r="B402" s="219"/>
      <c r="C402" s="229"/>
      <c r="D402" s="232"/>
      <c r="E402" s="235"/>
      <c r="F402" s="16">
        <v>39</v>
      </c>
      <c r="G402" s="34"/>
      <c r="H402" s="39"/>
      <c r="I402" s="39"/>
      <c r="J402" s="39"/>
      <c r="K402" s="39"/>
      <c r="L402" s="39"/>
      <c r="M402" s="39"/>
      <c r="N402" s="39"/>
      <c r="O402" s="39"/>
      <c r="P402" s="35"/>
      <c r="Q402" s="18"/>
      <c r="R402" s="34"/>
      <c r="S402" s="39"/>
      <c r="T402" s="39"/>
      <c r="U402" s="39"/>
      <c r="V402" s="39"/>
      <c r="W402" s="39"/>
      <c r="X402" s="39"/>
      <c r="Y402" s="39"/>
      <c r="Z402" s="39"/>
      <c r="AA402" s="35"/>
      <c r="AB402" s="50" t="e">
        <f t="shared" si="10"/>
        <v>#DIV/0!</v>
      </c>
      <c r="AC402" s="51" t="e">
        <f t="shared" si="10"/>
        <v>#DIV/0!</v>
      </c>
      <c r="AD402" s="19"/>
      <c r="AE402" s="19"/>
      <c r="AF402" s="285" t="s">
        <v>127</v>
      </c>
      <c r="AG402" s="240" t="e" cm="1">
        <f t="array" ref="AG402">bdRateExtend($G401:$G404,G401:G404,$R401:$R404,R401:R404)</f>
        <v>#VALUE!</v>
      </c>
      <c r="AH402" s="242"/>
      <c r="AI402" s="242"/>
      <c r="AJ402" s="245"/>
      <c r="AK402" s="240" t="e" cm="1">
        <f t="array" ref="AK402">bdRateExtend($G401:$G404,K401:K404,$R401:$R404,V401:V404)</f>
        <v>#VALUE!</v>
      </c>
      <c r="AL402" s="249"/>
      <c r="AM402" s="240" t="e" cm="1">
        <f t="array" ref="AM402">bdRateExtend($G401:$G404,L401:L404,$R401:$R404,W401:W404)</f>
        <v>#VALUE!</v>
      </c>
      <c r="AN402" s="249"/>
      <c r="AO402" s="252" t="e" cm="1">
        <f t="array" ref="AO402">bdRateExtend($G401:$G404,M401:M404,$R401:$R404,X401:X404)</f>
        <v>#VALUE!</v>
      </c>
      <c r="AP402" s="249"/>
    </row>
    <row r="403" spans="1:42" ht="17.100000000000001" customHeight="1" outlineLevel="3" x14ac:dyDescent="0.25">
      <c r="A403" s="222"/>
      <c r="B403" s="219"/>
      <c r="C403" s="229"/>
      <c r="D403" s="232"/>
      <c r="E403" s="235"/>
      <c r="F403" s="16">
        <v>47</v>
      </c>
      <c r="G403" s="34"/>
      <c r="H403" s="39"/>
      <c r="I403" s="39"/>
      <c r="J403" s="39"/>
      <c r="K403" s="39"/>
      <c r="L403" s="39"/>
      <c r="M403" s="39"/>
      <c r="N403" s="39"/>
      <c r="O403" s="39"/>
      <c r="P403" s="35"/>
      <c r="Q403" s="18"/>
      <c r="R403" s="34"/>
      <c r="S403" s="39"/>
      <c r="T403" s="39"/>
      <c r="U403" s="39"/>
      <c r="V403" s="39"/>
      <c r="W403" s="39"/>
      <c r="X403" s="39"/>
      <c r="Y403" s="39"/>
      <c r="Z403" s="39"/>
      <c r="AA403" s="35"/>
      <c r="AB403" s="50" t="e">
        <f t="shared" si="10"/>
        <v>#DIV/0!</v>
      </c>
      <c r="AC403" s="51" t="e">
        <f t="shared" si="10"/>
        <v>#DIV/0!</v>
      </c>
      <c r="AD403" s="19"/>
      <c r="AE403" s="19"/>
      <c r="AF403" s="285"/>
      <c r="AG403" s="240"/>
      <c r="AH403" s="242"/>
      <c r="AI403" s="242"/>
      <c r="AJ403" s="245"/>
      <c r="AK403" s="240"/>
      <c r="AL403" s="249"/>
      <c r="AM403" s="240"/>
      <c r="AN403" s="249"/>
      <c r="AO403" s="252"/>
      <c r="AP403" s="249"/>
    </row>
    <row r="404" spans="1:42" ht="17.100000000000001" customHeight="1" outlineLevel="3" x14ac:dyDescent="0.25">
      <c r="A404" s="222"/>
      <c r="B404" s="219"/>
      <c r="C404" s="229"/>
      <c r="D404" s="232"/>
      <c r="E404" s="235"/>
      <c r="F404" s="16">
        <v>55</v>
      </c>
      <c r="G404" s="34"/>
      <c r="H404" s="39"/>
      <c r="I404" s="39"/>
      <c r="J404" s="39"/>
      <c r="K404" s="39"/>
      <c r="L404" s="39"/>
      <c r="M404" s="39"/>
      <c r="N404" s="39"/>
      <c r="O404" s="39"/>
      <c r="P404" s="35"/>
      <c r="Q404" s="18"/>
      <c r="R404" s="34"/>
      <c r="S404" s="39"/>
      <c r="T404" s="39"/>
      <c r="U404" s="39"/>
      <c r="V404" s="39"/>
      <c r="W404" s="39"/>
      <c r="X404" s="39"/>
      <c r="Y404" s="39"/>
      <c r="Z404" s="39"/>
      <c r="AA404" s="35"/>
      <c r="AB404" s="50" t="e">
        <f t="shared" si="10"/>
        <v>#DIV/0!</v>
      </c>
      <c r="AC404" s="51" t="e">
        <f t="shared" si="10"/>
        <v>#DIV/0!</v>
      </c>
      <c r="AD404" s="19"/>
      <c r="AE404" s="19"/>
      <c r="AF404" s="285" t="s">
        <v>128</v>
      </c>
      <c r="AG404" s="240" t="e" cm="1">
        <f t="array" ref="AG404">bdRateExtend($G402:$G405,G402:G405,$R402:$R405,R402:R405)</f>
        <v>#VALUE!</v>
      </c>
      <c r="AH404" s="242"/>
      <c r="AI404" s="242"/>
      <c r="AJ404" s="245"/>
      <c r="AK404" s="240" t="e" cm="1">
        <f t="array" ref="AK404">bdRateExtend($G402:$G405,K402:K405,$R402:$R405,V402:V405)</f>
        <v>#VALUE!</v>
      </c>
      <c r="AL404" s="249"/>
      <c r="AM404" s="240" t="e" cm="1">
        <f t="array" ref="AM404">bdRateExtend($G402:$G405,L402:L405,$R402:$R405,W402:W405)</f>
        <v>#VALUE!</v>
      </c>
      <c r="AN404" s="249"/>
      <c r="AO404" s="252" t="e" cm="1">
        <f t="array" ref="AO404">bdRateExtend($G402:$G405,M402:M405,$R402:$R405,X402:X405)</f>
        <v>#VALUE!</v>
      </c>
      <c r="AP404" s="249"/>
    </row>
    <row r="405" spans="1:42" ht="17.100000000000001" customHeight="1" outlineLevel="3" thickBot="1" x14ac:dyDescent="0.3">
      <c r="A405" s="223"/>
      <c r="B405" s="224"/>
      <c r="C405" s="230"/>
      <c r="D405" s="237"/>
      <c r="E405" s="238"/>
      <c r="F405" s="21">
        <v>63</v>
      </c>
      <c r="G405" s="40"/>
      <c r="H405" s="41"/>
      <c r="I405" s="41"/>
      <c r="J405" s="41"/>
      <c r="K405" s="41"/>
      <c r="L405" s="41"/>
      <c r="M405" s="41"/>
      <c r="N405" s="41"/>
      <c r="O405" s="41"/>
      <c r="P405" s="42"/>
      <c r="Q405" s="20"/>
      <c r="R405" s="40"/>
      <c r="S405" s="41"/>
      <c r="T405" s="41"/>
      <c r="U405" s="41"/>
      <c r="V405" s="41"/>
      <c r="W405" s="41"/>
      <c r="X405" s="41"/>
      <c r="Y405" s="41"/>
      <c r="Z405" s="41"/>
      <c r="AA405" s="42"/>
      <c r="AB405" s="52" t="e">
        <f t="shared" si="10"/>
        <v>#DIV/0!</v>
      </c>
      <c r="AC405" s="53" t="e">
        <f t="shared" si="10"/>
        <v>#DIV/0!</v>
      </c>
      <c r="AD405" s="19"/>
      <c r="AE405" s="19"/>
      <c r="AF405" s="286"/>
      <c r="AG405" s="247"/>
      <c r="AH405" s="243"/>
      <c r="AI405" s="243"/>
      <c r="AJ405" s="246"/>
      <c r="AK405" s="247"/>
      <c r="AL405" s="250"/>
      <c r="AM405" s="247"/>
      <c r="AN405" s="250"/>
      <c r="AO405" s="253"/>
      <c r="AP405" s="250"/>
    </row>
    <row r="406" spans="1:42" ht="17.100000000000001" customHeight="1" thickBot="1" x14ac:dyDescent="0.3">
      <c r="A406" s="70"/>
      <c r="B406" s="71"/>
      <c r="C406" s="72"/>
      <c r="D406" s="71"/>
      <c r="E406" s="71"/>
      <c r="F406" s="71"/>
      <c r="G406" s="73"/>
      <c r="H406" s="73"/>
      <c r="I406" s="73"/>
      <c r="J406" s="73"/>
      <c r="K406" s="73"/>
      <c r="L406" s="73"/>
      <c r="M406" s="73"/>
      <c r="N406" s="73"/>
      <c r="O406" s="73"/>
      <c r="P406" s="73"/>
      <c r="Q406" s="74"/>
      <c r="R406" s="73"/>
      <c r="S406" s="73"/>
      <c r="T406" s="73"/>
      <c r="U406" s="73"/>
      <c r="V406" s="73"/>
      <c r="W406" s="73"/>
      <c r="X406" s="73"/>
      <c r="Y406" s="73"/>
      <c r="Z406" s="73"/>
      <c r="AA406" s="73"/>
      <c r="AB406" s="75"/>
      <c r="AC406" s="75"/>
      <c r="AD406" s="19"/>
      <c r="AE406" s="19"/>
      <c r="AF406" s="19"/>
      <c r="AG406" s="24"/>
      <c r="AH406" s="24"/>
      <c r="AI406" s="24"/>
      <c r="AJ406" s="24"/>
      <c r="AK406" s="24"/>
      <c r="AL406" s="24"/>
      <c r="AM406" s="24"/>
      <c r="AN406" s="24"/>
      <c r="AO406" s="24"/>
      <c r="AP406" s="24"/>
    </row>
    <row r="407" spans="1:42" ht="17.100000000000001" customHeight="1" x14ac:dyDescent="0.25">
      <c r="A407" s="70"/>
      <c r="B407" s="71"/>
      <c r="C407" s="72"/>
      <c r="D407" s="71"/>
      <c r="E407" s="71"/>
      <c r="F407" s="71"/>
      <c r="G407" s="73"/>
      <c r="H407" s="73"/>
      <c r="I407" s="73"/>
      <c r="J407" s="73"/>
      <c r="K407" s="73"/>
      <c r="L407" s="73"/>
      <c r="M407" s="73"/>
      <c r="N407" s="73"/>
      <c r="O407" s="262" t="s">
        <v>121</v>
      </c>
      <c r="P407" s="262"/>
      <c r="Q407" s="76"/>
      <c r="R407" s="77"/>
      <c r="S407" s="77"/>
      <c r="T407" s="77"/>
      <c r="U407" s="77"/>
      <c r="V407" s="77"/>
      <c r="W407" s="77"/>
      <c r="X407" s="77"/>
      <c r="Y407" s="77"/>
      <c r="Z407" s="262" t="s">
        <v>121</v>
      </c>
      <c r="AA407" s="262"/>
      <c r="AB407" s="78"/>
      <c r="AC407" s="75"/>
      <c r="AD407" s="91"/>
      <c r="AE407" s="92"/>
      <c r="AF407" s="93"/>
      <c r="AG407" s="260" t="s">
        <v>3</v>
      </c>
      <c r="AH407" s="260"/>
      <c r="AI407" s="260"/>
      <c r="AJ407" s="260"/>
      <c r="AK407" s="260" t="s">
        <v>1</v>
      </c>
      <c r="AL407" s="260"/>
      <c r="AM407" s="260" t="s">
        <v>116</v>
      </c>
      <c r="AN407" s="260"/>
      <c r="AO407" s="260" t="s">
        <v>0</v>
      </c>
      <c r="AP407" s="261"/>
    </row>
    <row r="408" spans="1:42" ht="17.100000000000001" customHeight="1" thickBot="1" x14ac:dyDescent="0.3">
      <c r="A408" s="70"/>
      <c r="B408" s="71"/>
      <c r="C408" s="72"/>
      <c r="D408" s="71"/>
      <c r="E408" s="71"/>
      <c r="F408" s="71"/>
      <c r="G408" s="73"/>
      <c r="H408" s="73"/>
      <c r="I408" s="73"/>
      <c r="J408" s="73"/>
      <c r="K408" s="73"/>
      <c r="L408" s="73"/>
      <c r="M408" s="73"/>
      <c r="N408" s="73"/>
      <c r="O408" s="5" t="s">
        <v>129</v>
      </c>
      <c r="P408" s="5" t="s">
        <v>130</v>
      </c>
      <c r="Z408" s="5" t="s">
        <v>129</v>
      </c>
      <c r="AA408" s="5" t="s">
        <v>130</v>
      </c>
      <c r="AC408" s="75"/>
      <c r="AD408" s="94"/>
      <c r="AE408" s="66"/>
      <c r="AF408" s="269" t="s">
        <v>98</v>
      </c>
      <c r="AG408" s="269"/>
      <c r="AH408" s="67" t="s">
        <v>15</v>
      </c>
      <c r="AI408" s="67" t="s">
        <v>16</v>
      </c>
      <c r="AJ408" s="67" t="s">
        <v>17</v>
      </c>
      <c r="AK408" s="67" t="s">
        <v>98</v>
      </c>
      <c r="AL408" s="67" t="s">
        <v>15</v>
      </c>
      <c r="AM408" s="67" t="s">
        <v>98</v>
      </c>
      <c r="AN408" s="67" t="s">
        <v>15</v>
      </c>
      <c r="AO408" s="67" t="s">
        <v>98</v>
      </c>
      <c r="AP408" s="95" t="s">
        <v>15</v>
      </c>
    </row>
    <row r="409" spans="1:42" ht="17.100000000000001" customHeight="1" x14ac:dyDescent="0.25">
      <c r="C409" s="4" t="s">
        <v>99</v>
      </c>
      <c r="N409" s="6" t="s">
        <v>132</v>
      </c>
      <c r="O409" s="43" t="e">
        <f>GEOMEAN(O4:O51)</f>
        <v>#NUM!</v>
      </c>
      <c r="P409" s="43" t="e">
        <f>GEOMEAN(P4:P51)</f>
        <v>#NUM!</v>
      </c>
      <c r="Z409" s="43" t="e">
        <f>GEOMEAN(Z4:Z51)</f>
        <v>#NUM!</v>
      </c>
      <c r="AA409" s="43" t="e">
        <f>GEOMEAN(AA4:AA51)</f>
        <v>#NUM!</v>
      </c>
      <c r="AB409" s="43" t="e">
        <f>GEOMEAN(AB4:AB51)</f>
        <v>#DIV/0!</v>
      </c>
      <c r="AC409" s="43" t="e">
        <f>GEOMEAN(AC4:AC51)</f>
        <v>#DIV/0!</v>
      </c>
      <c r="AD409" s="256" t="str">
        <f>C409</f>
        <v>Class A1_4K</v>
      </c>
      <c r="AE409" s="68" t="s">
        <v>123</v>
      </c>
      <c r="AF409" s="257" t="s">
        <v>126</v>
      </c>
      <c r="AG409" s="58" t="e">
        <f>AVERAGE(AG4,AG10,AG16,AG22,AG28,AG34,AG40,AG46)</f>
        <v>#VALUE!</v>
      </c>
      <c r="AH409" s="26" t="e">
        <f>AVERAGE(AH4:AH51)</f>
        <v>#VALUE!</v>
      </c>
      <c r="AI409" s="26" t="e">
        <f>AVERAGE(AI4:AI51)</f>
        <v>#VALUE!</v>
      </c>
      <c r="AJ409" s="27" t="e">
        <f>AVERAGE(AJ4:AJ51)</f>
        <v>#VALUE!</v>
      </c>
      <c r="AK409" s="58" t="e">
        <f>AVERAGE(AK4,AK10,AK16,AK22,AK28,AK34,AK40,AK46)</f>
        <v>#VALUE!</v>
      </c>
      <c r="AL409" s="27" t="e">
        <f>AVERAGE(AL4:AL51)</f>
        <v>#VALUE!</v>
      </c>
      <c r="AM409" s="58" t="e">
        <f>AVERAGE(AM4,AM10,AM16,AM22,AM28,AM34,AM40,AM46)</f>
        <v>#VALUE!</v>
      </c>
      <c r="AN409" s="27" t="e">
        <f>AVERAGE(AN4:AN51)</f>
        <v>#VALUE!</v>
      </c>
      <c r="AO409" s="58" t="e">
        <f>AVERAGE(AO4,AO10,AO16,AO22,AO28,AO34,AO40,AO46)</f>
        <v>#VALUE!</v>
      </c>
      <c r="AP409" s="27" t="e">
        <f>AVERAGE(AP4:AP51)</f>
        <v>#VALUE!</v>
      </c>
    </row>
    <row r="410" spans="1:42" ht="17.100000000000001" customHeight="1" x14ac:dyDescent="0.25">
      <c r="N410" s="6" t="s">
        <v>133</v>
      </c>
      <c r="O410" s="43">
        <f>SUM(O4:O51)</f>
        <v>0</v>
      </c>
      <c r="P410" s="43">
        <f>SUM(P4:P51)</f>
        <v>0</v>
      </c>
      <c r="Z410" s="43">
        <f>SUM(Z4:Z51)</f>
        <v>0</v>
      </c>
      <c r="AA410" s="43">
        <f>SUM(AA4:AA51)</f>
        <v>0</v>
      </c>
      <c r="AB410" s="43" t="e">
        <f>SUM(AB4:AB51)</f>
        <v>#DIV/0!</v>
      </c>
      <c r="AC410" s="43" t="e">
        <f>SUM(AC4:AC51)</f>
        <v>#DIV/0!</v>
      </c>
      <c r="AD410" s="256"/>
      <c r="AE410" s="69" t="s">
        <v>124</v>
      </c>
      <c r="AF410" s="258"/>
      <c r="AG410" s="59" t="e">
        <f>MIN(AG4,AG10,AG16,AG22,AG28,AG34,AG40,AG46)</f>
        <v>#VALUE!</v>
      </c>
      <c r="AH410" s="25" t="e">
        <f>MIN(AH4:AH51)</f>
        <v>#VALUE!</v>
      </c>
      <c r="AI410" s="25" t="e">
        <f>MIN(AI4:AI51)</f>
        <v>#VALUE!</v>
      </c>
      <c r="AJ410" s="29" t="e">
        <f>MIN(AJ4:AJ51)</f>
        <v>#VALUE!</v>
      </c>
      <c r="AK410" s="59" t="e">
        <f>MIN(AK4,AK10,AK16,AK22,AK28,AK34,AK40,AK46)</f>
        <v>#VALUE!</v>
      </c>
      <c r="AL410" s="29" t="e">
        <f>MIN(AL4:AL51)</f>
        <v>#VALUE!</v>
      </c>
      <c r="AM410" s="59" t="e">
        <f>MIN(AM4,AM10,AM16,AM22,AM28,AM34,AM40,AM46)</f>
        <v>#VALUE!</v>
      </c>
      <c r="AN410" s="29" t="e">
        <f>MIN(AN4:AN51)</f>
        <v>#VALUE!</v>
      </c>
      <c r="AO410" s="59" t="e">
        <f>MIN(AO4,AO10,AO16,AO22,AO28,AO34,AO40,AO46)</f>
        <v>#VALUE!</v>
      </c>
      <c r="AP410" s="29" t="e">
        <f>MIN(AP4:AP51)</f>
        <v>#VALUE!</v>
      </c>
    </row>
    <row r="411" spans="1:42" ht="17.100000000000001" customHeight="1" thickBot="1" x14ac:dyDescent="0.3">
      <c r="N411" s="6" t="s">
        <v>125</v>
      </c>
      <c r="O411" s="43">
        <f>MAX(O4:O51)</f>
        <v>0</v>
      </c>
      <c r="P411" s="43">
        <f>MAX(P4:P51)</f>
        <v>0</v>
      </c>
      <c r="Z411" s="43">
        <f>MAX(Z4:Z51)</f>
        <v>0</v>
      </c>
      <c r="AA411" s="43">
        <f>MAX(AA4:AA51)</f>
        <v>0</v>
      </c>
      <c r="AB411" s="43" t="e">
        <f>MAX(AB4:AB51)</f>
        <v>#DIV/0!</v>
      </c>
      <c r="AC411" s="43" t="e">
        <f>MAX(AC4:AC51)</f>
        <v>#DIV/0!</v>
      </c>
      <c r="AD411" s="256"/>
      <c r="AE411" s="69" t="s">
        <v>125</v>
      </c>
      <c r="AF411" s="259"/>
      <c r="AG411" s="60" t="e">
        <f>MAX(AG4,AG10,AG16,AG22,AG28,AG34,AG40,AG46)</f>
        <v>#VALUE!</v>
      </c>
      <c r="AH411" s="28" t="e">
        <f>MAX(AH4:AH51)</f>
        <v>#VALUE!</v>
      </c>
      <c r="AI411" s="28" t="e">
        <f>MAX(AI4:AI51)</f>
        <v>#VALUE!</v>
      </c>
      <c r="AJ411" s="30" t="e">
        <f>MAX(AJ4:AJ51)</f>
        <v>#VALUE!</v>
      </c>
      <c r="AK411" s="60" t="e">
        <f>MAX(AK4,AK10,AK16,AK22,AK28,AK34,AK40,AK46)</f>
        <v>#VALUE!</v>
      </c>
      <c r="AL411" s="30" t="e">
        <f>MAX(AL4:AL51)</f>
        <v>#VALUE!</v>
      </c>
      <c r="AM411" s="60" t="e">
        <f>MAX(AM4,AM10,AM16,AM22,AM28,AM34,AM40,AM46)</f>
        <v>#VALUE!</v>
      </c>
      <c r="AN411" s="30" t="e">
        <f>MAX(AN4:AN51)</f>
        <v>#VALUE!</v>
      </c>
      <c r="AO411" s="60" t="e">
        <f>MAX(AO4,AO10,AO16,AO22,AO28,AO34,AO40,AO46)</f>
        <v>#VALUE!</v>
      </c>
      <c r="AP411" s="30" t="e">
        <f>MAX(AP4:AP51)</f>
        <v>#VALUE!</v>
      </c>
    </row>
    <row r="412" spans="1:42" ht="17.100000000000001" customHeight="1" x14ac:dyDescent="0.25">
      <c r="N412" s="6" t="s">
        <v>124</v>
      </c>
      <c r="O412" s="43">
        <f>MIN(O4:O51)</f>
        <v>0</v>
      </c>
      <c r="P412" s="43">
        <f>MIN(P4:P51)</f>
        <v>0</v>
      </c>
      <c r="Z412" s="43">
        <f>MIN(Z4:Z51)</f>
        <v>0</v>
      </c>
      <c r="AA412" s="43">
        <f>MIN(AA4:AA51)</f>
        <v>0</v>
      </c>
      <c r="AB412" s="43" t="e">
        <f>MIN(AB4:AB51)</f>
        <v>#DIV/0!</v>
      </c>
      <c r="AC412" s="43" t="e">
        <f>MIN(AC4:AC51)</f>
        <v>#DIV/0!</v>
      </c>
      <c r="AD412" s="256"/>
      <c r="AE412" s="69" t="s">
        <v>123</v>
      </c>
      <c r="AF412" s="263" t="s">
        <v>127</v>
      </c>
      <c r="AG412" s="58" t="e">
        <f>AVERAGE(AG6,AG12,AG18,AG24,AG30,AG36,AG42,AG48)</f>
        <v>#VALUE!</v>
      </c>
      <c r="AH412" s="272"/>
      <c r="AI412" s="273"/>
      <c r="AJ412" s="274"/>
      <c r="AK412" s="58" t="e">
        <f>AVERAGE(AK6,AK12,AK18,AK24,AK30,AK36,AK42,AK48)</f>
        <v>#VALUE!</v>
      </c>
      <c r="AL412" s="281"/>
      <c r="AM412" s="58" t="e">
        <f>AVERAGE(AM6,AM12,AM18,AM24,AM30,AM36,AM42,AM48)</f>
        <v>#VALUE!</v>
      </c>
      <c r="AN412" s="281"/>
      <c r="AO412" s="58" t="e">
        <f>AVERAGE(AO6,AO12,AO18,AO24,AO30,AO36,AO42,AO48)</f>
        <v>#VALUE!</v>
      </c>
      <c r="AP412" s="281"/>
    </row>
    <row r="413" spans="1:42" ht="17.100000000000001" customHeight="1" x14ac:dyDescent="0.25">
      <c r="N413" s="6" t="s">
        <v>134</v>
      </c>
      <c r="O413" s="43"/>
      <c r="P413" s="43"/>
      <c r="Z413" s="112" t="e">
        <f>Z409/O409</f>
        <v>#NUM!</v>
      </c>
      <c r="AA413" s="112" t="e">
        <f>AA409/P409</f>
        <v>#NUM!</v>
      </c>
      <c r="AB413" s="43"/>
      <c r="AC413" s="43"/>
      <c r="AD413" s="256"/>
      <c r="AE413" s="69" t="s">
        <v>124</v>
      </c>
      <c r="AF413" s="264"/>
      <c r="AG413" s="59" t="e">
        <f>MIN(AG6,AG12,AG18,AG24,AG30,AG36,AG42,AG48)</f>
        <v>#VALUE!</v>
      </c>
      <c r="AH413" s="275"/>
      <c r="AI413" s="276"/>
      <c r="AJ413" s="277"/>
      <c r="AK413" s="59" t="e">
        <f>MIN(AK6,AK12,AK18,AK24,AK30,AK36,AK42,AK48)</f>
        <v>#VALUE!</v>
      </c>
      <c r="AL413" s="282"/>
      <c r="AM413" s="59" t="e">
        <f>MIN(AM6,AM12,AM18,AM24,AM30,AM36,AM42,AM48)</f>
        <v>#VALUE!</v>
      </c>
      <c r="AN413" s="282"/>
      <c r="AO413" s="59" t="e">
        <f>MIN(AO6,AO12,AO18,AO24,AO30,AO36,AO42,AO48)</f>
        <v>#VALUE!</v>
      </c>
      <c r="AP413" s="282"/>
    </row>
    <row r="414" spans="1:42" ht="17.100000000000001" customHeight="1" thickBot="1" x14ac:dyDescent="0.3">
      <c r="O414" s="43"/>
      <c r="P414" s="43"/>
      <c r="Z414" s="43"/>
      <c r="AA414" s="43"/>
      <c r="AB414" s="43"/>
      <c r="AC414" s="43"/>
      <c r="AD414" s="256"/>
      <c r="AE414" s="69" t="s">
        <v>125</v>
      </c>
      <c r="AF414" s="265"/>
      <c r="AG414" s="60" t="e">
        <f>MAX(AG6,AG12,AG18,AG24,AG30,AG36,AG42,AG48)</f>
        <v>#VALUE!</v>
      </c>
      <c r="AH414" s="275"/>
      <c r="AI414" s="276"/>
      <c r="AJ414" s="277"/>
      <c r="AK414" s="60" t="e">
        <f>MAX(AK6,AK12,AK18,AK24,AK30,AK36,AK42,AK48)</f>
        <v>#VALUE!</v>
      </c>
      <c r="AL414" s="282"/>
      <c r="AM414" s="60" t="e">
        <f>MAX(AM6,AM12,AM18,AM24,AM30,AM36,AM42,AM48)</f>
        <v>#VALUE!</v>
      </c>
      <c r="AN414" s="282"/>
      <c r="AO414" s="60" t="e">
        <f>MAX(AO6,AO12,AO18,AO24,AO30,AO36,AO42,AO48)</f>
        <v>#VALUE!</v>
      </c>
      <c r="AP414" s="282"/>
    </row>
    <row r="415" spans="1:42" ht="17.100000000000001" customHeight="1" x14ac:dyDescent="0.25">
      <c r="O415" s="43"/>
      <c r="P415" s="43"/>
      <c r="Z415" s="43"/>
      <c r="AA415" s="43"/>
      <c r="AB415" s="43"/>
      <c r="AC415" s="43"/>
      <c r="AD415" s="256"/>
      <c r="AE415" s="64" t="s">
        <v>123</v>
      </c>
      <c r="AF415" s="266" t="s">
        <v>128</v>
      </c>
      <c r="AG415" s="63" t="e">
        <f>AVERAGE(AG6,AG12,AG18,AG24,AG30,AG36,AG42,AG48)</f>
        <v>#VALUE!</v>
      </c>
      <c r="AH415" s="275"/>
      <c r="AI415" s="276"/>
      <c r="AJ415" s="277"/>
      <c r="AK415" s="63" t="e">
        <f>AVERAGE(AK6,AK12,AK18,AK24,AK30,AK36,AK42,AK48)</f>
        <v>#VALUE!</v>
      </c>
      <c r="AL415" s="282"/>
      <c r="AM415" s="63" t="e">
        <f>AVERAGE(AM6,AM12,AM18,AM24,AM30,AM36,AM42,AM48)</f>
        <v>#VALUE!</v>
      </c>
      <c r="AN415" s="282"/>
      <c r="AO415" s="63" t="e">
        <f>AVERAGE(AO6,AO12,AO18,AO24,AO30,AO36,AO42,AO48)</f>
        <v>#VALUE!</v>
      </c>
      <c r="AP415" s="282"/>
    </row>
    <row r="416" spans="1:42" ht="17.100000000000001" customHeight="1" x14ac:dyDescent="0.25">
      <c r="O416" s="43"/>
      <c r="P416" s="43"/>
      <c r="Z416" s="43"/>
      <c r="AA416" s="43"/>
      <c r="AB416" s="43"/>
      <c r="AC416" s="43"/>
      <c r="AD416" s="256"/>
      <c r="AE416" s="64" t="s">
        <v>124</v>
      </c>
      <c r="AF416" s="267"/>
      <c r="AG416" s="59" t="e">
        <f>MIN(AG6,AG12,AG18,AG24,AG30,AG36,AG42,AG48)</f>
        <v>#VALUE!</v>
      </c>
      <c r="AH416" s="275"/>
      <c r="AI416" s="276"/>
      <c r="AJ416" s="277"/>
      <c r="AK416" s="59" t="e">
        <f>MIN(AK6,AK12,AK18,AK24,AK30,AK36,AK42,AK48)</f>
        <v>#VALUE!</v>
      </c>
      <c r="AL416" s="282"/>
      <c r="AM416" s="59" t="e">
        <f>MIN(AM6,AM12,AM18,AM24,AM30,AM36,AM42,AM48)</f>
        <v>#VALUE!</v>
      </c>
      <c r="AN416" s="282"/>
      <c r="AO416" s="59" t="e">
        <f>MIN(AO6,AO12,AO18,AO24,AO30,AO36,AO42,AO48)</f>
        <v>#VALUE!</v>
      </c>
      <c r="AP416" s="282"/>
    </row>
    <row r="417" spans="3:42" ht="17.100000000000001" customHeight="1" thickBot="1" x14ac:dyDescent="0.3">
      <c r="O417" s="43"/>
      <c r="P417" s="43"/>
      <c r="Z417" s="43"/>
      <c r="AA417" s="43"/>
      <c r="AB417" s="43"/>
      <c r="AC417" s="43"/>
      <c r="AD417" s="256"/>
      <c r="AE417" s="65" t="s">
        <v>125</v>
      </c>
      <c r="AF417" s="268"/>
      <c r="AG417" s="60" t="e">
        <f>MAX(AG6,AG12,AG18,AG24,AG30,AG36,AG42,AG48)</f>
        <v>#VALUE!</v>
      </c>
      <c r="AH417" s="278"/>
      <c r="AI417" s="279"/>
      <c r="AJ417" s="280"/>
      <c r="AK417" s="60" t="e">
        <f>MAX(AK6,AK12,AK18,AK24,AK30,AK36,AK42,AK48)</f>
        <v>#VALUE!</v>
      </c>
      <c r="AL417" s="283"/>
      <c r="AM417" s="60" t="e">
        <f>MAX(AM6,AM12,AM18,AM24,AM30,AM36,AM42,AM48)</f>
        <v>#VALUE!</v>
      </c>
      <c r="AN417" s="283"/>
      <c r="AO417" s="60" t="e">
        <f>MAX(AO6,AO12,AO18,AO24,AO30,AO36,AO42,AO48)</f>
        <v>#VALUE!</v>
      </c>
      <c r="AP417" s="283"/>
    </row>
    <row r="418" spans="3:42" ht="17.100000000000001" customHeight="1" x14ac:dyDescent="0.25">
      <c r="C418" s="4" t="s">
        <v>100</v>
      </c>
      <c r="N418" s="6" t="s">
        <v>132</v>
      </c>
      <c r="O418" s="43" t="e">
        <f>GEOMEAN(O52:O165)</f>
        <v>#NUM!</v>
      </c>
      <c r="P418" s="43" t="e">
        <f>GEOMEAN(P52:P165)</f>
        <v>#NUM!</v>
      </c>
      <c r="Z418" s="43" t="e">
        <f>GEOMEAN(Z52:Z165)</f>
        <v>#NUM!</v>
      </c>
      <c r="AA418" s="43" t="e">
        <f>GEOMEAN(AA52:AA165)</f>
        <v>#NUM!</v>
      </c>
      <c r="AB418" s="43" t="e">
        <f>GEOMEAN(AB52:AB165)</f>
        <v>#DIV/0!</v>
      </c>
      <c r="AC418" s="43" t="e">
        <f>GEOMEAN(AC52:AC165)</f>
        <v>#DIV/0!</v>
      </c>
      <c r="AD418" s="256" t="str">
        <f>C418</f>
        <v>Class A1_2K</v>
      </c>
      <c r="AE418" s="68" t="s">
        <v>123</v>
      </c>
      <c r="AF418" s="257" t="s">
        <v>126</v>
      </c>
      <c r="AG418" s="58" t="e">
        <f>AVERAGE(AG52,AG58,AG64,AG70,AG76,AG82,AG88,AG94,AG100,AG106,AG112,AG118,AG124,AG130,AG136,AG142,AG148,AG154,AG160)</f>
        <v>#VALUE!</v>
      </c>
      <c r="AH418" s="26" t="e">
        <f>AVERAGE(AH52:AH165)</f>
        <v>#VALUE!</v>
      </c>
      <c r="AI418" s="26" t="e">
        <f>AVERAGE(AI52:AI165)</f>
        <v>#VALUE!</v>
      </c>
      <c r="AJ418" s="26" t="e">
        <f>AVERAGE(AJ52:AJ165)</f>
        <v>#VALUE!</v>
      </c>
      <c r="AK418" s="58" t="e">
        <f>AVERAGE(AK52,AK58,AK64,AK70,AK76,AK82,AK88,AK94,AK100,AK106,AK112,AK118,AK124,AK130,AK136,AK142,AK148,AK154,AK160)</f>
        <v>#VALUE!</v>
      </c>
      <c r="AL418" s="26" t="e">
        <f>AVERAGE(AL52:AL165)</f>
        <v>#VALUE!</v>
      </c>
      <c r="AM418" s="58" t="e">
        <f>AVERAGE(AM52,AM58,AM64,AM70,AM76,AM82,AM88,AM94,AM100,AM106,AM112,AM118,AM124,AM130,AM136,AM142,AM148,AM154,AM160)</f>
        <v>#VALUE!</v>
      </c>
      <c r="AN418" s="26" t="e">
        <f>AVERAGE(AN52:AN165)</f>
        <v>#VALUE!</v>
      </c>
      <c r="AO418" s="58" t="e">
        <f>AVERAGE(AO52,AO58,AO64,AO70,AO76,AO82,AO88,AO94,AO100,AO106,AO112,AO118,AO124,AO130,AO136,AO142,AO148,AO154,AO160)</f>
        <v>#VALUE!</v>
      </c>
      <c r="AP418" s="27" t="e">
        <f>AVERAGE(AP52:AP165)</f>
        <v>#VALUE!</v>
      </c>
    </row>
    <row r="419" spans="3:42" ht="17.100000000000001" customHeight="1" x14ac:dyDescent="0.25">
      <c r="N419" s="6" t="s">
        <v>133</v>
      </c>
      <c r="O419" s="43">
        <f>SUM(O52:O165)</f>
        <v>0</v>
      </c>
      <c r="P419" s="43">
        <f>SUM(P52:P165)</f>
        <v>0</v>
      </c>
      <c r="Z419" s="43">
        <f>SUM(Z52:Z165)</f>
        <v>0</v>
      </c>
      <c r="AA419" s="43">
        <f>SUM(AA52:AA165)</f>
        <v>0</v>
      </c>
      <c r="AB419" s="43" t="e">
        <f>SUM(AB52:AB165)</f>
        <v>#DIV/0!</v>
      </c>
      <c r="AC419" s="43" t="e">
        <f>SUM(AC52:AC165)</f>
        <v>#DIV/0!</v>
      </c>
      <c r="AD419" s="256"/>
      <c r="AE419" s="69" t="s">
        <v>124</v>
      </c>
      <c r="AF419" s="258"/>
      <c r="AG419" s="59" t="e">
        <f>MIN(AG52,AG58,AG64,AG70,AG76,AG82,AG88,AG94,AG100,AG106,AG112,AG118,AG124,AG130,AG136,AG142,AG148,AG154,AG160)</f>
        <v>#VALUE!</v>
      </c>
      <c r="AH419" s="25" t="e">
        <f>MIN(AH52:AH165)</f>
        <v>#VALUE!</v>
      </c>
      <c r="AI419" s="25" t="e">
        <f>MIN(AI52:AI165)</f>
        <v>#VALUE!</v>
      </c>
      <c r="AJ419" s="25" t="e">
        <f>MIN(AJ52:AJ165)</f>
        <v>#VALUE!</v>
      </c>
      <c r="AK419" s="59" t="e">
        <f>MIN(AK52,AK58,AK64,AK70,AK76,AK82,AK88,AK94,AK100,AK106,AK112,AK118,AK124,AK130,AK136,AK142,AK148,AK154,AK160)</f>
        <v>#VALUE!</v>
      </c>
      <c r="AL419" s="25" t="e">
        <f>MIN(AL52:AL165)</f>
        <v>#VALUE!</v>
      </c>
      <c r="AM419" s="59" t="e">
        <f>MIN(AM52,AM58,AM64,AM70,AM76,AM82,AM88,AM94,AM100,AM106,AM112,AM118,AM124,AM130,AM136,AM142,AM148,AM154,AM160)</f>
        <v>#VALUE!</v>
      </c>
      <c r="AN419" s="25" t="e">
        <f>MIN(AN52:AN165)</f>
        <v>#VALUE!</v>
      </c>
      <c r="AO419" s="59" t="e">
        <f>MIN(AO52,AO58,AO64,AO70,AO76,AO82,AO88,AO94,AO100,AO106,AO112,AO118,AO124,AO130,AO136,AO142,AO148,AO154,AO160)</f>
        <v>#VALUE!</v>
      </c>
      <c r="AP419" s="29" t="e">
        <f>MIN(AP52:AP165)</f>
        <v>#VALUE!</v>
      </c>
    </row>
    <row r="420" spans="3:42" ht="17.100000000000001" customHeight="1" thickBot="1" x14ac:dyDescent="0.3">
      <c r="N420" s="6" t="s">
        <v>125</v>
      </c>
      <c r="O420" s="43">
        <f>MAX(O52:O165)</f>
        <v>0</v>
      </c>
      <c r="P420" s="43">
        <f>MAX(P52:P165)</f>
        <v>0</v>
      </c>
      <c r="Z420" s="43">
        <f>MAX(Z52:Z165)</f>
        <v>0</v>
      </c>
      <c r="AA420" s="43">
        <f>MAX(AA52:AA165)</f>
        <v>0</v>
      </c>
      <c r="AB420" s="43" t="e">
        <f>MAX(AB52:AB165)</f>
        <v>#DIV/0!</v>
      </c>
      <c r="AC420" s="43" t="e">
        <f>MAX(AC52:AC165)</f>
        <v>#DIV/0!</v>
      </c>
      <c r="AD420" s="256"/>
      <c r="AE420" s="69" t="s">
        <v>125</v>
      </c>
      <c r="AF420" s="259"/>
      <c r="AG420" s="60" t="e">
        <f>MAX(AG52,AG58,AG64,AG70,AG76,AG82,AG88,AG94,AG100,AG106,AG112,AG118,AG124,AG130,AG136,AG142,AG148,AG154,AG160)</f>
        <v>#VALUE!</v>
      </c>
      <c r="AH420" s="28" t="e">
        <f>MAX(AH52:AH165)</f>
        <v>#VALUE!</v>
      </c>
      <c r="AI420" s="28" t="e">
        <f>MAX(AI52:AI165)</f>
        <v>#VALUE!</v>
      </c>
      <c r="AJ420" s="28" t="e">
        <f>MAX(AJ52:AJ165)</f>
        <v>#VALUE!</v>
      </c>
      <c r="AK420" s="60" t="e">
        <f>MAX(AK52,AK58,AK64,AK70,AK76,AK82,AK88,AK94,AK100,AK106,AK112,AK118,AK124,AK130,AK136,AK142,AK148,AK154,AK160)</f>
        <v>#VALUE!</v>
      </c>
      <c r="AL420" s="28" t="e">
        <f>MAX(AL52:AL165)</f>
        <v>#VALUE!</v>
      </c>
      <c r="AM420" s="60" t="e">
        <f>MAX(AM52,AM58,AM64,AM70,AM76,AM82,AM88,AM94,AM100,AM106,AM112,AM118,AM124,AM130,AM136,AM142,AM148,AM154,AM160)</f>
        <v>#VALUE!</v>
      </c>
      <c r="AN420" s="28" t="e">
        <f>MAX(AN52:AN165)</f>
        <v>#VALUE!</v>
      </c>
      <c r="AO420" s="60" t="e">
        <f>MAX(AO52,AO58,AO64,AO70,AO76,AO82,AO88,AO94,AO100,AO106,AO112,AO118,AO124,AO130,AO136,AO142,AO148,AO154,AO160)</f>
        <v>#VALUE!</v>
      </c>
      <c r="AP420" s="30" t="e">
        <f>MAX(AP52:AP165)</f>
        <v>#VALUE!</v>
      </c>
    </row>
    <row r="421" spans="3:42" ht="17.100000000000001" customHeight="1" x14ac:dyDescent="0.25">
      <c r="N421" s="6" t="s">
        <v>124</v>
      </c>
      <c r="O421" s="43">
        <f>MIN(O52:O165)</f>
        <v>0</v>
      </c>
      <c r="P421" s="43">
        <f>MIN(P52:P165)</f>
        <v>0</v>
      </c>
      <c r="Z421" s="43">
        <f>MIN(Z52:Z165)</f>
        <v>0</v>
      </c>
      <c r="AA421" s="43">
        <f>MIN(AA52:AA165)</f>
        <v>0</v>
      </c>
      <c r="AB421" s="43" t="e">
        <f>MIN(AB52:AB165)</f>
        <v>#DIV/0!</v>
      </c>
      <c r="AC421" s="43" t="e">
        <f>MIN(AC52:AC165)</f>
        <v>#DIV/0!</v>
      </c>
      <c r="AD421" s="256"/>
      <c r="AE421" s="69" t="s">
        <v>123</v>
      </c>
      <c r="AF421" s="263" t="s">
        <v>127</v>
      </c>
      <c r="AG421" s="58" t="e">
        <f>AVERAGE(AG54,AG60,AG66,AG72,AG78,AG84,AG90,AG96,AG102,AG108,AG114,AG120,AG126,AG132,AG138,AG144,AG150,AG156,AG162)</f>
        <v>#VALUE!</v>
      </c>
      <c r="AH421" s="272"/>
      <c r="AI421" s="273"/>
      <c r="AJ421" s="274"/>
      <c r="AK421" s="58" t="e">
        <f>AVERAGE(AK54,AK60,AK66,AK72,AK78,AK84,AK90,AK96,AK102,AK108,AK114,AK120,AK126,AK132,AK138,AK144,AK150,AK156,AK162)</f>
        <v>#VALUE!</v>
      </c>
      <c r="AL421" s="281"/>
      <c r="AM421" s="58" t="e">
        <f>AVERAGE(AM54,AM60,AM66,AM72,AM78,AM84,AM90,AM96,AM102,AM108,AM114,AM120,AM126,AM132,AM138,AM144,AM150,AM156,AM162)</f>
        <v>#VALUE!</v>
      </c>
      <c r="AN421" s="281"/>
      <c r="AO421" s="58" t="e">
        <f>AVERAGE(AO54,AO60,AO66,AO72,AO78,AO84,AO90,AO96,AO102,AO108,AO114,AO120,AO126,AO132,AO138,AO144,AO150,AO156,AO162)</f>
        <v>#VALUE!</v>
      </c>
      <c r="AP421" s="281"/>
    </row>
    <row r="422" spans="3:42" ht="17.100000000000001" customHeight="1" x14ac:dyDescent="0.25">
      <c r="N422" s="6" t="s">
        <v>134</v>
      </c>
      <c r="O422" s="43"/>
      <c r="P422" s="43"/>
      <c r="Z422" s="112" t="e">
        <f>Z418/O418</f>
        <v>#NUM!</v>
      </c>
      <c r="AA422" s="112" t="e">
        <f>AA418/P418</f>
        <v>#NUM!</v>
      </c>
      <c r="AB422" s="43"/>
      <c r="AC422" s="43"/>
      <c r="AD422" s="256"/>
      <c r="AE422" s="69" t="s">
        <v>124</v>
      </c>
      <c r="AF422" s="264"/>
      <c r="AG422" s="59" t="e">
        <f>MIN(AG54,AG60,AG66,AG72,AG78,AG84,AG90,AG96,AG102,AG108,AG114,AG120,AG126,AG132,AG138,AG144,AG150,AG156,AG162)</f>
        <v>#VALUE!</v>
      </c>
      <c r="AH422" s="275"/>
      <c r="AI422" s="276"/>
      <c r="AJ422" s="277"/>
      <c r="AK422" s="59" t="e">
        <f>MIN(AK54,AK60,AK66,AK72,AK78,AK84,AK90,AK96,AK102,AK108,AK114,AK120,AK126,AK132,AK138,AK144,AK150,AK156,AK162)</f>
        <v>#VALUE!</v>
      </c>
      <c r="AL422" s="282"/>
      <c r="AM422" s="59" t="e">
        <f>MIN(AM54,AM60,AM66,AM72,AM78,AM84,AM90,AM96,AM102,AM108,AM114,AM120,AM126,AM132,AM138,AM144,AM150,AM156,AM162)</f>
        <v>#VALUE!</v>
      </c>
      <c r="AN422" s="282"/>
      <c r="AO422" s="59" t="e">
        <f>MIN(AO54,AO60,AO66,AO72,AO78,AO84,AO90,AO96,AO102,AO108,AO114,AO120,AO126,AO132,AO138,AO144,AO150,AO156,AO162)</f>
        <v>#VALUE!</v>
      </c>
      <c r="AP422" s="282"/>
    </row>
    <row r="423" spans="3:42" ht="17.100000000000001" customHeight="1" thickBot="1" x14ac:dyDescent="0.3">
      <c r="O423" s="43"/>
      <c r="P423" s="43"/>
      <c r="Z423" s="43"/>
      <c r="AA423" s="43"/>
      <c r="AB423" s="43"/>
      <c r="AC423" s="43"/>
      <c r="AD423" s="256"/>
      <c r="AE423" s="69" t="s">
        <v>125</v>
      </c>
      <c r="AF423" s="265"/>
      <c r="AG423" s="60" t="e">
        <f>MAX(AG54,AG60,AG66,AG72,AG78,AG84,AG90,AG96,AG102,AG108,AG114,AG120,AG126,AG132,AG138,AG144,AG150,AG156,AG162)</f>
        <v>#VALUE!</v>
      </c>
      <c r="AH423" s="275"/>
      <c r="AI423" s="276"/>
      <c r="AJ423" s="277"/>
      <c r="AK423" s="60" t="e">
        <f>MAX(AK54,AK60,AK66,AK72,AK78,AK84,AK90,AK96,AK102,AK108,AK114,AK120,AK126,AK132,AK138,AK144,AK150,AK156,AK162)</f>
        <v>#VALUE!</v>
      </c>
      <c r="AL423" s="282"/>
      <c r="AM423" s="60" t="e">
        <f>MAX(AM54,AM60,AM66,AM72,AM78,AM84,AM90,AM96,AM102,AM108,AM114,AM120,AM126,AM132,AM138,AM144,AM150,AM156,AM162)</f>
        <v>#VALUE!</v>
      </c>
      <c r="AN423" s="282"/>
      <c r="AO423" s="60" t="e">
        <f>MAX(AO54,AO60,AO66,AO72,AO78,AO84,AO90,AO96,AO102,AO108,AO114,AO120,AO126,AO132,AO138,AO144,AO150,AO156,AO162)</f>
        <v>#VALUE!</v>
      </c>
      <c r="AP423" s="282"/>
    </row>
    <row r="424" spans="3:42" ht="17.100000000000001" customHeight="1" x14ac:dyDescent="0.25">
      <c r="O424" s="43"/>
      <c r="P424" s="43"/>
      <c r="Z424" s="43"/>
      <c r="AA424" s="43"/>
      <c r="AB424" s="43"/>
      <c r="AC424" s="43"/>
      <c r="AD424" s="256"/>
      <c r="AE424" s="64" t="s">
        <v>123</v>
      </c>
      <c r="AF424" s="266" t="s">
        <v>128</v>
      </c>
      <c r="AG424" s="63" t="e">
        <f>AVERAGE(AG56,AG62,AG68,AG74,AG80,AG86,AG92,AG98,AG104,AG110,AG116,AG122,AG128,AG134,AG140,AG146,AG152,AG158,AG164)</f>
        <v>#VALUE!</v>
      </c>
      <c r="AH424" s="275"/>
      <c r="AI424" s="276"/>
      <c r="AJ424" s="277"/>
      <c r="AK424" s="63" t="e">
        <f>AVERAGE(AK56,AK62,AK68,AK74,AK80,AK86,AK92,AK98,AK104,AK110,AK116,AK122,AK128,AK134,AK140,AK146,AK152,AK158,AK164)</f>
        <v>#VALUE!</v>
      </c>
      <c r="AL424" s="282"/>
      <c r="AM424" s="63" t="e">
        <f>AVERAGE(AM56,AM62,AM68,AM74,AM80,AM86,AM92,AM98,AM104,AM110,AM116,AM122,AM128,AM134,AM140,AM146,AM152,AM158,AM164)</f>
        <v>#VALUE!</v>
      </c>
      <c r="AN424" s="282"/>
      <c r="AO424" s="63" t="e">
        <f>AVERAGE(AO56,AO62,AO68,AO74,AO80,AO86,AO92,AO98,AO104,AO110,AO116,AO122,AO128,AO134,AO140,AO146,AO152,AO158,AO164)</f>
        <v>#VALUE!</v>
      </c>
      <c r="AP424" s="282"/>
    </row>
    <row r="425" spans="3:42" ht="17.100000000000001" customHeight="1" x14ac:dyDescent="0.25">
      <c r="O425" s="43"/>
      <c r="P425" s="43"/>
      <c r="Z425" s="43"/>
      <c r="AA425" s="43"/>
      <c r="AB425" s="43"/>
      <c r="AC425" s="43"/>
      <c r="AD425" s="256"/>
      <c r="AE425" s="64" t="s">
        <v>124</v>
      </c>
      <c r="AF425" s="267"/>
      <c r="AG425" s="59" t="e">
        <f>MIN(AG56,AG62,AG68,AG74,AG80,AG86,AG92,AG98,AG104,AG110,AG116,AG122,AG128,AG134,AG140,AG146,AG152,AG158,AG164)</f>
        <v>#VALUE!</v>
      </c>
      <c r="AH425" s="275"/>
      <c r="AI425" s="276"/>
      <c r="AJ425" s="277"/>
      <c r="AK425" s="59" t="e">
        <f>MIN(AK56,AK62,AK68,AK74,AK80,AK86,AK92,AK98,AK104,AK110,AK116,AK122,AK128,AK134,AK140,AK146,AK152,AK158,AK164)</f>
        <v>#VALUE!</v>
      </c>
      <c r="AL425" s="282"/>
      <c r="AM425" s="59" t="e">
        <f>MIN(AM56,AM62,AM68,AM74,AM80,AM86,AM92,AM98,AM104,AM110,AM116,AM122,AM128,AM134,AM140,AM146,AM152,AM158,AM164)</f>
        <v>#VALUE!</v>
      </c>
      <c r="AN425" s="282"/>
      <c r="AO425" s="59" t="e">
        <f>MIN(AO56,AO62,AO68,AO74,AO80,AO86,AO92,AO98,AO104,AO110,AO116,AO122,AO128,AO134,AO140,AO146,AO152,AO158,AO164)</f>
        <v>#VALUE!</v>
      </c>
      <c r="AP425" s="282"/>
    </row>
    <row r="426" spans="3:42" ht="17.100000000000001" customHeight="1" thickBot="1" x14ac:dyDescent="0.3">
      <c r="O426" s="43"/>
      <c r="P426" s="43"/>
      <c r="Z426" s="43"/>
      <c r="AA426" s="43"/>
      <c r="AB426" s="43"/>
      <c r="AC426" s="43"/>
      <c r="AD426" s="256"/>
      <c r="AE426" s="65" t="s">
        <v>125</v>
      </c>
      <c r="AF426" s="268"/>
      <c r="AG426" s="60" t="e">
        <f>MAX(AG56,AG62,AG68,AG74,AG80,AG86,AG92,AG98,AG104,AG110,AG116,AG122,AG128,AG134,AG140,AG146,AG152,AG158,AG164)</f>
        <v>#VALUE!</v>
      </c>
      <c r="AH426" s="278"/>
      <c r="AI426" s="279"/>
      <c r="AJ426" s="280"/>
      <c r="AK426" s="60" t="e">
        <f>MAX(AK56,AK62,AK68,AK74,AK80,AK86,AK92,AK98,AK104,AK110,AK116,AK122,AK128,AK134,AK140,AK146,AK152,AK158,AK164)</f>
        <v>#VALUE!</v>
      </c>
      <c r="AL426" s="283"/>
      <c r="AM426" s="60" t="e">
        <f>MAX(AM56,AM62,AM68,AM74,AM80,AM86,AM92,AM98,AM104,AM110,AM116,AM122,AM128,AM134,AM140,AM146,AM152,AM158,AM164)</f>
        <v>#VALUE!</v>
      </c>
      <c r="AN426" s="283"/>
      <c r="AO426" s="60" t="e">
        <f>MAX(AO56,AO62,AO68,AO74,AO80,AO86,AO92,AO98,AO104,AO110,AO116,AO122,AO128,AO134,AO140,AO146,AO152,AO158,AO164)</f>
        <v>#VALUE!</v>
      </c>
      <c r="AP426" s="283"/>
    </row>
    <row r="427" spans="3:42" ht="17.100000000000001" customHeight="1" x14ac:dyDescent="0.25">
      <c r="C427" s="4" t="s">
        <v>101</v>
      </c>
      <c r="N427" s="6" t="s">
        <v>132</v>
      </c>
      <c r="O427" s="43" t="e">
        <f>GEOMEAN(O166:O213)</f>
        <v>#NUM!</v>
      </c>
      <c r="P427" s="43" t="e">
        <f>GEOMEAN(P166:P213)</f>
        <v>#NUM!</v>
      </c>
      <c r="Z427" s="43" t="e">
        <f>GEOMEAN(Z166:Z213)</f>
        <v>#NUM!</v>
      </c>
      <c r="AA427" s="43" t="e">
        <f>GEOMEAN(AA166:AA213)</f>
        <v>#NUM!</v>
      </c>
      <c r="AB427" s="43" t="e">
        <f>GEOMEAN(AB166:AB213)</f>
        <v>#DIV/0!</v>
      </c>
      <c r="AC427" s="43" t="e">
        <f>GEOMEAN(AC166:AC213)</f>
        <v>#DIV/0!</v>
      </c>
      <c r="AD427" s="256" t="str">
        <f>C427</f>
        <v>Class A3_720p</v>
      </c>
      <c r="AE427" s="68" t="s">
        <v>123</v>
      </c>
      <c r="AF427" s="257" t="s">
        <v>126</v>
      </c>
      <c r="AG427" s="58" t="e">
        <f>AVERAGE(AG166,AG172,AG178,AG184,AG190,AG196,AG202,AG208)</f>
        <v>#VALUE!</v>
      </c>
      <c r="AH427" s="26" t="e">
        <f>AVERAGE(AH166:AH213)</f>
        <v>#VALUE!</v>
      </c>
      <c r="AI427" s="26" t="e">
        <f>AVERAGE(AI166:AI213)</f>
        <v>#VALUE!</v>
      </c>
      <c r="AJ427" s="26" t="e">
        <f>AVERAGE(AJ166:AJ213)</f>
        <v>#VALUE!</v>
      </c>
      <c r="AK427" s="58" t="e">
        <f>AVERAGE(AK166,AK172,AK178,AK184,AK190,AK196,AK202,AK208)</f>
        <v>#VALUE!</v>
      </c>
      <c r="AL427" s="26" t="e">
        <f>AVERAGE(AL166:AL213)</f>
        <v>#VALUE!</v>
      </c>
      <c r="AM427" s="58" t="e">
        <f>AVERAGE(AM166,AM172,AM178,AM184,AM190,AM196,AM202,AM208)</f>
        <v>#VALUE!</v>
      </c>
      <c r="AN427" s="26" t="e">
        <f>AVERAGE(AN166:AN213)</f>
        <v>#VALUE!</v>
      </c>
      <c r="AO427" s="58" t="e">
        <f>AVERAGE(AO166,AO172,AO178,AO184,AO190,AO196,AO202,AO208)</f>
        <v>#VALUE!</v>
      </c>
      <c r="AP427" s="27" t="e">
        <f>AVERAGE(AP166:AP213)</f>
        <v>#VALUE!</v>
      </c>
    </row>
    <row r="428" spans="3:42" ht="17.100000000000001" customHeight="1" x14ac:dyDescent="0.25">
      <c r="N428" s="6" t="s">
        <v>133</v>
      </c>
      <c r="O428" s="43">
        <f>SUM(O166:O213)</f>
        <v>0</v>
      </c>
      <c r="P428" s="43">
        <f>SUM(P166:P213)</f>
        <v>0</v>
      </c>
      <c r="Z428" s="43">
        <f>SUM(Z166:Z213)</f>
        <v>0</v>
      </c>
      <c r="AA428" s="43">
        <f>SUM(AA166:AA213)</f>
        <v>0</v>
      </c>
      <c r="AB428" s="43" t="e">
        <f>SUM(AB166:AB213)</f>
        <v>#DIV/0!</v>
      </c>
      <c r="AC428" s="43" t="e">
        <f>SUM(AC166:AC213)</f>
        <v>#DIV/0!</v>
      </c>
      <c r="AD428" s="256"/>
      <c r="AE428" s="69" t="s">
        <v>124</v>
      </c>
      <c r="AF428" s="258"/>
      <c r="AG428" s="59" t="e">
        <f>MIN(AG166,AG172,AG178,AG184,AG190,AG196,AG202,AG208)</f>
        <v>#VALUE!</v>
      </c>
      <c r="AH428" s="25" t="e">
        <f>MIN(AH166:AH213)</f>
        <v>#VALUE!</v>
      </c>
      <c r="AI428" s="25" t="e">
        <f>MIN(AI166:AI213)</f>
        <v>#VALUE!</v>
      </c>
      <c r="AJ428" s="25" t="e">
        <f>MIN(AJ166:AJ213)</f>
        <v>#VALUE!</v>
      </c>
      <c r="AK428" s="59" t="e">
        <f>MIN(AK166,AK172,AK178,AK184,AK190,AK196,AK202,AK208)</f>
        <v>#VALUE!</v>
      </c>
      <c r="AL428" s="25" t="e">
        <f>MIN(AL166:AL213)</f>
        <v>#VALUE!</v>
      </c>
      <c r="AM428" s="59" t="e">
        <f>MIN(AM166,AM172,AM178,AM184,AM190,AM196,AM202,AM208)</f>
        <v>#VALUE!</v>
      </c>
      <c r="AN428" s="25" t="e">
        <f>MIN(AN166:AN213)</f>
        <v>#VALUE!</v>
      </c>
      <c r="AO428" s="59" t="e">
        <f>MIN(AO166,AO172,AO178,AO184,AO190,AO196,AO202,AO208)</f>
        <v>#VALUE!</v>
      </c>
      <c r="AP428" s="29" t="e">
        <f>MIN(AP166:AP213)</f>
        <v>#VALUE!</v>
      </c>
    </row>
    <row r="429" spans="3:42" ht="17.100000000000001" customHeight="1" thickBot="1" x14ac:dyDescent="0.3">
      <c r="N429" s="6" t="s">
        <v>125</v>
      </c>
      <c r="O429" s="43">
        <f>MAX(O166:O213)</f>
        <v>0</v>
      </c>
      <c r="P429" s="43">
        <f>MAX(P166:P213)</f>
        <v>0</v>
      </c>
      <c r="Z429" s="43">
        <f>MAX(Z166:Z213)</f>
        <v>0</v>
      </c>
      <c r="AA429" s="43">
        <f>MAX(AA166:AA213)</f>
        <v>0</v>
      </c>
      <c r="AB429" s="43" t="e">
        <f>MAX(AB166:AB213)</f>
        <v>#DIV/0!</v>
      </c>
      <c r="AC429" s="43" t="e">
        <f>MAX(AC166:AC213)</f>
        <v>#DIV/0!</v>
      </c>
      <c r="AD429" s="256"/>
      <c r="AE429" s="69" t="s">
        <v>125</v>
      </c>
      <c r="AF429" s="259"/>
      <c r="AG429" s="60" t="e">
        <f>MAX(AG166,AG172,AG178,AG184,AG190,AG196,AG202,AG208)</f>
        <v>#VALUE!</v>
      </c>
      <c r="AH429" s="28" t="e">
        <f>MAX(AH166:AH213)</f>
        <v>#VALUE!</v>
      </c>
      <c r="AI429" s="28" t="e">
        <f>MAX(AI166:AI213)</f>
        <v>#VALUE!</v>
      </c>
      <c r="AJ429" s="28" t="e">
        <f>MAX(AJ166:AJ213)</f>
        <v>#VALUE!</v>
      </c>
      <c r="AK429" s="60" t="e">
        <f>MAX(AK166,AK172,AK178,AK184,AK190,AK196,AK202,AK208)</f>
        <v>#VALUE!</v>
      </c>
      <c r="AL429" s="28" t="e">
        <f>MAX(AL166:AL213)</f>
        <v>#VALUE!</v>
      </c>
      <c r="AM429" s="60" t="e">
        <f>MAX(AM166,AM172,AM178,AM184,AM190,AM196,AM202,AM208)</f>
        <v>#VALUE!</v>
      </c>
      <c r="AN429" s="28" t="e">
        <f>MAX(AN166:AN213)</f>
        <v>#VALUE!</v>
      </c>
      <c r="AO429" s="60" t="e">
        <f>MAX(AO166,AO172,AO178,AO184,AO190,AO196,AO202,AO208)</f>
        <v>#VALUE!</v>
      </c>
      <c r="AP429" s="30" t="e">
        <f>MAX(AP166:AP213)</f>
        <v>#VALUE!</v>
      </c>
    </row>
    <row r="430" spans="3:42" ht="17.100000000000001" customHeight="1" x14ac:dyDescent="0.25">
      <c r="N430" s="6" t="s">
        <v>124</v>
      </c>
      <c r="O430" s="43">
        <f>MIN(O166:O213)</f>
        <v>0</v>
      </c>
      <c r="P430" s="43">
        <f>MIN(P166:P213)</f>
        <v>0</v>
      </c>
      <c r="Z430" s="43">
        <f>MIN(Z166:Z213)</f>
        <v>0</v>
      </c>
      <c r="AA430" s="43">
        <f>MIN(AA166:AA213)</f>
        <v>0</v>
      </c>
      <c r="AB430" s="43" t="e">
        <f>MIN(AB166:AB213)</f>
        <v>#DIV/0!</v>
      </c>
      <c r="AC430" s="43" t="e">
        <f>MIN(AC166:AC213)</f>
        <v>#DIV/0!</v>
      </c>
      <c r="AD430" s="256"/>
      <c r="AE430" s="69" t="s">
        <v>123</v>
      </c>
      <c r="AF430" s="263" t="s">
        <v>127</v>
      </c>
      <c r="AG430" s="58" t="e">
        <f>AVERAGE(AG168,AG174,AG180,AG186,AG192,AG198,AG204,AG210)</f>
        <v>#VALUE!</v>
      </c>
      <c r="AH430" s="272"/>
      <c r="AI430" s="273"/>
      <c r="AJ430" s="274"/>
      <c r="AK430" s="58" t="e">
        <f>AVERAGE(AK168,AK174,AK180,AK186,AK192,AK198,AK204,AK210)</f>
        <v>#VALUE!</v>
      </c>
      <c r="AL430" s="281"/>
      <c r="AM430" s="58" t="e">
        <f>AVERAGE(AM168,AM174,AM180,AM186,AM192,AM198,AM204,AM210)</f>
        <v>#VALUE!</v>
      </c>
      <c r="AN430" s="281"/>
      <c r="AO430" s="58" t="e">
        <f>AVERAGE(AO168,AO174,AO180,AO186,AO192,AO198,AO204,AO210)</f>
        <v>#VALUE!</v>
      </c>
      <c r="AP430" s="281"/>
    </row>
    <row r="431" spans="3:42" ht="17.100000000000001" customHeight="1" x14ac:dyDescent="0.25">
      <c r="N431" s="6" t="s">
        <v>134</v>
      </c>
      <c r="O431" s="43"/>
      <c r="P431" s="43"/>
      <c r="Z431" s="112" t="e">
        <f>Z427/O427</f>
        <v>#NUM!</v>
      </c>
      <c r="AA431" s="112" t="e">
        <f>AA427/P427</f>
        <v>#NUM!</v>
      </c>
      <c r="AB431" s="43"/>
      <c r="AC431" s="43"/>
      <c r="AD431" s="256"/>
      <c r="AE431" s="69" t="s">
        <v>124</v>
      </c>
      <c r="AF431" s="264"/>
      <c r="AG431" s="59" t="e">
        <f>MIN(AG168,AG174,AG180,AG186,AG192,AG198,AG204,AG210)</f>
        <v>#VALUE!</v>
      </c>
      <c r="AH431" s="275"/>
      <c r="AI431" s="276"/>
      <c r="AJ431" s="277"/>
      <c r="AK431" s="59" t="e">
        <f>MIN(AK168,AK174,AK180,AK186,AK192,AK198,AK204,AK210)</f>
        <v>#VALUE!</v>
      </c>
      <c r="AL431" s="282"/>
      <c r="AM431" s="59" t="e">
        <f>MIN(AM168,AM174,AM180,AM186,AM192,AM198,AM204,AM210)</f>
        <v>#VALUE!</v>
      </c>
      <c r="AN431" s="282"/>
      <c r="AO431" s="59" t="e">
        <f>MIN(AO168,AO174,AO180,AO186,AO192,AO198,AO204,AO210)</f>
        <v>#VALUE!</v>
      </c>
      <c r="AP431" s="282"/>
    </row>
    <row r="432" spans="3:42" ht="17.100000000000001" customHeight="1" thickBot="1" x14ac:dyDescent="0.3">
      <c r="O432" s="43"/>
      <c r="P432" s="43"/>
      <c r="Z432" s="43"/>
      <c r="AA432" s="43"/>
      <c r="AB432" s="43"/>
      <c r="AC432" s="43"/>
      <c r="AD432" s="256"/>
      <c r="AE432" s="69" t="s">
        <v>125</v>
      </c>
      <c r="AF432" s="265"/>
      <c r="AG432" s="60" t="e">
        <f>MAX(AG168,AG174,AG180,AG186,AG192,AG198,AG204,AG210)</f>
        <v>#VALUE!</v>
      </c>
      <c r="AH432" s="275"/>
      <c r="AI432" s="276"/>
      <c r="AJ432" s="277"/>
      <c r="AK432" s="60" t="e">
        <f>MAX(AK168,AK174,AK180,AK186,AK192,AK198,AK204,AK210)</f>
        <v>#VALUE!</v>
      </c>
      <c r="AL432" s="282"/>
      <c r="AM432" s="60" t="e">
        <f>MAX(AM168,AM174,AM180,AM186,AM192,AM198,AM204,AM210)</f>
        <v>#VALUE!</v>
      </c>
      <c r="AN432" s="282"/>
      <c r="AO432" s="60" t="e">
        <f>MAX(AO168,AO174,AO180,AO186,AO192,AO198,AO204,AO210)</f>
        <v>#VALUE!</v>
      </c>
      <c r="AP432" s="282"/>
    </row>
    <row r="433" spans="3:42" ht="17.100000000000001" customHeight="1" x14ac:dyDescent="0.25">
      <c r="O433" s="43"/>
      <c r="P433" s="43"/>
      <c r="Z433" s="43"/>
      <c r="AA433" s="43"/>
      <c r="AB433" s="43"/>
      <c r="AC433" s="43"/>
      <c r="AD433" s="256"/>
      <c r="AE433" s="64" t="s">
        <v>123</v>
      </c>
      <c r="AF433" s="266" t="s">
        <v>128</v>
      </c>
      <c r="AG433" s="63" t="e">
        <f>AVERAGE(AG170,AG176,AG182,AG188,AG194,AG200,AG206,AG212)</f>
        <v>#VALUE!</v>
      </c>
      <c r="AH433" s="275"/>
      <c r="AI433" s="276"/>
      <c r="AJ433" s="277"/>
      <c r="AK433" s="63" t="e">
        <f>AVERAGE(AK170,AK176,AK182,AK188,AK194,AK200,AK206,AK212)</f>
        <v>#VALUE!</v>
      </c>
      <c r="AL433" s="282"/>
      <c r="AM433" s="63" t="e">
        <f>AVERAGE(AM170,AM176,AM182,AM188,AM194,AM200,AM206,AM212)</f>
        <v>#VALUE!</v>
      </c>
      <c r="AN433" s="282"/>
      <c r="AO433" s="63" t="e">
        <f>AVERAGE(AO170,AO176,AO182,AO188,AO194,AO200,AO206,AO212)</f>
        <v>#VALUE!</v>
      </c>
      <c r="AP433" s="282"/>
    </row>
    <row r="434" spans="3:42" ht="17.100000000000001" customHeight="1" x14ac:dyDescent="0.25">
      <c r="O434" s="43"/>
      <c r="P434" s="43"/>
      <c r="Z434" s="43"/>
      <c r="AA434" s="43"/>
      <c r="AB434" s="43"/>
      <c r="AC434" s="43"/>
      <c r="AD434" s="256"/>
      <c r="AE434" s="64" t="s">
        <v>124</v>
      </c>
      <c r="AF434" s="267"/>
      <c r="AG434" s="59" t="e">
        <f>MIN(AG170,AG176,AG182,AG188,AG194,AG200,AG206,AG212)</f>
        <v>#VALUE!</v>
      </c>
      <c r="AH434" s="275"/>
      <c r="AI434" s="276"/>
      <c r="AJ434" s="277"/>
      <c r="AK434" s="59" t="e">
        <f>MIN(AK170,AK176,AK182,AK188,AK194,AK200,AK206,AK212)</f>
        <v>#VALUE!</v>
      </c>
      <c r="AL434" s="282"/>
      <c r="AM434" s="59" t="e">
        <f>MIN(AM170,AM176,AM182,AM188,AM194,AM200,AM206,AM212)</f>
        <v>#VALUE!</v>
      </c>
      <c r="AN434" s="282"/>
      <c r="AO434" s="59" t="e">
        <f>MIN(AO170,AO176,AO182,AO188,AO194,AO200,AO206,AO212)</f>
        <v>#VALUE!</v>
      </c>
      <c r="AP434" s="282"/>
    </row>
    <row r="435" spans="3:42" ht="17.100000000000001" customHeight="1" thickBot="1" x14ac:dyDescent="0.3">
      <c r="O435" s="43"/>
      <c r="P435" s="43"/>
      <c r="Z435" s="43"/>
      <c r="AA435" s="43"/>
      <c r="AB435" s="43"/>
      <c r="AC435" s="43"/>
      <c r="AD435" s="256"/>
      <c r="AE435" s="65" t="s">
        <v>125</v>
      </c>
      <c r="AF435" s="268"/>
      <c r="AG435" s="60" t="e">
        <f>MAX(AG170,AG176,AG182,AG188,AG194,AG200,AG206,AG212)</f>
        <v>#VALUE!</v>
      </c>
      <c r="AH435" s="278"/>
      <c r="AI435" s="279"/>
      <c r="AJ435" s="280"/>
      <c r="AK435" s="60" t="e">
        <f>MAX(AK170,AK176,AK182,AK188,AK194,AK200,AK206,AK212)</f>
        <v>#VALUE!</v>
      </c>
      <c r="AL435" s="283"/>
      <c r="AM435" s="60" t="e">
        <f>MAX(AM170,AM176,AM182,AM188,AM194,AM200,AM206,AM212)</f>
        <v>#VALUE!</v>
      </c>
      <c r="AN435" s="283"/>
      <c r="AO435" s="60" t="e">
        <f>MAX(AO170,AO176,AO182,AO188,AO194,AO200,AO206,AO212)</f>
        <v>#VALUE!</v>
      </c>
      <c r="AP435" s="283"/>
    </row>
    <row r="436" spans="3:42" ht="17.100000000000001" customHeight="1" x14ac:dyDescent="0.25">
      <c r="C436" s="4" t="s">
        <v>102</v>
      </c>
      <c r="N436" s="6" t="s">
        <v>132</v>
      </c>
      <c r="O436" s="43" t="e">
        <f>GEOMEAN(O214:O249)</f>
        <v>#NUM!</v>
      </c>
      <c r="P436" s="43" t="e">
        <f>GEOMEAN(P214:P249)</f>
        <v>#NUM!</v>
      </c>
      <c r="Z436" s="43" t="e">
        <f>GEOMEAN(Z214:Z249)</f>
        <v>#NUM!</v>
      </c>
      <c r="AA436" s="43" t="e">
        <f>GEOMEAN(AA214:AA249)</f>
        <v>#NUM!</v>
      </c>
      <c r="AB436" s="43" t="e">
        <f>GEOMEAN(AB214:AB249)</f>
        <v>#DIV/0!</v>
      </c>
      <c r="AC436" s="43" t="e">
        <f>GEOMEAN(AC214:AC249)</f>
        <v>#DIV/0!</v>
      </c>
      <c r="AD436" s="256" t="str">
        <f>C436</f>
        <v>Class A4_360p</v>
      </c>
      <c r="AE436" s="68" t="s">
        <v>123</v>
      </c>
      <c r="AF436" s="257" t="s">
        <v>126</v>
      </c>
      <c r="AG436" s="58" t="e">
        <f>AVERAGE(AG214,AG220,AG226,AG232,AG238,AG244)</f>
        <v>#VALUE!</v>
      </c>
      <c r="AH436" s="26" t="e">
        <f>AVERAGE(AH214:AH249)</f>
        <v>#VALUE!</v>
      </c>
      <c r="AI436" s="26" t="e">
        <f>AVERAGE(AI214:AI249)</f>
        <v>#VALUE!</v>
      </c>
      <c r="AJ436" s="26" t="e">
        <f>AVERAGE(AJ214:AJ249)</f>
        <v>#VALUE!</v>
      </c>
      <c r="AK436" s="58" t="e">
        <f>AVERAGE(AK214,AK220,AK226,AK232,AK238,AK244)</f>
        <v>#VALUE!</v>
      </c>
      <c r="AL436" s="26" t="e">
        <f>AVERAGE(AL214:AL249)</f>
        <v>#VALUE!</v>
      </c>
      <c r="AM436" s="58" t="e">
        <f>AVERAGE(AM214,AM220,AM226,AM232,AM238,AM244)</f>
        <v>#VALUE!</v>
      </c>
      <c r="AN436" s="26" t="e">
        <f>AVERAGE(AN214:AN249)</f>
        <v>#VALUE!</v>
      </c>
      <c r="AO436" s="58" t="e">
        <f>AVERAGE(AO214,AO220,AO226,AO232,AO238,AO244)</f>
        <v>#VALUE!</v>
      </c>
      <c r="AP436" s="27" t="e">
        <f>AVERAGE(AP214:AP249)</f>
        <v>#VALUE!</v>
      </c>
    </row>
    <row r="437" spans="3:42" ht="17.100000000000001" customHeight="1" x14ac:dyDescent="0.25">
      <c r="N437" s="6" t="s">
        <v>133</v>
      </c>
      <c r="O437" s="43">
        <f>SUM(O214:O249)</f>
        <v>0</v>
      </c>
      <c r="P437" s="43">
        <f>SUM(P214:P249)</f>
        <v>0</v>
      </c>
      <c r="Z437" s="43">
        <f>SUM(Z214:Z249)</f>
        <v>0</v>
      </c>
      <c r="AA437" s="43">
        <f>SUM(AA214:AA249)</f>
        <v>0</v>
      </c>
      <c r="AB437" s="43" t="e">
        <f>SUM(AB214:AB249)</f>
        <v>#DIV/0!</v>
      </c>
      <c r="AC437" s="43" t="e">
        <f>SUM(AC214:AC249)</f>
        <v>#DIV/0!</v>
      </c>
      <c r="AD437" s="256"/>
      <c r="AE437" s="69" t="s">
        <v>124</v>
      </c>
      <c r="AF437" s="258"/>
      <c r="AG437" s="59" t="e">
        <f>MIN(AG214,AG220,AG226,AG232,AG238,AG244)</f>
        <v>#VALUE!</v>
      </c>
      <c r="AH437" s="25" t="e">
        <f>MIN(AH214:AH249)</f>
        <v>#VALUE!</v>
      </c>
      <c r="AI437" s="25" t="e">
        <f>MIN(AI214:AI249)</f>
        <v>#VALUE!</v>
      </c>
      <c r="AJ437" s="25" t="e">
        <f>MIN(AJ214:AJ249)</f>
        <v>#VALUE!</v>
      </c>
      <c r="AK437" s="59" t="e">
        <f>MIN(AK214,AK220,AK226,AK232,AK238,AK244)</f>
        <v>#VALUE!</v>
      </c>
      <c r="AL437" s="25" t="e">
        <f>MIN(AL214:AL249)</f>
        <v>#VALUE!</v>
      </c>
      <c r="AM437" s="59" t="e">
        <f>MIN(AM214,AM220,AM226,AM232,AM238,AM244)</f>
        <v>#VALUE!</v>
      </c>
      <c r="AN437" s="25" t="e">
        <f>MIN(AN214:AN249)</f>
        <v>#VALUE!</v>
      </c>
      <c r="AO437" s="59" t="e">
        <f>MIN(AO214,AO220,AO226,AO232,AO238,AO244)</f>
        <v>#VALUE!</v>
      </c>
      <c r="AP437" s="29" t="e">
        <f>MIN(AP214:AP249)</f>
        <v>#VALUE!</v>
      </c>
    </row>
    <row r="438" spans="3:42" ht="17.100000000000001" customHeight="1" thickBot="1" x14ac:dyDescent="0.3">
      <c r="N438" s="6" t="s">
        <v>125</v>
      </c>
      <c r="O438" s="43">
        <f>MAX(O214:O249)</f>
        <v>0</v>
      </c>
      <c r="P438" s="43">
        <f>MAX(P214:P249)</f>
        <v>0</v>
      </c>
      <c r="Z438" s="43">
        <f>MAX(Z214:Z249)</f>
        <v>0</v>
      </c>
      <c r="AA438" s="43">
        <f>MAX(AA214:AA249)</f>
        <v>0</v>
      </c>
      <c r="AB438" s="43" t="e">
        <f>MAX(AB214:AB249)</f>
        <v>#DIV/0!</v>
      </c>
      <c r="AC438" s="43" t="e">
        <f>MAX(AC214:AC249)</f>
        <v>#DIV/0!</v>
      </c>
      <c r="AD438" s="256"/>
      <c r="AE438" s="69" t="s">
        <v>125</v>
      </c>
      <c r="AF438" s="259"/>
      <c r="AG438" s="60" t="e">
        <f>MAX(AG214,AG220,AG226,AG232,AG238,AG244)</f>
        <v>#VALUE!</v>
      </c>
      <c r="AH438" s="28" t="e">
        <f>MAX(AH214:AH249)</f>
        <v>#VALUE!</v>
      </c>
      <c r="AI438" s="28" t="e">
        <f>MAX(AI214:AI249)</f>
        <v>#VALUE!</v>
      </c>
      <c r="AJ438" s="28" t="e">
        <f>MAX(AJ214:AJ249)</f>
        <v>#VALUE!</v>
      </c>
      <c r="AK438" s="60" t="e">
        <f>MAX(AK214,AK220,AK226,AK232,AK238,AK244)</f>
        <v>#VALUE!</v>
      </c>
      <c r="AL438" s="28" t="e">
        <f>MAX(AL214:AL249)</f>
        <v>#VALUE!</v>
      </c>
      <c r="AM438" s="60" t="e">
        <f>MAX(AM214,AM220,AM226,AM232,AM238,AM244)</f>
        <v>#VALUE!</v>
      </c>
      <c r="AN438" s="28" t="e">
        <f>MAX(AN214:AN249)</f>
        <v>#VALUE!</v>
      </c>
      <c r="AO438" s="60" t="e">
        <f>MAX(AO214,AO220,AO226,AO232,AO238,AO244)</f>
        <v>#VALUE!</v>
      </c>
      <c r="AP438" s="30" t="e">
        <f>MAX(AP214:AP249)</f>
        <v>#VALUE!</v>
      </c>
    </row>
    <row r="439" spans="3:42" ht="17.100000000000001" customHeight="1" x14ac:dyDescent="0.25">
      <c r="N439" s="6" t="s">
        <v>124</v>
      </c>
      <c r="O439" s="43">
        <f>MIN(O214:O249)</f>
        <v>0</v>
      </c>
      <c r="P439" s="43">
        <f>MIN(P214:P249)</f>
        <v>0</v>
      </c>
      <c r="Z439" s="43">
        <f>MIN(Z214:Z249)</f>
        <v>0</v>
      </c>
      <c r="AA439" s="43">
        <f>MIN(AA214:AA249)</f>
        <v>0</v>
      </c>
      <c r="AB439" s="43" t="e">
        <f>MIN(AB214:AB249)</f>
        <v>#DIV/0!</v>
      </c>
      <c r="AC439" s="43" t="e">
        <f>MIN(AC214:AC249)</f>
        <v>#DIV/0!</v>
      </c>
      <c r="AD439" s="256"/>
      <c r="AE439" s="69" t="s">
        <v>123</v>
      </c>
      <c r="AF439" s="263" t="s">
        <v>127</v>
      </c>
      <c r="AG439" s="58" t="e">
        <f>AVERAGE(AG216,AG222,AG228,AG234,AG240,AG246)</f>
        <v>#VALUE!</v>
      </c>
      <c r="AH439" s="272"/>
      <c r="AI439" s="273"/>
      <c r="AJ439" s="274"/>
      <c r="AK439" s="58" t="e">
        <f>AVERAGE(AK216,AK222,AK228,AK234,AK240,AK246)</f>
        <v>#VALUE!</v>
      </c>
      <c r="AL439" s="281"/>
      <c r="AM439" s="58" t="e">
        <f>AVERAGE(AM216,AM222,AM228,AM234,AM240,AM246)</f>
        <v>#VALUE!</v>
      </c>
      <c r="AN439" s="281"/>
      <c r="AO439" s="58" t="e">
        <f>AVERAGE(AO216,AO222,AO228,AO234,AO240,AO246)</f>
        <v>#VALUE!</v>
      </c>
      <c r="AP439" s="281"/>
    </row>
    <row r="440" spans="3:42" ht="17.100000000000001" customHeight="1" x14ac:dyDescent="0.25">
      <c r="N440" s="6" t="s">
        <v>134</v>
      </c>
      <c r="O440" s="43"/>
      <c r="P440" s="43"/>
      <c r="Z440" s="112" t="e">
        <f>Z436/O436</f>
        <v>#NUM!</v>
      </c>
      <c r="AA440" s="112" t="e">
        <f>AA436/P436</f>
        <v>#NUM!</v>
      </c>
      <c r="AB440" s="43"/>
      <c r="AC440" s="43"/>
      <c r="AD440" s="256"/>
      <c r="AE440" s="69" t="s">
        <v>124</v>
      </c>
      <c r="AF440" s="264"/>
      <c r="AG440" s="59" t="e">
        <f>MIN(AG216,AG222,AG228,AG234,AG240,AG246)</f>
        <v>#VALUE!</v>
      </c>
      <c r="AH440" s="275"/>
      <c r="AI440" s="276"/>
      <c r="AJ440" s="277"/>
      <c r="AK440" s="59" t="e">
        <f>MIN(AK216,AK222,AK228,AK234,AK240,AK246)</f>
        <v>#VALUE!</v>
      </c>
      <c r="AL440" s="282"/>
      <c r="AM440" s="59" t="e">
        <f>MIN(AM216,AM222,AM228,AM234,AM240,AM246)</f>
        <v>#VALUE!</v>
      </c>
      <c r="AN440" s="282"/>
      <c r="AO440" s="59" t="e">
        <f>MIN(AO216,AO222,AO228,AO234,AO240,AO246)</f>
        <v>#VALUE!</v>
      </c>
      <c r="AP440" s="282"/>
    </row>
    <row r="441" spans="3:42" ht="17.100000000000001" customHeight="1" thickBot="1" x14ac:dyDescent="0.3">
      <c r="O441" s="43"/>
      <c r="P441" s="43"/>
      <c r="Z441" s="43"/>
      <c r="AA441" s="43"/>
      <c r="AB441" s="43"/>
      <c r="AC441" s="43"/>
      <c r="AD441" s="256"/>
      <c r="AE441" s="69" t="s">
        <v>125</v>
      </c>
      <c r="AF441" s="265"/>
      <c r="AG441" s="60" t="e">
        <f>MAX(AG216,AG222,AG228,AG234,AG240,AG246)</f>
        <v>#VALUE!</v>
      </c>
      <c r="AH441" s="275"/>
      <c r="AI441" s="276"/>
      <c r="AJ441" s="277"/>
      <c r="AK441" s="60" t="e">
        <f>MAX(AK216,AK222,AK228,AK234,AK240,AK246)</f>
        <v>#VALUE!</v>
      </c>
      <c r="AL441" s="282"/>
      <c r="AM441" s="60" t="e">
        <f>MAX(AM216,AM222,AM228,AM234,AM240,AM246)</f>
        <v>#VALUE!</v>
      </c>
      <c r="AN441" s="282"/>
      <c r="AO441" s="60" t="e">
        <f>MAX(AO216,AO222,AO228,AO234,AO240,AO246)</f>
        <v>#VALUE!</v>
      </c>
      <c r="AP441" s="282"/>
    </row>
    <row r="442" spans="3:42" ht="17.100000000000001" customHeight="1" x14ac:dyDescent="0.25">
      <c r="O442" s="43"/>
      <c r="P442" s="43"/>
      <c r="Z442" s="43"/>
      <c r="AA442" s="43"/>
      <c r="AB442" s="43"/>
      <c r="AC442" s="43"/>
      <c r="AD442" s="256"/>
      <c r="AE442" s="64" t="s">
        <v>123</v>
      </c>
      <c r="AF442" s="266" t="s">
        <v>128</v>
      </c>
      <c r="AG442" s="63" t="e">
        <f>AVERAGE(AG218,AG224,AG230,AG236,AG242,AG248)</f>
        <v>#VALUE!</v>
      </c>
      <c r="AH442" s="275"/>
      <c r="AI442" s="276"/>
      <c r="AJ442" s="277"/>
      <c r="AK442" s="63" t="e">
        <f>AVERAGE(AK218,AK224,AK230,AK236,AK242,AK248)</f>
        <v>#VALUE!</v>
      </c>
      <c r="AL442" s="282"/>
      <c r="AM442" s="63" t="e">
        <f>AVERAGE(AM218,AM224,AM230,AM236,AM242,AM248)</f>
        <v>#VALUE!</v>
      </c>
      <c r="AN442" s="282"/>
      <c r="AO442" s="63" t="e">
        <f>AVERAGE(AO218,AO224,AO230,AO236,AO242,AO248)</f>
        <v>#VALUE!</v>
      </c>
      <c r="AP442" s="282"/>
    </row>
    <row r="443" spans="3:42" ht="17.100000000000001" customHeight="1" x14ac:dyDescent="0.25">
      <c r="O443" s="43"/>
      <c r="P443" s="43"/>
      <c r="Z443" s="43"/>
      <c r="AA443" s="43"/>
      <c r="AB443" s="43"/>
      <c r="AC443" s="43"/>
      <c r="AD443" s="256"/>
      <c r="AE443" s="64" t="s">
        <v>124</v>
      </c>
      <c r="AF443" s="267"/>
      <c r="AG443" s="59" t="e">
        <f>MIN(AG218,AG224,AG230,AG236,AG242,AG248)</f>
        <v>#VALUE!</v>
      </c>
      <c r="AH443" s="275"/>
      <c r="AI443" s="276"/>
      <c r="AJ443" s="277"/>
      <c r="AK443" s="59" t="e">
        <f>MIN(AK218,AK224,AK230,AK236,AK242,AK248)</f>
        <v>#VALUE!</v>
      </c>
      <c r="AL443" s="282"/>
      <c r="AM443" s="59" t="e">
        <f>MIN(AM218,AM224,AM230,AM236,AM242,AM248)</f>
        <v>#VALUE!</v>
      </c>
      <c r="AN443" s="282"/>
      <c r="AO443" s="59" t="e">
        <f>MIN(AO218,AO224,AO230,AO236,AO242,AO248)</f>
        <v>#VALUE!</v>
      </c>
      <c r="AP443" s="282"/>
    </row>
    <row r="444" spans="3:42" ht="17.100000000000001" customHeight="1" thickBot="1" x14ac:dyDescent="0.3">
      <c r="O444" s="43"/>
      <c r="P444" s="43"/>
      <c r="Z444" s="43"/>
      <c r="AA444" s="43"/>
      <c r="AB444" s="43"/>
      <c r="AC444" s="43"/>
      <c r="AD444" s="256"/>
      <c r="AE444" s="65" t="s">
        <v>125</v>
      </c>
      <c r="AF444" s="268"/>
      <c r="AG444" s="60" t="e">
        <f>MAX(AG218,AG224,AG230,AG236,AG242,AG248)</f>
        <v>#VALUE!</v>
      </c>
      <c r="AH444" s="278"/>
      <c r="AI444" s="279"/>
      <c r="AJ444" s="280"/>
      <c r="AK444" s="60" t="e">
        <f>MAX(AK218,AK224,AK230,AK236,AK242,AK248)</f>
        <v>#VALUE!</v>
      </c>
      <c r="AL444" s="283"/>
      <c r="AM444" s="60" t="e">
        <f>MAX(AM218,AM224,AM230,AM236,AM242,AM248)</f>
        <v>#VALUE!</v>
      </c>
      <c r="AN444" s="283"/>
      <c r="AO444" s="60" t="e">
        <f>MAX(AO218,AO224,AO230,AO236,AO242,AO248)</f>
        <v>#VALUE!</v>
      </c>
      <c r="AP444" s="283"/>
    </row>
    <row r="445" spans="3:42" ht="17.100000000000001" customHeight="1" x14ac:dyDescent="0.25">
      <c r="C445" s="4" t="s">
        <v>115</v>
      </c>
      <c r="N445" s="6" t="s">
        <v>132</v>
      </c>
      <c r="O445" s="43" t="e">
        <f>GEOMEAN(O250:O273)</f>
        <v>#NUM!</v>
      </c>
      <c r="P445" s="43" t="e">
        <f>GEOMEAN(P250:P273)</f>
        <v>#NUM!</v>
      </c>
      <c r="Z445" s="43" t="e">
        <f>GEOMEAN(Z250:Z273)</f>
        <v>#NUM!</v>
      </c>
      <c r="AA445" s="43" t="e">
        <f>GEOMEAN(AA250:AA273)</f>
        <v>#NUM!</v>
      </c>
      <c r="AB445" s="43" t="e">
        <f>GEOMEAN(AB250:AB273)</f>
        <v>#DIV/0!</v>
      </c>
      <c r="AC445" s="43" t="e">
        <f>GEOMEAN(AC250:AC273)</f>
        <v>#DIV/0!</v>
      </c>
      <c r="AD445" s="256" t="str">
        <f>C445</f>
        <v>Class A5_270p</v>
      </c>
      <c r="AE445" s="68" t="s">
        <v>123</v>
      </c>
      <c r="AF445" s="257" t="s">
        <v>126</v>
      </c>
      <c r="AG445" s="58">
        <f>AVERAGE(AG250,AG256,AG262,AG268)</f>
        <v>2.3211155714211174E-3</v>
      </c>
      <c r="AH445" s="26">
        <f>AVERAGE(AH250:AH273)</f>
        <v>-0.20664708141463212</v>
      </c>
      <c r="AI445" s="26">
        <f>AVERAGE(AI250:AI273)</f>
        <v>-0.18582074194443207</v>
      </c>
      <c r="AJ445" s="26">
        <f>AVERAGE(AJ250:AJ273)</f>
        <v>-0.18234574130966033</v>
      </c>
      <c r="AK445" s="58">
        <f>AVERAGE(AK250,AK256,AK262,AK268)</f>
        <v>-0.22629974874438658</v>
      </c>
      <c r="AL445" s="26">
        <f>AVERAGE(AL250:AL273)</f>
        <v>-0.21904799238377048</v>
      </c>
      <c r="AM445" s="58">
        <f>AVERAGE(AM250,AM256,AM262,AM268)</f>
        <v>-0.21056055125297016</v>
      </c>
      <c r="AN445" s="26">
        <f>AVERAGE(AN250:AN273)</f>
        <v>-0.19877622777047332</v>
      </c>
      <c r="AO445" s="58">
        <f>AVERAGE(AO250,AO256,AO262,AO268)</f>
        <v>-0.27267133541478078</v>
      </c>
      <c r="AP445" s="27">
        <f>AVERAGE(AP250:AP273)</f>
        <v>-0.21341959342963357</v>
      </c>
    </row>
    <row r="446" spans="3:42" ht="17.100000000000001" customHeight="1" x14ac:dyDescent="0.25">
      <c r="N446" s="6" t="s">
        <v>133</v>
      </c>
      <c r="O446" s="43">
        <f>SUM(O250:O273)</f>
        <v>0</v>
      </c>
      <c r="P446" s="43">
        <f>SUM(P250:P273)</f>
        <v>0</v>
      </c>
      <c r="Z446" s="43">
        <f>SUM(Z250:Z273)</f>
        <v>0</v>
      </c>
      <c r="AA446" s="43">
        <f>SUM(AA250:AA273)</f>
        <v>0</v>
      </c>
      <c r="AB446" s="43" t="e">
        <f>SUM(AB250:AB273)</f>
        <v>#DIV/0!</v>
      </c>
      <c r="AC446" s="43" t="e">
        <f>SUM(AC250:AC273)</f>
        <v>#DIV/0!</v>
      </c>
      <c r="AD446" s="256"/>
      <c r="AE446" s="69" t="s">
        <v>124</v>
      </c>
      <c r="AF446" s="258"/>
      <c r="AG446" s="59">
        <f>MIN(AG250,AG256,AG262,AG268)</f>
        <v>5.5918640867713698E-4</v>
      </c>
      <c r="AH446" s="25">
        <f>MIN(AH250:AH273)</f>
        <v>-0.27346095794466319</v>
      </c>
      <c r="AI446" s="25">
        <f>MIN(AI250:AI273)</f>
        <v>-0.23885370954660823</v>
      </c>
      <c r="AJ446" s="25">
        <f>MIN(AJ250:AJ273)</f>
        <v>-0.23443810148770872</v>
      </c>
      <c r="AK446" s="59">
        <f>MIN(AK250,AK256,AK262,AK268)</f>
        <v>-0.27729042738893517</v>
      </c>
      <c r="AL446" s="25">
        <f>MIN(AL250:AL273)</f>
        <v>-0.28345368495207346</v>
      </c>
      <c r="AM446" s="59">
        <f>MIN(AM250,AM256,AM262,AM268)</f>
        <v>-0.2645417592328565</v>
      </c>
      <c r="AN446" s="25">
        <f>MIN(AN250:AN273)</f>
        <v>-0.24461841785526273</v>
      </c>
      <c r="AO446" s="59">
        <f>MIN(AO250,AO256,AO262,AO268)</f>
        <v>-0.33681488832251816</v>
      </c>
      <c r="AP446" s="29">
        <f>MIN(AP250:AP273)</f>
        <v>-0.26054518433190599</v>
      </c>
    </row>
    <row r="447" spans="3:42" ht="17.100000000000001" customHeight="1" thickBot="1" x14ac:dyDescent="0.3">
      <c r="N447" s="6" t="s">
        <v>125</v>
      </c>
      <c r="O447" s="43">
        <f>MAX(O250:O273)</f>
        <v>0</v>
      </c>
      <c r="P447" s="43">
        <f>MAX(P250:P273)</f>
        <v>0</v>
      </c>
      <c r="Z447" s="43">
        <f>MAX(Z250:Z273)</f>
        <v>0</v>
      </c>
      <c r="AA447" s="43">
        <f>MAX(AA250:AA273)</f>
        <v>0</v>
      </c>
      <c r="AB447" s="43" t="e">
        <f>MAX(AB250:AB273)</f>
        <v>#DIV/0!</v>
      </c>
      <c r="AC447" s="43" t="e">
        <f>MAX(AC250:AC273)</f>
        <v>#DIV/0!</v>
      </c>
      <c r="AD447" s="256"/>
      <c r="AE447" s="69" t="s">
        <v>125</v>
      </c>
      <c r="AF447" s="259"/>
      <c r="AG447" s="60">
        <f>MAX(AG250,AG256,AG262,AG268)</f>
        <v>3.6005823506464196E-3</v>
      </c>
      <c r="AH447" s="28">
        <f>MAX(AH250:AH273)</f>
        <v>-0.13375655761769667</v>
      </c>
      <c r="AI447" s="28">
        <f>MAX(AI250:AI273)</f>
        <v>-0.11581450240129587</v>
      </c>
      <c r="AJ447" s="28">
        <f>MAX(AJ250:AJ273)</f>
        <v>-0.12764807897474084</v>
      </c>
      <c r="AK447" s="60">
        <f>MAX(AK250,AK256,AK262,AK268)</f>
        <v>-0.15527904520940083</v>
      </c>
      <c r="AL447" s="28">
        <f>MAX(AL250:AL273)</f>
        <v>-0.14231962951384014</v>
      </c>
      <c r="AM447" s="60">
        <f>MAX(AM250,AM256,AM262,AM268)</f>
        <v>-0.14801575874785955</v>
      </c>
      <c r="AN447" s="28">
        <f>MAX(AN250:AN273)</f>
        <v>-0.13223736270117414</v>
      </c>
      <c r="AO447" s="60">
        <f>MAX(AO250,AO256,AO262,AO268)</f>
        <v>-0.14438789909589722</v>
      </c>
      <c r="AP447" s="30">
        <f>MAX(AP250:AP273)</f>
        <v>-0.12722047901605205</v>
      </c>
    </row>
    <row r="448" spans="3:42" ht="17.100000000000001" customHeight="1" x14ac:dyDescent="0.25">
      <c r="N448" s="6" t="s">
        <v>124</v>
      </c>
      <c r="O448" s="43">
        <f>MIN(O250:O273)</f>
        <v>0</v>
      </c>
      <c r="P448" s="43">
        <f>MIN(P250:P273)</f>
        <v>0</v>
      </c>
      <c r="Z448" s="43">
        <f>MIN(Z250:Z273)</f>
        <v>0</v>
      </c>
      <c r="AA448" s="43">
        <f>MIN(AA250:AA273)</f>
        <v>0</v>
      </c>
      <c r="AB448" s="43" t="e">
        <f>MIN(AB250:AB273)</f>
        <v>#DIV/0!</v>
      </c>
      <c r="AC448" s="43" t="e">
        <f>MIN(AC250:AC273)</f>
        <v>#DIV/0!</v>
      </c>
      <c r="AD448" s="256"/>
      <c r="AE448" s="69" t="s">
        <v>123</v>
      </c>
      <c r="AF448" s="263" t="s">
        <v>127</v>
      </c>
      <c r="AG448" s="58">
        <f>AVERAGE(AG252,AG258,AG264,AG270)</f>
        <v>1.3228168127115691E-3</v>
      </c>
      <c r="AH448" s="272"/>
      <c r="AI448" s="273"/>
      <c r="AJ448" s="274"/>
      <c r="AK448" s="58">
        <f>AVERAGE(AK252,AK258,AK264,AK270)</f>
        <v>-0.22427215325826688</v>
      </c>
      <c r="AL448" s="281"/>
      <c r="AM448" s="58">
        <f>AVERAGE(AM252,AM258,AM264,AM270)</f>
        <v>-0.20453006890398234</v>
      </c>
      <c r="AN448" s="281"/>
      <c r="AO448" s="58">
        <f>AVERAGE(AO252,AO258,AO264,AO270)</f>
        <v>-0.24105935172595494</v>
      </c>
      <c r="AP448" s="281"/>
    </row>
    <row r="449" spans="3:42" ht="17.100000000000001" customHeight="1" x14ac:dyDescent="0.25">
      <c r="N449" s="6" t="s">
        <v>134</v>
      </c>
      <c r="O449" s="43"/>
      <c r="P449" s="43"/>
      <c r="Z449" s="112" t="e">
        <f>Z445/O445</f>
        <v>#NUM!</v>
      </c>
      <c r="AA449" s="112" t="e">
        <f>AA445/P445</f>
        <v>#NUM!</v>
      </c>
      <c r="AB449" s="43"/>
      <c r="AC449" s="43"/>
      <c r="AD449" s="256"/>
      <c r="AE449" s="69" t="s">
        <v>124</v>
      </c>
      <c r="AF449" s="264"/>
      <c r="AG449" s="59">
        <f>MIN(AG252,AG258,AG264,AG270)</f>
        <v>3.1102223771006798E-4</v>
      </c>
      <c r="AH449" s="275"/>
      <c r="AI449" s="276"/>
      <c r="AJ449" s="277"/>
      <c r="AK449" s="59">
        <f>MIN(AK252,AK258,AK264,AK270)</f>
        <v>-0.29015376410190263</v>
      </c>
      <c r="AL449" s="282"/>
      <c r="AM449" s="59">
        <f>MIN(AM252,AM258,AM264,AM270)</f>
        <v>-0.25604025734251801</v>
      </c>
      <c r="AN449" s="282"/>
      <c r="AO449" s="59">
        <f>MIN(AO252,AO258,AO264,AO270)</f>
        <v>-0.2944159329778322</v>
      </c>
      <c r="AP449" s="282"/>
    </row>
    <row r="450" spans="3:42" ht="17.100000000000001" customHeight="1" thickBot="1" x14ac:dyDescent="0.3">
      <c r="O450" s="43"/>
      <c r="P450" s="43"/>
      <c r="Z450" s="43"/>
      <c r="AA450" s="43"/>
      <c r="AB450" s="43"/>
      <c r="AC450" s="43"/>
      <c r="AD450" s="256"/>
      <c r="AE450" s="69" t="s">
        <v>125</v>
      </c>
      <c r="AF450" s="265"/>
      <c r="AG450" s="60">
        <f>MAX(AG252,AG258,AG264,AG270)</f>
        <v>3.5076702080973909E-3</v>
      </c>
      <c r="AH450" s="275"/>
      <c r="AI450" s="276"/>
      <c r="AJ450" s="277"/>
      <c r="AK450" s="60">
        <f>MAX(AK252,AK258,AK264,AK270)</f>
        <v>-0.14548242877751505</v>
      </c>
      <c r="AL450" s="282"/>
      <c r="AM450" s="60">
        <f>MAX(AM252,AM258,AM264,AM270)</f>
        <v>-0.13558227530065503</v>
      </c>
      <c r="AN450" s="282"/>
      <c r="AO450" s="60">
        <f>MAX(AO252,AO258,AO264,AO270)</f>
        <v>-0.13115402679574306</v>
      </c>
      <c r="AP450" s="282"/>
    </row>
    <row r="451" spans="3:42" ht="17.100000000000001" customHeight="1" x14ac:dyDescent="0.25">
      <c r="O451" s="43"/>
      <c r="P451" s="43"/>
      <c r="Z451" s="43"/>
      <c r="AA451" s="43"/>
      <c r="AB451" s="43"/>
      <c r="AC451" s="43"/>
      <c r="AD451" s="256"/>
      <c r="AE451" s="64" t="s">
        <v>123</v>
      </c>
      <c r="AF451" s="266" t="s">
        <v>128</v>
      </c>
      <c r="AG451" s="63">
        <f>AVERAGE(AG254,AG260,AG266,AG272)</f>
        <v>1.4212202598834489E-4</v>
      </c>
      <c r="AH451" s="275"/>
      <c r="AI451" s="276"/>
      <c r="AJ451" s="277"/>
      <c r="AK451" s="63">
        <f>AVERAGE(AK254,AK260,AK266,AK272)</f>
        <v>-0.21337749956849447</v>
      </c>
      <c r="AL451" s="282"/>
      <c r="AM451" s="63">
        <f>AVERAGE(AM254,AM260,AM266,AM272)</f>
        <v>-0.18986725691387635</v>
      </c>
      <c r="AN451" s="282"/>
      <c r="AO451" s="63">
        <f>AVERAGE(AO254,AO260,AO266,AO272)</f>
        <v>-0.19895340938544395</v>
      </c>
      <c r="AP451" s="282"/>
    </row>
    <row r="452" spans="3:42" ht="17.100000000000001" customHeight="1" x14ac:dyDescent="0.25">
      <c r="O452" s="43"/>
      <c r="P452" s="43"/>
      <c r="Z452" s="43"/>
      <c r="AA452" s="43"/>
      <c r="AB452" s="43"/>
      <c r="AC452" s="43"/>
      <c r="AD452" s="256"/>
      <c r="AE452" s="64" t="s">
        <v>124</v>
      </c>
      <c r="AF452" s="267"/>
      <c r="AG452" s="59">
        <f>MIN(AG254,AG260,AG266,AG272)</f>
        <v>-2.6590852197692083E-3</v>
      </c>
      <c r="AH452" s="275"/>
      <c r="AI452" s="276"/>
      <c r="AJ452" s="277"/>
      <c r="AK452" s="59">
        <f>MIN(AK254,AK260,AK266,AK272)</f>
        <v>-0.29347107866470623</v>
      </c>
      <c r="AL452" s="282"/>
      <c r="AM452" s="59">
        <f>MIN(AM254,AM260,AM266,AM272)</f>
        <v>-0.24410563760743365</v>
      </c>
      <c r="AN452" s="282"/>
      <c r="AO452" s="59">
        <f>MIN(AO254,AO260,AO266,AO272)</f>
        <v>-0.24134710497967082</v>
      </c>
      <c r="AP452" s="282"/>
    </row>
    <row r="453" spans="3:42" ht="17.100000000000001" customHeight="1" thickBot="1" x14ac:dyDescent="0.3">
      <c r="O453" s="43"/>
      <c r="P453" s="43"/>
      <c r="Z453" s="43"/>
      <c r="AA453" s="43"/>
      <c r="AB453" s="43"/>
      <c r="AC453" s="43"/>
      <c r="AD453" s="256"/>
      <c r="AE453" s="65" t="s">
        <v>125</v>
      </c>
      <c r="AF453" s="268"/>
      <c r="AG453" s="60">
        <f>MAX(AG254,AG260,AG266,AG272)</f>
        <v>2.8509300871251142E-3</v>
      </c>
      <c r="AH453" s="278"/>
      <c r="AI453" s="279"/>
      <c r="AJ453" s="280"/>
      <c r="AK453" s="60">
        <f>MAX(AK254,AK260,AK266,AK272)</f>
        <v>-0.13476291465405155</v>
      </c>
      <c r="AL453" s="283"/>
      <c r="AM453" s="60">
        <f>MAX(AM254,AM260,AM266,AM272)</f>
        <v>-0.12278549237135561</v>
      </c>
      <c r="AN453" s="283"/>
      <c r="AO453" s="60">
        <f>MAX(AO254,AO260,AO266,AO272)</f>
        <v>-0.12379457658732484</v>
      </c>
      <c r="AP453" s="283"/>
    </row>
    <row r="454" spans="3:42" ht="17.100000000000001" customHeight="1" x14ac:dyDescent="0.25">
      <c r="C454" s="4" t="s">
        <v>103</v>
      </c>
      <c r="N454" s="6" t="s">
        <v>132</v>
      </c>
      <c r="O454" s="43" t="e">
        <f>GEOMEAN(O274:O339)</f>
        <v>#NUM!</v>
      </c>
      <c r="P454" s="43" t="e">
        <f>GEOMEAN(P274:P339)</f>
        <v>#NUM!</v>
      </c>
      <c r="Z454" s="43" t="e">
        <f>GEOMEAN(Z274:Z339)</f>
        <v>#NUM!</v>
      </c>
      <c r="AA454" s="43" t="e">
        <f>GEOMEAN(AA274:AA339)</f>
        <v>#NUM!</v>
      </c>
      <c r="AB454" s="43" t="e">
        <f>GEOMEAN(AB274:AB339)</f>
        <v>#DIV/0!</v>
      </c>
      <c r="AC454" s="43" t="e">
        <f>GEOMEAN(AC274:AC339)</f>
        <v>#DIV/0!</v>
      </c>
      <c r="AD454" s="256" t="str">
        <f>C454</f>
        <v>Class B1_SYN</v>
      </c>
      <c r="AE454" s="68" t="s">
        <v>123</v>
      </c>
      <c r="AF454" s="257" t="s">
        <v>126</v>
      </c>
      <c r="AG454" s="58" t="e">
        <f>AVERAGE(AG274,AG280,AG286,AG292,AG298,AG304,AG310,AG316,AG322,AG328,AG334)</f>
        <v>#VALUE!</v>
      </c>
      <c r="AH454" s="26" t="e">
        <f>AVERAGE(AH274:AH339)</f>
        <v>#VALUE!</v>
      </c>
      <c r="AI454" s="26" t="e">
        <f>AVERAGE(AI274:AI339)</f>
        <v>#VALUE!</v>
      </c>
      <c r="AJ454" s="26" t="e">
        <f>AVERAGE(AJ274:AJ339)</f>
        <v>#VALUE!</v>
      </c>
      <c r="AK454" s="58" t="e">
        <f>AVERAGE(AK274,AK280,AK286,AK292,AK298,AK304,AK310,AK316,AK322,AK328,AK334)</f>
        <v>#VALUE!</v>
      </c>
      <c r="AL454" s="26" t="e">
        <f>AVERAGE(AL274:AL339)</f>
        <v>#VALUE!</v>
      </c>
      <c r="AM454" s="58" t="e">
        <f>AVERAGE(AM274,AM280,AM286,AM292,AM298,AM304,AM310,AM316,AM322,AM328,AM334)</f>
        <v>#VALUE!</v>
      </c>
      <c r="AN454" s="26" t="e">
        <f>AVERAGE(AN274:AN339)</f>
        <v>#VALUE!</v>
      </c>
      <c r="AO454" s="58" t="e">
        <f>AVERAGE(AO274,AO280,AO286,AO292,AO298,AO304,AO310,AO316,AO322,AO328,AO334)</f>
        <v>#VALUE!</v>
      </c>
      <c r="AP454" s="27" t="e">
        <f>AVERAGE(AP274:AP339)</f>
        <v>#VALUE!</v>
      </c>
    </row>
    <row r="455" spans="3:42" ht="17.100000000000001" customHeight="1" x14ac:dyDescent="0.25">
      <c r="N455" s="6" t="s">
        <v>133</v>
      </c>
      <c r="O455" s="43">
        <f>SUM(O274:O339)</f>
        <v>0</v>
      </c>
      <c r="P455" s="43">
        <f>SUM(P274:P339)</f>
        <v>0</v>
      </c>
      <c r="Z455" s="43">
        <f>SUM(Z274:Z339)</f>
        <v>0</v>
      </c>
      <c r="AA455" s="43">
        <f>SUM(AA274:AA339)</f>
        <v>0</v>
      </c>
      <c r="AB455" s="43" t="e">
        <f>SUM(AB274:AB339)</f>
        <v>#DIV/0!</v>
      </c>
      <c r="AC455" s="43" t="e">
        <f>SUM(AC274:AC339)</f>
        <v>#DIV/0!</v>
      </c>
      <c r="AD455" s="256"/>
      <c r="AE455" s="69" t="s">
        <v>124</v>
      </c>
      <c r="AF455" s="258"/>
      <c r="AG455" s="59" t="e">
        <f>MIN(AG274,AG280,AG286,AG292,AG298,AG304,AG310,AG316,AG322,AG328,AG334)</f>
        <v>#VALUE!</v>
      </c>
      <c r="AH455" s="25" t="e">
        <f>MIN(AH274:AH339)</f>
        <v>#VALUE!</v>
      </c>
      <c r="AI455" s="25" t="e">
        <f>MIN(AI274:AI339)</f>
        <v>#VALUE!</v>
      </c>
      <c r="AJ455" s="25" t="e">
        <f>MIN(AJ274:AJ339)</f>
        <v>#VALUE!</v>
      </c>
      <c r="AK455" s="59" t="e">
        <f>MIN(AK274,AK280,AK286,AK292,AK298,AK304,AK310,AK316,AK322,AK328,AK334)</f>
        <v>#VALUE!</v>
      </c>
      <c r="AL455" s="25" t="e">
        <f>MIN(AL274:AL339)</f>
        <v>#VALUE!</v>
      </c>
      <c r="AM455" s="59" t="e">
        <f>MIN(AM274,AM280,AM286,AM292,AM298,AM304,AM310,AM316,AM322,AM328,AM334)</f>
        <v>#VALUE!</v>
      </c>
      <c r="AN455" s="25" t="e">
        <f>MIN(AN274:AN339)</f>
        <v>#VALUE!</v>
      </c>
      <c r="AO455" s="59" t="e">
        <f>MIN(AO274,AO280,AO286,AO292,AO298,AO304,AO310,AO316,AO322,AO328,AO334)</f>
        <v>#VALUE!</v>
      </c>
      <c r="AP455" s="29" t="e">
        <f>MIN(AP274:AP339)</f>
        <v>#VALUE!</v>
      </c>
    </row>
    <row r="456" spans="3:42" ht="17.100000000000001" customHeight="1" thickBot="1" x14ac:dyDescent="0.3">
      <c r="N456" s="6" t="s">
        <v>125</v>
      </c>
      <c r="O456" s="43">
        <f>MAX(O274:O339)</f>
        <v>0</v>
      </c>
      <c r="P456" s="43">
        <f>MAX(P274:P339)</f>
        <v>0</v>
      </c>
      <c r="Z456" s="43">
        <f>MAX(Z274:Z339)</f>
        <v>0</v>
      </c>
      <c r="AA456" s="43">
        <f>MAX(AA274:AA339)</f>
        <v>0</v>
      </c>
      <c r="AB456" s="43" t="e">
        <f>MAX(AB274:AB339)</f>
        <v>#DIV/0!</v>
      </c>
      <c r="AC456" s="43" t="e">
        <f>MAX(AC274:AC339)</f>
        <v>#DIV/0!</v>
      </c>
      <c r="AD456" s="256"/>
      <c r="AE456" s="69" t="s">
        <v>125</v>
      </c>
      <c r="AF456" s="259"/>
      <c r="AG456" s="60" t="e">
        <f>MAX(AG274,AG280,AG286,AG292,AG298,AG304,AG310,AG316,AG322,AG328,AG334)</f>
        <v>#VALUE!</v>
      </c>
      <c r="AH456" s="28" t="e">
        <f>MAX(AH274:AH339)</f>
        <v>#VALUE!</v>
      </c>
      <c r="AI456" s="28" t="e">
        <f>MAX(AI274:AI339)</f>
        <v>#VALUE!</v>
      </c>
      <c r="AJ456" s="28" t="e">
        <f>MAX(AJ274:AJ339)</f>
        <v>#VALUE!</v>
      </c>
      <c r="AK456" s="60" t="e">
        <f>MAX(AK274,AK280,AK286,AK292,AK298,AK304,AK310,AK316,AK322,AK328,AK334)</f>
        <v>#VALUE!</v>
      </c>
      <c r="AL456" s="28" t="e">
        <f>MAX(AL274:AL339)</f>
        <v>#VALUE!</v>
      </c>
      <c r="AM456" s="60" t="e">
        <f>MAX(AM274,AM280,AM286,AM292,AM298,AM304,AM310,AM316,AM322,AM328,AM334)</f>
        <v>#VALUE!</v>
      </c>
      <c r="AN456" s="28" t="e">
        <f>MAX(AN274:AN339)</f>
        <v>#VALUE!</v>
      </c>
      <c r="AO456" s="60" t="e">
        <f>MAX(AO274,AO280,AO286,AO292,AO298,AO304,AO310,AO316,AO322,AO328,AO334)</f>
        <v>#VALUE!</v>
      </c>
      <c r="AP456" s="30" t="e">
        <f>MAX(AP274:AP339)</f>
        <v>#VALUE!</v>
      </c>
    </row>
    <row r="457" spans="3:42" ht="17.100000000000001" customHeight="1" x14ac:dyDescent="0.25">
      <c r="N457" s="6" t="s">
        <v>124</v>
      </c>
      <c r="O457" s="43">
        <f>MIN(O274:O339)</f>
        <v>0</v>
      </c>
      <c r="P457" s="43">
        <f>MIN(P274:P339)</f>
        <v>0</v>
      </c>
      <c r="Z457" s="43">
        <f>MIN(Z274:Z339)</f>
        <v>0</v>
      </c>
      <c r="AA457" s="43">
        <f>MIN(AA274:AA339)</f>
        <v>0</v>
      </c>
      <c r="AB457" s="43" t="e">
        <f>MIN(AB274:AB339)</f>
        <v>#DIV/0!</v>
      </c>
      <c r="AC457" s="43" t="e">
        <f>MIN(AC274:AC339)</f>
        <v>#DIV/0!</v>
      </c>
      <c r="AD457" s="256"/>
      <c r="AE457" s="69" t="s">
        <v>123</v>
      </c>
      <c r="AF457" s="263" t="s">
        <v>127</v>
      </c>
      <c r="AG457" s="58" t="e">
        <f>AVERAGE(AG276,AG282,AG288,AG294,AG300,AG306,AG312,AG318,AG324,AG330,AG336)</f>
        <v>#VALUE!</v>
      </c>
      <c r="AH457" s="272"/>
      <c r="AI457" s="273"/>
      <c r="AJ457" s="274"/>
      <c r="AK457" s="58" t="e">
        <f>AVERAGE(AK276,AK282,AK288,AK294,AK300,AK306,AK312,AK318,AK324,AK330,AK336)</f>
        <v>#VALUE!</v>
      </c>
      <c r="AL457" s="281"/>
      <c r="AM457" s="58" t="e">
        <f>AVERAGE(AM276,AM282,AM288,AM294,AM300,AM306,AM312,AM318,AM324,AM330,AM336)</f>
        <v>#VALUE!</v>
      </c>
      <c r="AN457" s="281"/>
      <c r="AO457" s="58" t="e">
        <f>AVERAGE(AO276,AO282,AO288,AO294,AO300,AO306,AO312,AO318,AO324,AO330,AO336)</f>
        <v>#VALUE!</v>
      </c>
      <c r="AP457" s="281"/>
    </row>
    <row r="458" spans="3:42" ht="17.100000000000001" customHeight="1" x14ac:dyDescent="0.25">
      <c r="N458" s="6" t="s">
        <v>134</v>
      </c>
      <c r="O458" s="43"/>
      <c r="P458" s="43"/>
      <c r="Z458" s="112" t="e">
        <f>Z454/O454</f>
        <v>#NUM!</v>
      </c>
      <c r="AA458" s="112" t="e">
        <f>AA454/P454</f>
        <v>#NUM!</v>
      </c>
      <c r="AB458" s="43"/>
      <c r="AC458" s="43"/>
      <c r="AD458" s="256"/>
      <c r="AE458" s="69" t="s">
        <v>124</v>
      </c>
      <c r="AF458" s="264"/>
      <c r="AG458" s="59" t="e">
        <f>MIN(AG276,AG282,AG288,AG294,AG300,AG306,AG312,AG318,AG324,AG330,AG336)</f>
        <v>#VALUE!</v>
      </c>
      <c r="AH458" s="275"/>
      <c r="AI458" s="276"/>
      <c r="AJ458" s="277"/>
      <c r="AK458" s="59" t="e">
        <f>MIN(AK276,AK282,AK288,AK294,AK300,AK306,AK312,AK318,AK324,AK330,AK336)</f>
        <v>#VALUE!</v>
      </c>
      <c r="AL458" s="282"/>
      <c r="AM458" s="59" t="e">
        <f>MIN(AM276,AM282,AM288,AM294,AM300,AM306,AM312,AM318,AM324,AM330,AM336)</f>
        <v>#VALUE!</v>
      </c>
      <c r="AN458" s="282"/>
      <c r="AO458" s="59" t="e">
        <f>MIN(AO276,AO282,AO288,AO294,AO300,AO306,AO312,AO318,AO324,AO330,AO336)</f>
        <v>#VALUE!</v>
      </c>
      <c r="AP458" s="282"/>
    </row>
    <row r="459" spans="3:42" ht="17.100000000000001" customHeight="1" thickBot="1" x14ac:dyDescent="0.3">
      <c r="O459" s="43"/>
      <c r="P459" s="43"/>
      <c r="Z459" s="43"/>
      <c r="AA459" s="43"/>
      <c r="AB459" s="43"/>
      <c r="AC459" s="43"/>
      <c r="AD459" s="256"/>
      <c r="AE459" s="69" t="s">
        <v>125</v>
      </c>
      <c r="AF459" s="265"/>
      <c r="AG459" s="60" t="e">
        <f>MAX(AG276,AG282,AG288,AG294,AG300,AG306,AG312,AG318,AG324,AG330,AG336)</f>
        <v>#VALUE!</v>
      </c>
      <c r="AH459" s="275"/>
      <c r="AI459" s="276"/>
      <c r="AJ459" s="277"/>
      <c r="AK459" s="60" t="e">
        <f>MAX(AK276,AK282,AK288,AK294,AK300,AK306,AK312,AK318,AK324,AK330,AK336)</f>
        <v>#VALUE!</v>
      </c>
      <c r="AL459" s="282"/>
      <c r="AM459" s="60" t="e">
        <f>MAX(AM276,AM282,AM288,AM294,AM300,AM306,AM312,AM318,AM324,AM330,AM336)</f>
        <v>#VALUE!</v>
      </c>
      <c r="AN459" s="282"/>
      <c r="AO459" s="60" t="e">
        <f>MAX(AO276,AO282,AO288,AO294,AO300,AO306,AO312,AO318,AO324,AO330,AO336)</f>
        <v>#VALUE!</v>
      </c>
      <c r="AP459" s="282"/>
    </row>
    <row r="460" spans="3:42" ht="17.100000000000001" customHeight="1" x14ac:dyDescent="0.25">
      <c r="O460" s="43"/>
      <c r="P460" s="43"/>
      <c r="Z460" s="43"/>
      <c r="AA460" s="43"/>
      <c r="AB460" s="43"/>
      <c r="AC460" s="43"/>
      <c r="AD460" s="256"/>
      <c r="AE460" s="64" t="s">
        <v>123</v>
      </c>
      <c r="AF460" s="266" t="s">
        <v>128</v>
      </c>
      <c r="AG460" s="63" t="e">
        <f>AVERAGE(AG278,AG284,AG290,AG296,AG302,AG308,AG314,AG320,AG326,AG332,AG338)</f>
        <v>#VALUE!</v>
      </c>
      <c r="AH460" s="275"/>
      <c r="AI460" s="276"/>
      <c r="AJ460" s="277"/>
      <c r="AK460" s="63" t="e">
        <f>AVERAGE(AK278,AK284,AK290,AK296,AK302,AK308,AK314,AK320,AK326,AK332,AK338)</f>
        <v>#VALUE!</v>
      </c>
      <c r="AL460" s="282"/>
      <c r="AM460" s="63" t="e">
        <f>AVERAGE(AM278,AM284,AM290,AM296,AM302,AM308,AM314,AM320,AM326,AM332,AM338)</f>
        <v>#VALUE!</v>
      </c>
      <c r="AN460" s="282"/>
      <c r="AO460" s="63" t="e">
        <f>AVERAGE(AO278,AO284,AO290,AO296,AO302,AO308,AO314,AO320,AO326,AO332,AO338)</f>
        <v>#VALUE!</v>
      </c>
      <c r="AP460" s="282"/>
    </row>
    <row r="461" spans="3:42" ht="17.100000000000001" customHeight="1" x14ac:dyDescent="0.25">
      <c r="O461" s="43"/>
      <c r="P461" s="43"/>
      <c r="Z461" s="43"/>
      <c r="AA461" s="43"/>
      <c r="AB461" s="43"/>
      <c r="AC461" s="43"/>
      <c r="AD461" s="256"/>
      <c r="AE461" s="64" t="s">
        <v>124</v>
      </c>
      <c r="AF461" s="267"/>
      <c r="AG461" s="59" t="e">
        <f>MIN(AG278,AG284,AG290,AG296,AG302,AG308,AG314,AG320,AG326,AG332,AG338)</f>
        <v>#VALUE!</v>
      </c>
      <c r="AH461" s="275"/>
      <c r="AI461" s="276"/>
      <c r="AJ461" s="277"/>
      <c r="AK461" s="59" t="e">
        <f>MIN(AK278,AK284,AK290,AK296,AK302,AK308,AK314,AK320,AK326,AK332,AK338)</f>
        <v>#VALUE!</v>
      </c>
      <c r="AL461" s="282"/>
      <c r="AM461" s="59" t="e">
        <f>MIN(AM278,AM284,AM290,AM296,AM302,AM308,AM314,AM320,AM326,AM332,AM338)</f>
        <v>#VALUE!</v>
      </c>
      <c r="AN461" s="282"/>
      <c r="AO461" s="59" t="e">
        <f>MIN(AO278,AO284,AO290,AO296,AO302,AO308,AO314,AO320,AO326,AO332,AO338)</f>
        <v>#VALUE!</v>
      </c>
      <c r="AP461" s="282"/>
    </row>
    <row r="462" spans="3:42" ht="17.100000000000001" customHeight="1" thickBot="1" x14ac:dyDescent="0.3">
      <c r="O462" s="43"/>
      <c r="P462" s="43"/>
      <c r="Z462" s="43"/>
      <c r="AA462" s="43"/>
      <c r="AB462" s="43"/>
      <c r="AC462" s="43"/>
      <c r="AD462" s="256"/>
      <c r="AE462" s="65" t="s">
        <v>125</v>
      </c>
      <c r="AF462" s="268"/>
      <c r="AG462" s="60" t="e">
        <f>MAX(AG278,AG284,AG290,AG296,AG302,AG308,AG314,AG320,AG326,AG332,AG338)</f>
        <v>#VALUE!</v>
      </c>
      <c r="AH462" s="278"/>
      <c r="AI462" s="279"/>
      <c r="AJ462" s="280"/>
      <c r="AK462" s="60" t="e">
        <f>MAX(AK278,AK284,AK290,AK296,AK302,AK308,AK314,AK320,AK326,AK332,AK338)</f>
        <v>#VALUE!</v>
      </c>
      <c r="AL462" s="283"/>
      <c r="AM462" s="60" t="e">
        <f>MAX(AM278,AM284,AM290,AM296,AM302,AM308,AM314,AM320,AM326,AM332,AM338)</f>
        <v>#VALUE!</v>
      </c>
      <c r="AN462" s="283"/>
      <c r="AO462" s="60" t="e">
        <f>MAX(AO278,AO284,AO290,AO296,AO302,AO308,AO314,AO320,AO326,AO332,AO338)</f>
        <v>#VALUE!</v>
      </c>
      <c r="AP462" s="283"/>
    </row>
    <row r="463" spans="3:42" ht="17.100000000000001" customHeight="1" x14ac:dyDescent="0.25">
      <c r="C463" s="4" t="s">
        <v>104</v>
      </c>
      <c r="N463" s="6" t="s">
        <v>132</v>
      </c>
      <c r="O463" s="43" t="e">
        <f>GEOMEAN(O340:O363)</f>
        <v>#NUM!</v>
      </c>
      <c r="P463" s="43" t="e">
        <f>GEOMEAN(P340:P363)</f>
        <v>#NUM!</v>
      </c>
      <c r="Z463" s="43" t="e">
        <f>GEOMEAN(Z340:Z363)</f>
        <v>#NUM!</v>
      </c>
      <c r="AA463" s="43" t="e">
        <f>GEOMEAN(AA340:AA363)</f>
        <v>#NUM!</v>
      </c>
      <c r="AB463" s="43" t="e">
        <f>GEOMEAN(AB340:AB363)</f>
        <v>#DIV/0!</v>
      </c>
      <c r="AC463" s="43" t="e">
        <f>GEOMEAN(AC340:AC363)</f>
        <v>#DIV/0!</v>
      </c>
      <c r="AD463" s="256" t="str">
        <f>C463</f>
        <v>Class HDR1_4K</v>
      </c>
      <c r="AE463" s="68" t="s">
        <v>123</v>
      </c>
      <c r="AF463" s="257" t="s">
        <v>126</v>
      </c>
      <c r="AG463" s="58" t="e">
        <f>AVERAGE(AG340,AG346,AG352,AG358)</f>
        <v>#VALUE!</v>
      </c>
      <c r="AH463" s="26" t="e">
        <f>AVERAGE(AH340:AH363)</f>
        <v>#VALUE!</v>
      </c>
      <c r="AI463" s="26" t="e">
        <f>AVERAGE(AI340:AI363)</f>
        <v>#VALUE!</v>
      </c>
      <c r="AJ463" s="26" t="e">
        <f>AVERAGE(AJ340:AJ363)</f>
        <v>#VALUE!</v>
      </c>
      <c r="AK463" s="58" t="e">
        <f>AVERAGE(AK340,AK346,AK352,AK358)</f>
        <v>#VALUE!</v>
      </c>
      <c r="AL463" s="26" t="e">
        <f>AVERAGE(AL340:AL363)</f>
        <v>#VALUE!</v>
      </c>
      <c r="AM463" s="58" t="e">
        <f>AVERAGE(AM340,AM346,AM352,AM358)</f>
        <v>#VALUE!</v>
      </c>
      <c r="AN463" s="26" t="e">
        <f>AVERAGE(AN340:AN363)</f>
        <v>#VALUE!</v>
      </c>
      <c r="AO463" s="58" t="e">
        <f>AVERAGE(AO340,AO346,AO352,AO358)</f>
        <v>#VALUE!</v>
      </c>
      <c r="AP463" s="27" t="e">
        <f>AVERAGE(AP340:AP363)</f>
        <v>#VALUE!</v>
      </c>
    </row>
    <row r="464" spans="3:42" ht="17.100000000000001" customHeight="1" x14ac:dyDescent="0.25">
      <c r="N464" s="6" t="s">
        <v>133</v>
      </c>
      <c r="O464" s="43">
        <f>SUM(O340:O363)</f>
        <v>0</v>
      </c>
      <c r="P464" s="43">
        <f>SUM(P340:P363)</f>
        <v>0</v>
      </c>
      <c r="Z464" s="43">
        <f>SUM(Z340:Z363)</f>
        <v>0</v>
      </c>
      <c r="AA464" s="43">
        <f>SUM(AA340:AA363)</f>
        <v>0</v>
      </c>
      <c r="AB464" s="43" t="e">
        <f>SUM(AB340:AB363)</f>
        <v>#DIV/0!</v>
      </c>
      <c r="AC464" s="43" t="e">
        <f>SUM(AC340:AC363)</f>
        <v>#DIV/0!</v>
      </c>
      <c r="AD464" s="256"/>
      <c r="AE464" s="69" t="s">
        <v>124</v>
      </c>
      <c r="AF464" s="258"/>
      <c r="AG464" s="59" t="e">
        <f>MIN(AG340,AG346,AG352,AG358)</f>
        <v>#VALUE!</v>
      </c>
      <c r="AH464" s="25" t="e">
        <f>MIN(AH340:AH363)</f>
        <v>#VALUE!</v>
      </c>
      <c r="AI464" s="25" t="e">
        <f>MIN(AI340:AI363)</f>
        <v>#VALUE!</v>
      </c>
      <c r="AJ464" s="25" t="e">
        <f>MIN(AJ340:AJ363)</f>
        <v>#VALUE!</v>
      </c>
      <c r="AK464" s="59" t="e">
        <f>MIN(AK340,AK346,AK352,AK358)</f>
        <v>#VALUE!</v>
      </c>
      <c r="AL464" s="25" t="e">
        <f>MIN(AL340:AL363)</f>
        <v>#VALUE!</v>
      </c>
      <c r="AM464" s="59" t="e">
        <f>MIN(AM340,AM346,AM352,AM358)</f>
        <v>#VALUE!</v>
      </c>
      <c r="AN464" s="25" t="e">
        <f>MIN(AN340:AN363)</f>
        <v>#VALUE!</v>
      </c>
      <c r="AO464" s="59" t="e">
        <f>MIN(AO340,AO346,AO352,AO358)</f>
        <v>#VALUE!</v>
      </c>
      <c r="AP464" s="29" t="e">
        <f>MIN(AP340:AP363)</f>
        <v>#VALUE!</v>
      </c>
    </row>
    <row r="465" spans="3:42" ht="17.100000000000001" customHeight="1" thickBot="1" x14ac:dyDescent="0.3">
      <c r="N465" s="6" t="s">
        <v>125</v>
      </c>
      <c r="O465" s="43">
        <f>MAX(O340:O363)</f>
        <v>0</v>
      </c>
      <c r="P465" s="43">
        <f>MAX(P340:P363)</f>
        <v>0</v>
      </c>
      <c r="Z465" s="43">
        <f>MAX(Z340:Z363)</f>
        <v>0</v>
      </c>
      <c r="AA465" s="43">
        <f>MAX(AA340:AA363)</f>
        <v>0</v>
      </c>
      <c r="AB465" s="43" t="e">
        <f>MAX(AB340:AB363)</f>
        <v>#DIV/0!</v>
      </c>
      <c r="AC465" s="43" t="e">
        <f>MAX(AC340:AC363)</f>
        <v>#DIV/0!</v>
      </c>
      <c r="AD465" s="256"/>
      <c r="AE465" s="69" t="s">
        <v>125</v>
      </c>
      <c r="AF465" s="259"/>
      <c r="AG465" s="60" t="e">
        <f>MAX(AG340,AG346,AG352,AG358)</f>
        <v>#VALUE!</v>
      </c>
      <c r="AH465" s="28" t="e">
        <f>MAX(AH340:AH363)</f>
        <v>#VALUE!</v>
      </c>
      <c r="AI465" s="28" t="e">
        <f>MAX(AI340:AI363)</f>
        <v>#VALUE!</v>
      </c>
      <c r="AJ465" s="28" t="e">
        <f>MAX(AJ340:AJ363)</f>
        <v>#VALUE!</v>
      </c>
      <c r="AK465" s="60" t="e">
        <f>MAX(AK340,AK346,AK352,AK358)</f>
        <v>#VALUE!</v>
      </c>
      <c r="AL465" s="28" t="e">
        <f>MAX(AL340:AL363)</f>
        <v>#VALUE!</v>
      </c>
      <c r="AM465" s="60" t="e">
        <f>MAX(AM340,AM346,AM352,AM358)</f>
        <v>#VALUE!</v>
      </c>
      <c r="AN465" s="28" t="e">
        <f>MAX(AN340:AN363)</f>
        <v>#VALUE!</v>
      </c>
      <c r="AO465" s="60" t="e">
        <f>MAX(AO340,AO346,AO352,AO358)</f>
        <v>#VALUE!</v>
      </c>
      <c r="AP465" s="30" t="e">
        <f>MAX(AP340:AP363)</f>
        <v>#VALUE!</v>
      </c>
    </row>
    <row r="466" spans="3:42" ht="17.100000000000001" customHeight="1" x14ac:dyDescent="0.25">
      <c r="N466" s="6" t="s">
        <v>124</v>
      </c>
      <c r="O466" s="43">
        <f>MIN(O340:O363)</f>
        <v>0</v>
      </c>
      <c r="P466" s="43">
        <f>MIN(P340:P363)</f>
        <v>0</v>
      </c>
      <c r="Z466" s="43">
        <f>MIN(Z340:Z363)</f>
        <v>0</v>
      </c>
      <c r="AA466" s="43">
        <f>MIN(AA340:AA363)</f>
        <v>0</v>
      </c>
      <c r="AB466" s="43" t="e">
        <f>MIN(AB340:AB363)</f>
        <v>#DIV/0!</v>
      </c>
      <c r="AC466" s="43" t="e">
        <f>MIN(AC340:AC363)</f>
        <v>#DIV/0!</v>
      </c>
      <c r="AD466" s="256"/>
      <c r="AE466" s="69" t="s">
        <v>123</v>
      </c>
      <c r="AF466" s="263" t="s">
        <v>127</v>
      </c>
      <c r="AG466" s="58" t="e">
        <f>AVERAGE(AG342,AG348,AG354,AG360)</f>
        <v>#VALUE!</v>
      </c>
      <c r="AH466" s="272"/>
      <c r="AI466" s="273"/>
      <c r="AJ466" s="274"/>
      <c r="AK466" s="58" t="e">
        <f>AVERAGE(AK342,AK348,AK354,AK360)</f>
        <v>#VALUE!</v>
      </c>
      <c r="AL466" s="281"/>
      <c r="AM466" s="58" t="e">
        <f>AVERAGE(AM342,AM348,AM354,AM360)</f>
        <v>#VALUE!</v>
      </c>
      <c r="AN466" s="281"/>
      <c r="AO466" s="58" t="e">
        <f>AVERAGE(AO342,AO348,AO354,AO360)</f>
        <v>#VALUE!</v>
      </c>
      <c r="AP466" s="281"/>
    </row>
    <row r="467" spans="3:42" ht="17.100000000000001" customHeight="1" x14ac:dyDescent="0.25">
      <c r="N467" s="6" t="s">
        <v>134</v>
      </c>
      <c r="O467" s="43"/>
      <c r="P467" s="43"/>
      <c r="Z467" s="112" t="e">
        <f>Z463/O463</f>
        <v>#NUM!</v>
      </c>
      <c r="AA467" s="112" t="e">
        <f>AA463/P463</f>
        <v>#NUM!</v>
      </c>
      <c r="AB467" s="43"/>
      <c r="AC467" s="43"/>
      <c r="AD467" s="256"/>
      <c r="AE467" s="69" t="s">
        <v>124</v>
      </c>
      <c r="AF467" s="264"/>
      <c r="AG467" s="59" t="e">
        <f>MIN(AG342,AG348,AG354,AG360)</f>
        <v>#VALUE!</v>
      </c>
      <c r="AH467" s="275"/>
      <c r="AI467" s="276"/>
      <c r="AJ467" s="277"/>
      <c r="AK467" s="59" t="e">
        <f>MIN(AK342,AK348,AK354,AK360)</f>
        <v>#VALUE!</v>
      </c>
      <c r="AL467" s="282"/>
      <c r="AM467" s="59" t="e">
        <f>MIN(AM342,AM348,AM354,AM360)</f>
        <v>#VALUE!</v>
      </c>
      <c r="AN467" s="282"/>
      <c r="AO467" s="59" t="e">
        <f>MIN(AO342,AO348,AO354,AO360)</f>
        <v>#VALUE!</v>
      </c>
      <c r="AP467" s="282"/>
    </row>
    <row r="468" spans="3:42" ht="17.100000000000001" customHeight="1" thickBot="1" x14ac:dyDescent="0.3">
      <c r="O468" s="43"/>
      <c r="P468" s="43"/>
      <c r="Z468" s="43"/>
      <c r="AA468" s="43"/>
      <c r="AB468" s="43"/>
      <c r="AC468" s="43"/>
      <c r="AD468" s="256"/>
      <c r="AE468" s="69" t="s">
        <v>125</v>
      </c>
      <c r="AF468" s="265"/>
      <c r="AG468" s="60" t="e">
        <f>MAX(AG342,AG348,AG354,AG360)</f>
        <v>#VALUE!</v>
      </c>
      <c r="AH468" s="275"/>
      <c r="AI468" s="276"/>
      <c r="AJ468" s="277"/>
      <c r="AK468" s="60" t="e">
        <f>MAX(AK342,AK348,AK354,AK360)</f>
        <v>#VALUE!</v>
      </c>
      <c r="AL468" s="282"/>
      <c r="AM468" s="60" t="e">
        <f>MAX(AM342,AM348,AM354,AM360)</f>
        <v>#VALUE!</v>
      </c>
      <c r="AN468" s="282"/>
      <c r="AO468" s="60" t="e">
        <f>MAX(AO342,AO348,AO354,AO360)</f>
        <v>#VALUE!</v>
      </c>
      <c r="AP468" s="282"/>
    </row>
    <row r="469" spans="3:42" ht="17.100000000000001" customHeight="1" x14ac:dyDescent="0.25">
      <c r="O469" s="43"/>
      <c r="P469" s="43"/>
      <c r="Z469" s="43"/>
      <c r="AA469" s="43"/>
      <c r="AB469" s="43"/>
      <c r="AC469" s="43"/>
      <c r="AD469" s="256"/>
      <c r="AE469" s="64" t="s">
        <v>123</v>
      </c>
      <c r="AF469" s="266" t="s">
        <v>128</v>
      </c>
      <c r="AG469" s="63" t="e">
        <f>AVERAGE(AG344,AG350,AG356,AG362)</f>
        <v>#VALUE!</v>
      </c>
      <c r="AH469" s="275"/>
      <c r="AI469" s="276"/>
      <c r="AJ469" s="277"/>
      <c r="AK469" s="63" t="e">
        <f>AVERAGE(AK344,AK350,AK356,AK362)</f>
        <v>#VALUE!</v>
      </c>
      <c r="AL469" s="282"/>
      <c r="AM469" s="63" t="e">
        <f>AVERAGE(AM344,AM350,AM356,AM362)</f>
        <v>#VALUE!</v>
      </c>
      <c r="AN469" s="282"/>
      <c r="AO469" s="63" t="e">
        <f>AVERAGE(AO344,AO350,AO356,AO362)</f>
        <v>#VALUE!</v>
      </c>
      <c r="AP469" s="282"/>
    </row>
    <row r="470" spans="3:42" ht="17.100000000000001" customHeight="1" x14ac:dyDescent="0.25">
      <c r="O470" s="43"/>
      <c r="P470" s="43"/>
      <c r="Z470" s="43"/>
      <c r="AA470" s="43"/>
      <c r="AB470" s="43"/>
      <c r="AC470" s="43"/>
      <c r="AD470" s="256"/>
      <c r="AE470" s="64" t="s">
        <v>124</v>
      </c>
      <c r="AF470" s="267"/>
      <c r="AG470" s="59" t="e">
        <f>MIN(AG344,AG350,AG356,AG362)</f>
        <v>#VALUE!</v>
      </c>
      <c r="AH470" s="275"/>
      <c r="AI470" s="276"/>
      <c r="AJ470" s="277"/>
      <c r="AK470" s="59" t="e">
        <f>MIN(AK344,AK350,AK356,AK362)</f>
        <v>#VALUE!</v>
      </c>
      <c r="AL470" s="282"/>
      <c r="AM470" s="59" t="e">
        <f>MIN(AM344,AM350,AM356,AM362)</f>
        <v>#VALUE!</v>
      </c>
      <c r="AN470" s="282"/>
      <c r="AO470" s="59" t="e">
        <f>MIN(AO344,AO350,AO356,AO362)</f>
        <v>#VALUE!</v>
      </c>
      <c r="AP470" s="282"/>
    </row>
    <row r="471" spans="3:42" ht="17.100000000000001" customHeight="1" thickBot="1" x14ac:dyDescent="0.3">
      <c r="O471" s="43"/>
      <c r="P471" s="43"/>
      <c r="Z471" s="43"/>
      <c r="AA471" s="43"/>
      <c r="AB471" s="43"/>
      <c r="AC471" s="43"/>
      <c r="AD471" s="256"/>
      <c r="AE471" s="65" t="s">
        <v>125</v>
      </c>
      <c r="AF471" s="268"/>
      <c r="AG471" s="60" t="e">
        <f>MAX(AG344,AG350,AG356,AG362)</f>
        <v>#VALUE!</v>
      </c>
      <c r="AH471" s="278"/>
      <c r="AI471" s="279"/>
      <c r="AJ471" s="280"/>
      <c r="AK471" s="60" t="e">
        <f>MAX(AK344,AK350,AK356,AK362)</f>
        <v>#VALUE!</v>
      </c>
      <c r="AL471" s="283"/>
      <c r="AM471" s="60" t="e">
        <f>MAX(AM344,AM350,AM356,AM362)</f>
        <v>#VALUE!</v>
      </c>
      <c r="AN471" s="283"/>
      <c r="AO471" s="60" t="e">
        <f>MAX(AO344,AO350,AO356,AO362)</f>
        <v>#VALUE!</v>
      </c>
      <c r="AP471" s="283"/>
    </row>
    <row r="472" spans="3:42" ht="17.100000000000001" customHeight="1" x14ac:dyDescent="0.25">
      <c r="C472" s="4" t="s">
        <v>105</v>
      </c>
      <c r="N472" s="6" t="s">
        <v>132</v>
      </c>
      <c r="O472" s="43" t="e">
        <f>GEOMEAN(O364:O405)</f>
        <v>#NUM!</v>
      </c>
      <c r="P472" s="43" t="e">
        <f>GEOMEAN(P364:P405)</f>
        <v>#NUM!</v>
      </c>
      <c r="Z472" s="43" t="e">
        <f>GEOMEAN(Z364:Z405)</f>
        <v>#NUM!</v>
      </c>
      <c r="AA472" s="43" t="e">
        <f>GEOMEAN(AA364:AA405)</f>
        <v>#NUM!</v>
      </c>
      <c r="AB472" s="43" t="e">
        <f>GEOMEAN(AB364:AB405)</f>
        <v>#DIV/0!</v>
      </c>
      <c r="AC472" s="43" t="e">
        <f>GEOMEAN(AC364:AC405)</f>
        <v>#DIV/0!</v>
      </c>
      <c r="AD472" s="256" t="str">
        <f>C472</f>
        <v>Class HDR2_2K</v>
      </c>
      <c r="AE472" s="68" t="s">
        <v>123</v>
      </c>
      <c r="AF472" s="257" t="s">
        <v>126</v>
      </c>
      <c r="AG472" s="58" t="e">
        <f>AVERAGE(AG364,AG370,AG376,AG382,AG388,AG394,AG400)</f>
        <v>#VALUE!</v>
      </c>
      <c r="AH472" s="26" t="e">
        <f>AVERAGE(AH364:AH405)</f>
        <v>#VALUE!</v>
      </c>
      <c r="AI472" s="26" t="e">
        <f>AVERAGE(AI364:AI405)</f>
        <v>#VALUE!</v>
      </c>
      <c r="AJ472" s="26" t="e">
        <f>AVERAGE(AJ364:AJ405)</f>
        <v>#VALUE!</v>
      </c>
      <c r="AK472" s="58" t="e">
        <f>AVERAGE(AK364,AK370,AK376,AK382,AK388,AK394,AK400)</f>
        <v>#VALUE!</v>
      </c>
      <c r="AL472" s="26" t="e">
        <f>AVERAGE(AL364:AL405)</f>
        <v>#VALUE!</v>
      </c>
      <c r="AM472" s="58" t="e">
        <f>AVERAGE(AM364,AM370,AM376,AM382,AM388,AM394,AM400)</f>
        <v>#VALUE!</v>
      </c>
      <c r="AN472" s="26" t="e">
        <f>AVERAGE(AN364:AN405)</f>
        <v>#VALUE!</v>
      </c>
      <c r="AO472" s="58" t="e">
        <f>AVERAGE(AO364,AO370,AO376,AO382,AO388,AO394,AO400)</f>
        <v>#VALUE!</v>
      </c>
      <c r="AP472" s="27" t="e">
        <f>AVERAGE(AP364:AP405)</f>
        <v>#VALUE!</v>
      </c>
    </row>
    <row r="473" spans="3:42" ht="17.100000000000001" customHeight="1" x14ac:dyDescent="0.25">
      <c r="N473" s="6" t="s">
        <v>133</v>
      </c>
      <c r="O473" s="43">
        <f>SUM(O364:O405)</f>
        <v>0</v>
      </c>
      <c r="P473" s="43">
        <f>SUM(P364:P405)</f>
        <v>0</v>
      </c>
      <c r="Z473" s="43">
        <f>SUM(Z364:Z405)</f>
        <v>0</v>
      </c>
      <c r="AA473" s="43">
        <f>SUM(AA364:AA405)</f>
        <v>0</v>
      </c>
      <c r="AB473" s="43" t="e">
        <f>SUM(AB364:AB405)</f>
        <v>#DIV/0!</v>
      </c>
      <c r="AC473" s="43" t="e">
        <f>SUM(AC364:AC405)</f>
        <v>#DIV/0!</v>
      </c>
      <c r="AD473" s="256"/>
      <c r="AE473" s="69" t="s">
        <v>124</v>
      </c>
      <c r="AF473" s="258"/>
      <c r="AG473" s="59" t="e">
        <f>MIN(AG364,AG370,AG376,AG382,AG388,AG394,AG400)</f>
        <v>#VALUE!</v>
      </c>
      <c r="AH473" s="25" t="e">
        <f>MIN(AH364:AH405)</f>
        <v>#VALUE!</v>
      </c>
      <c r="AI473" s="25" t="e">
        <f>MIN(AI364:AI405)</f>
        <v>#VALUE!</v>
      </c>
      <c r="AJ473" s="25" t="e">
        <f>MIN(AJ364:AJ405)</f>
        <v>#VALUE!</v>
      </c>
      <c r="AK473" s="59" t="e">
        <f>MIN(AK364,AK370,AK376,AK382,AK388,AK394,AK400)</f>
        <v>#VALUE!</v>
      </c>
      <c r="AL473" s="25" t="e">
        <f>MIN(AL364:AL405)</f>
        <v>#VALUE!</v>
      </c>
      <c r="AM473" s="59" t="e">
        <f>MIN(AM364,AM370,AM376,AM382,AM388,AM394,AM400)</f>
        <v>#VALUE!</v>
      </c>
      <c r="AN473" s="25" t="e">
        <f>MIN(AN364:AN405)</f>
        <v>#VALUE!</v>
      </c>
      <c r="AO473" s="59" t="e">
        <f>MIN(AO364,AO370,AO376,AO382,AO388,AO394,AO400)</f>
        <v>#VALUE!</v>
      </c>
      <c r="AP473" s="29" t="e">
        <f>MIN(AP364:AP405)</f>
        <v>#VALUE!</v>
      </c>
    </row>
    <row r="474" spans="3:42" ht="17.100000000000001" customHeight="1" thickBot="1" x14ac:dyDescent="0.3">
      <c r="N474" s="6" t="s">
        <v>125</v>
      </c>
      <c r="O474" s="43">
        <f>MAX(O364:O405)</f>
        <v>0</v>
      </c>
      <c r="P474" s="43">
        <f>MAX(P364:P405)</f>
        <v>0</v>
      </c>
      <c r="Z474" s="43">
        <f>MAX(Z364:Z405)</f>
        <v>0</v>
      </c>
      <c r="AA474" s="43">
        <f>MAX(AA364:AA405)</f>
        <v>0</v>
      </c>
      <c r="AB474" s="43" t="e">
        <f>MAX(AB364:AB405)</f>
        <v>#DIV/0!</v>
      </c>
      <c r="AC474" s="43" t="e">
        <f>MAX(AC364:AC405)</f>
        <v>#DIV/0!</v>
      </c>
      <c r="AD474" s="256"/>
      <c r="AE474" s="69" t="s">
        <v>125</v>
      </c>
      <c r="AF474" s="259"/>
      <c r="AG474" s="60" t="e">
        <f>MAX(AG364,AG370,AG376,AG382,AG388,AG394,AG400)</f>
        <v>#VALUE!</v>
      </c>
      <c r="AH474" s="28" t="e">
        <f>MAX(AH364:AH405)</f>
        <v>#VALUE!</v>
      </c>
      <c r="AI474" s="28" t="e">
        <f>MAX(AI364:AI405)</f>
        <v>#VALUE!</v>
      </c>
      <c r="AJ474" s="28" t="e">
        <f>MAX(AJ364:AJ405)</f>
        <v>#VALUE!</v>
      </c>
      <c r="AK474" s="60" t="e">
        <f>MAX(AK364,AK370,AK376,AK382,AK388,AK394,AK400)</f>
        <v>#VALUE!</v>
      </c>
      <c r="AL474" s="28" t="e">
        <f>MAX(AL364:AL405)</f>
        <v>#VALUE!</v>
      </c>
      <c r="AM474" s="60" t="e">
        <f>MAX(AM364,AM370,AM376,AM382,AM388,AM394,AM400)</f>
        <v>#VALUE!</v>
      </c>
      <c r="AN474" s="28" t="e">
        <f>MAX(AN364:AN405)</f>
        <v>#VALUE!</v>
      </c>
      <c r="AO474" s="60" t="e">
        <f>MAX(AO364,AO370,AO376,AO382,AO388,AO394,AO400)</f>
        <v>#VALUE!</v>
      </c>
      <c r="AP474" s="30" t="e">
        <f>MAX(AP364:AP405)</f>
        <v>#VALUE!</v>
      </c>
    </row>
    <row r="475" spans="3:42" ht="17.100000000000001" customHeight="1" x14ac:dyDescent="0.25">
      <c r="N475" s="6" t="s">
        <v>124</v>
      </c>
      <c r="O475" s="43">
        <f>MIN(O364:O405)</f>
        <v>0</v>
      </c>
      <c r="P475" s="43">
        <f>MIN(P364:P405)</f>
        <v>0</v>
      </c>
      <c r="Z475" s="43">
        <f>MIN(Z364:Z405)</f>
        <v>0</v>
      </c>
      <c r="AA475" s="43">
        <f>MIN(AA364:AA405)</f>
        <v>0</v>
      </c>
      <c r="AB475" s="43" t="e">
        <f>MIN(AB364:AB405)</f>
        <v>#DIV/0!</v>
      </c>
      <c r="AC475" s="43" t="e">
        <f>MIN(AC364:AC405)</f>
        <v>#DIV/0!</v>
      </c>
      <c r="AD475" s="256"/>
      <c r="AE475" s="69" t="s">
        <v>123</v>
      </c>
      <c r="AF475" s="263" t="s">
        <v>127</v>
      </c>
      <c r="AG475" s="58" t="e">
        <f>AVERAGE(AG366,AG372,AG378,AG384,AG390,AG396,AG402)</f>
        <v>#VALUE!</v>
      </c>
      <c r="AH475" s="272"/>
      <c r="AI475" s="273"/>
      <c r="AJ475" s="274"/>
      <c r="AK475" s="58" t="e">
        <f>AVERAGE(AK366,AK372,AK378,AK384,AK390,AK396,AK402)</f>
        <v>#VALUE!</v>
      </c>
      <c r="AL475" s="281"/>
      <c r="AM475" s="58" t="e">
        <f>AVERAGE(AM366,AM372,AM378,AM384,AM390,AM396,AM402)</f>
        <v>#VALUE!</v>
      </c>
      <c r="AN475" s="281"/>
      <c r="AO475" s="58" t="e">
        <f>AVERAGE(AO366,AO372,AO378,AO384,AO390,AO396,AO402)</f>
        <v>#VALUE!</v>
      </c>
      <c r="AP475" s="281"/>
    </row>
    <row r="476" spans="3:42" ht="17.100000000000001" customHeight="1" x14ac:dyDescent="0.25">
      <c r="N476" s="6" t="s">
        <v>134</v>
      </c>
      <c r="O476" s="43"/>
      <c r="P476" s="43"/>
      <c r="Z476" s="112" t="e">
        <f>Z472/O472</f>
        <v>#NUM!</v>
      </c>
      <c r="AA476" s="112" t="e">
        <f>AA472/P472</f>
        <v>#NUM!</v>
      </c>
      <c r="AB476" s="43"/>
      <c r="AC476" s="43"/>
      <c r="AD476" s="256"/>
      <c r="AE476" s="69" t="s">
        <v>124</v>
      </c>
      <c r="AF476" s="264"/>
      <c r="AG476" s="59" t="e">
        <f>MIN(AG366,AG372,AG378,AG384,AG390,AG396,AG402)</f>
        <v>#VALUE!</v>
      </c>
      <c r="AH476" s="275"/>
      <c r="AI476" s="276"/>
      <c r="AJ476" s="277"/>
      <c r="AK476" s="59" t="e">
        <f>MIN(AK366,AK372,AK378,AK384,AK390,AK396,AK402)</f>
        <v>#VALUE!</v>
      </c>
      <c r="AL476" s="282"/>
      <c r="AM476" s="59" t="e">
        <f>MIN(AM366,AM372,AM378,AM384,AM390,AM396,AM402)</f>
        <v>#VALUE!</v>
      </c>
      <c r="AN476" s="282"/>
      <c r="AO476" s="59" t="e">
        <f>MIN(AO366,AO372,AO378,AO384,AO390,AO396,AO402)</f>
        <v>#VALUE!</v>
      </c>
      <c r="AP476" s="282"/>
    </row>
    <row r="477" spans="3:42" ht="17.100000000000001" customHeight="1" thickBot="1" x14ac:dyDescent="0.3">
      <c r="O477" s="43"/>
      <c r="P477" s="43"/>
      <c r="Z477" s="43"/>
      <c r="AA477" s="43"/>
      <c r="AB477" s="43"/>
      <c r="AC477" s="43"/>
      <c r="AD477" s="256"/>
      <c r="AE477" s="69" t="s">
        <v>125</v>
      </c>
      <c r="AF477" s="265"/>
      <c r="AG477" s="60" t="e">
        <f>MAX(AG366,AG372,AG378,AG384,AG390,AG396,AG402)</f>
        <v>#VALUE!</v>
      </c>
      <c r="AH477" s="275"/>
      <c r="AI477" s="276"/>
      <c r="AJ477" s="277"/>
      <c r="AK477" s="60" t="e">
        <f>MAX(AK366,AK372,AK378,AK384,AK390,AK396,AK402)</f>
        <v>#VALUE!</v>
      </c>
      <c r="AL477" s="282"/>
      <c r="AM477" s="60" t="e">
        <f>MAX(AM366,AM372,AM378,AM384,AM390,AM396,AM402)</f>
        <v>#VALUE!</v>
      </c>
      <c r="AN477" s="282"/>
      <c r="AO477" s="60" t="e">
        <f>MAX(AO366,AO372,AO378,AO384,AO390,AO396,AO402)</f>
        <v>#VALUE!</v>
      </c>
      <c r="AP477" s="282"/>
    </row>
    <row r="478" spans="3:42" ht="17.100000000000001" customHeight="1" x14ac:dyDescent="0.25">
      <c r="O478" s="43"/>
      <c r="P478" s="43"/>
      <c r="Z478" s="43"/>
      <c r="AA478" s="43"/>
      <c r="AB478" s="43"/>
      <c r="AC478" s="43"/>
      <c r="AD478" s="256"/>
      <c r="AE478" s="64" t="s">
        <v>123</v>
      </c>
      <c r="AF478" s="266" t="s">
        <v>128</v>
      </c>
      <c r="AG478" s="63" t="e">
        <f>AVERAGE(AG368,AG374,AG380,AG386,AG392,AG398,AG404)</f>
        <v>#VALUE!</v>
      </c>
      <c r="AH478" s="275"/>
      <c r="AI478" s="276"/>
      <c r="AJ478" s="277"/>
      <c r="AK478" s="63" t="e">
        <f>AVERAGE(AK368,AK374,AK380,AK386,AK392,AK398,AK404)</f>
        <v>#VALUE!</v>
      </c>
      <c r="AL478" s="282"/>
      <c r="AM478" s="63" t="e">
        <f>AVERAGE(AM368,AM374,AM380,AM386,AM392,AM398,AM404)</f>
        <v>#VALUE!</v>
      </c>
      <c r="AN478" s="282"/>
      <c r="AO478" s="63" t="e">
        <f>AVERAGE(AO368,AO374,AO380,AO386,AO392,AO398,AO404)</f>
        <v>#VALUE!</v>
      </c>
      <c r="AP478" s="282"/>
    </row>
    <row r="479" spans="3:42" ht="17.100000000000001" customHeight="1" x14ac:dyDescent="0.25">
      <c r="O479" s="43"/>
      <c r="P479" s="43"/>
      <c r="Z479" s="43"/>
      <c r="AA479" s="43"/>
      <c r="AB479" s="43"/>
      <c r="AC479" s="43"/>
      <c r="AD479" s="256"/>
      <c r="AE479" s="64" t="s">
        <v>124</v>
      </c>
      <c r="AF479" s="267"/>
      <c r="AG479" s="59" t="e">
        <f>MIN(AG368,AG374,AG380,AG386,AG392,AG398,AG404)</f>
        <v>#VALUE!</v>
      </c>
      <c r="AH479" s="275"/>
      <c r="AI479" s="276"/>
      <c r="AJ479" s="277"/>
      <c r="AK479" s="59" t="e">
        <f>MIN(AK368,AK374,AK380,AK386,AK392,AK398,AK404)</f>
        <v>#VALUE!</v>
      </c>
      <c r="AL479" s="282"/>
      <c r="AM479" s="59" t="e">
        <f>MIN(AM368,AM374,AM380,AM386,AM392,AM398,AM404)</f>
        <v>#VALUE!</v>
      </c>
      <c r="AN479" s="282"/>
      <c r="AO479" s="59" t="e">
        <f>MIN(AO368,AO374,AO380,AO386,AO392,AO398,AO404)</f>
        <v>#VALUE!</v>
      </c>
      <c r="AP479" s="282"/>
    </row>
    <row r="480" spans="3:42" ht="17.100000000000001" customHeight="1" thickBot="1" x14ac:dyDescent="0.3">
      <c r="O480" s="43"/>
      <c r="P480" s="43"/>
      <c r="Z480" s="43"/>
      <c r="AA480" s="43"/>
      <c r="AB480" s="43"/>
      <c r="AC480" s="43"/>
      <c r="AD480" s="271"/>
      <c r="AE480" s="65" t="s">
        <v>125</v>
      </c>
      <c r="AF480" s="268"/>
      <c r="AG480" s="60" t="e">
        <f>MAX(AG368,AG374,AG380,AG386,AG392,AG398,AG404)</f>
        <v>#VALUE!</v>
      </c>
      <c r="AH480" s="278"/>
      <c r="AI480" s="279"/>
      <c r="AJ480" s="280"/>
      <c r="AK480" s="60" t="e">
        <f>MAX(AK368,AK374,AK380,AK386,AK392,AK398,AK404)</f>
        <v>#VALUE!</v>
      </c>
      <c r="AL480" s="283"/>
      <c r="AM480" s="60" t="e">
        <f>MAX(AM368,AM374,AM380,AM386,AM392,AM398,AM404)</f>
        <v>#VALUE!</v>
      </c>
      <c r="AN480" s="283"/>
      <c r="AO480" s="60" t="e">
        <f>MAX(AO368,AO374,AO380,AO386,AO392,AO398,AO404)</f>
        <v>#VALUE!</v>
      </c>
      <c r="AP480" s="283"/>
    </row>
    <row r="481" spans="1:42" s="82" customFormat="1" ht="17.100000000000001" customHeight="1" x14ac:dyDescent="0.25">
      <c r="D481" s="83"/>
      <c r="F481" s="83"/>
      <c r="G481" s="83"/>
      <c r="H481" s="83"/>
      <c r="I481" s="83"/>
      <c r="J481" s="83"/>
      <c r="K481" s="83"/>
      <c r="L481" s="83"/>
      <c r="M481" s="83"/>
      <c r="N481" s="83"/>
      <c r="O481" s="84"/>
      <c r="P481" s="84"/>
      <c r="Q481" s="74"/>
      <c r="R481" s="74"/>
      <c r="S481" s="74"/>
      <c r="T481" s="74"/>
      <c r="U481" s="74"/>
      <c r="V481" s="74"/>
      <c r="W481" s="74"/>
      <c r="X481" s="74"/>
      <c r="Y481" s="74"/>
      <c r="Z481" s="90"/>
      <c r="AA481" s="90"/>
      <c r="AB481" s="90"/>
      <c r="AC481" s="90"/>
      <c r="AD481" s="85"/>
      <c r="AE481" s="86"/>
      <c r="AF481" s="87"/>
      <c r="AG481" s="88"/>
      <c r="AH481" s="89"/>
      <c r="AI481" s="89"/>
      <c r="AJ481" s="89"/>
      <c r="AK481" s="88"/>
      <c r="AL481" s="89"/>
      <c r="AM481" s="88"/>
      <c r="AN481" s="89"/>
      <c r="AO481" s="88"/>
      <c r="AP481" s="89"/>
    </row>
    <row r="482" spans="1:42" s="82" customFormat="1" ht="17.100000000000001" customHeight="1" thickBot="1" x14ac:dyDescent="0.3">
      <c r="A482" s="96"/>
      <c r="B482" s="96"/>
      <c r="C482" s="96"/>
      <c r="D482" s="97"/>
      <c r="E482" s="96"/>
      <c r="F482" s="97"/>
      <c r="G482" s="97"/>
      <c r="H482" s="97"/>
      <c r="I482" s="97"/>
      <c r="J482" s="97"/>
      <c r="K482" s="97"/>
      <c r="L482" s="97"/>
      <c r="M482" s="97"/>
      <c r="N482" s="97"/>
      <c r="O482" s="98"/>
      <c r="P482" s="98"/>
      <c r="Q482" s="96"/>
      <c r="R482" s="96"/>
      <c r="S482" s="96"/>
      <c r="T482" s="96"/>
      <c r="U482" s="96"/>
      <c r="V482" s="96"/>
      <c r="W482" s="96"/>
      <c r="X482" s="96"/>
      <c r="Y482" s="96"/>
      <c r="Z482" s="98"/>
      <c r="AA482" s="98"/>
      <c r="AB482" s="98"/>
      <c r="AC482" s="98"/>
      <c r="AD482" s="99"/>
      <c r="AE482" s="100"/>
      <c r="AF482" s="101"/>
      <c r="AG482" s="102"/>
      <c r="AH482" s="103"/>
      <c r="AI482" s="103"/>
      <c r="AJ482" s="103"/>
      <c r="AK482" s="102"/>
      <c r="AL482" s="103"/>
      <c r="AM482" s="102"/>
      <c r="AN482" s="103"/>
      <c r="AO482" s="102"/>
      <c r="AP482" s="103"/>
    </row>
    <row r="483" spans="1:42" ht="17.100000000000001" customHeight="1" x14ac:dyDescent="0.25">
      <c r="C483" s="4" t="s">
        <v>131</v>
      </c>
      <c r="N483" s="6" t="s">
        <v>132</v>
      </c>
      <c r="O483" s="43" t="e">
        <f>GEOMEAN(O4:O405)</f>
        <v>#NUM!</v>
      </c>
      <c r="P483" s="43" t="e">
        <f>GEOMEAN(P4:P405)</f>
        <v>#NUM!</v>
      </c>
      <c r="Z483" s="43" t="e">
        <f>GEOMEAN(Z4:Z405)</f>
        <v>#NUM!</v>
      </c>
      <c r="AA483" s="43" t="e">
        <f>GEOMEAN(AA4:AA405)</f>
        <v>#NUM!</v>
      </c>
      <c r="AB483" s="43" t="e">
        <f>GEOMEAN(AB4:AB405)</f>
        <v>#DIV/0!</v>
      </c>
      <c r="AC483" s="43" t="e">
        <f>GEOMEAN(AC4:AC405)</f>
        <v>#DIV/0!</v>
      </c>
      <c r="AD483" s="287" t="str">
        <f>C483</f>
        <v>Overall</v>
      </c>
      <c r="AE483" s="68" t="s">
        <v>123</v>
      </c>
      <c r="AF483" s="257" t="s">
        <v>126</v>
      </c>
      <c r="AG483" s="58" t="e">
        <f>AVERAGE(AG4,AG10,AG16,AG22,AG28,AG34,AG40,AG46,AG52,AG58,AG64,AG70,AG76,AG82,AG88,AG94,AG100,AG106,AG112,AG118,AG124,AG130,AG136,AG142,AG148,AG154,AG160,AG166,AG172,AG178,AG184,AG190,AG196,AG202,AG208,AG214,AG220,AG226,AG232,AG238,AG244,AG250,AG256,AG262,AG268,AG274,AG280,AG286,AG292,AG298,AG304,AG310,AG316,AG322,AG328,AG334,AG340,AG346,AG352,AG358,AG364,AG370,AG376,AG382,AG388,AG394,AG400)</f>
        <v>#VALUE!</v>
      </c>
      <c r="AH483" s="26" t="e">
        <f>AVERAGE(AH4:AH405)</f>
        <v>#VALUE!</v>
      </c>
      <c r="AI483" s="26" t="e">
        <f>AVERAGE(AI4:AI405)</f>
        <v>#VALUE!</v>
      </c>
      <c r="AJ483" s="26" t="e">
        <f>AVERAGE(AJ4:AJ405)</f>
        <v>#VALUE!</v>
      </c>
      <c r="AK483" s="58" t="e">
        <f>AVERAGE(AK4,AK10,AK16,AK22,AK28,AK34,AK40,AK46,AK52,AK58,AK64,AK70,AK76,AK82,AK88,AK94,AK100,AK106,AK112,AK118,AK124,AK130,AK136,AK142,AK148,AK154,AK160,AK166,AK172,AK178,AK184,AK190,AK196,AK202,AK208,AK214,AK220,AK226,AK232,AK238,AK244,AK250,AK256,AK262,AK268,AK274,AK280,AK286,AK292,AK298,AK304,AK310,AK316,AK322,AK328,AK334,AK340,AK346,AK352,AK358,AK364,AK370,AK376,AK382,AK388,AK394,AK400)</f>
        <v>#VALUE!</v>
      </c>
      <c r="AL483" s="26" t="e">
        <f>AVERAGE(AL4:AL405)</f>
        <v>#VALUE!</v>
      </c>
      <c r="AM483" s="58" t="e">
        <f>AVERAGE(AM4,AM10,AM16,AM22,AM28,AM34,AM40,AM46,AM52,AM58,AM64,AM70,AM76,AM82,AM88,AM94,AM100,AM106,AM112,AM118,AM124,AM130,AM136,AM142,AM148,AM154,AM160,AM166,AM172,AM178,AM184,AM190,AM196,AM202,AM208,AM214,AM220,AM226,AM232,AM238,AM244,AM250,AM256,AM262,AM268,AM274,AM280,AM286,AM292,AM298,AM304,AM310,AM316,AM322,AM328,AM334,AM340,AM346,AM352,AM358,AM364,AM370,AM376,AM382,AM388,AM394,AM400)</f>
        <v>#VALUE!</v>
      </c>
      <c r="AN483" s="26" t="e">
        <f>AVERAGE(AN4:AN405)</f>
        <v>#VALUE!</v>
      </c>
      <c r="AO483" s="58" t="e">
        <f>AVERAGE(AO4,AO10,AO16,AO22,AO28,AO34,AO40,AO46,AO52,AO58,AO64,AO70,AO76,AO82,AO88,AO94,AO100,AO106,AO112,AO118,AO124,AO130,AO136,AO142,AO148,AO154,AO160,AO166,AO172,AO178,AO184,AO190,AO196,AO202,AO208,AO214,AO220,AO226,AO232,AO238,AO244,AO250,AO256,AO262,AO268,AO274,AO280,AO286,AO292,AO298,AO304,AO310,AO316,AO322,AO328,AO334,AO340,AO346,AO352,AO358,AO364,AO370,AO376,AO382,AO388,AO394,AO400)</f>
        <v>#VALUE!</v>
      </c>
      <c r="AP483" s="26" t="e">
        <f>AVERAGE(AP4:AP405)</f>
        <v>#VALUE!</v>
      </c>
    </row>
    <row r="484" spans="1:42" ht="17.100000000000001" customHeight="1" x14ac:dyDescent="0.25">
      <c r="N484" s="6" t="s">
        <v>133</v>
      </c>
      <c r="O484" s="43">
        <f>SUM(O4:O405)</f>
        <v>0</v>
      </c>
      <c r="P484" s="43">
        <f>SUM(P4:P405)</f>
        <v>0</v>
      </c>
      <c r="Z484" s="43">
        <f>SUM(Z4:Z405)</f>
        <v>0</v>
      </c>
      <c r="AA484" s="43">
        <f>SUM(AA4:AA405)</f>
        <v>0</v>
      </c>
      <c r="AB484" s="43"/>
      <c r="AC484" s="43"/>
      <c r="AD484" s="288"/>
      <c r="AE484" s="69" t="s">
        <v>124</v>
      </c>
      <c r="AF484" s="258"/>
      <c r="AG484" s="59" t="e">
        <f>MIN(AG4,AG10,AG16,AG22,AG28,AG34,AG40,AG46,AG52,AG58,AG64,AG70,AG76,AG82,AG88,AG94,AG100,AG106,AG112,AG118,AG124,AG130,AG136,AG142,AG148,AG154,AG160,AG166,AG172,AG178,AG184,AG190,AG196,AG202,AG208,AG214,AG220,AG226,AG232,AG238,AG244,AG250,AG256,AG262,AG268,AG274,AG280,AG286,AG292,AG298,AG304,AG310,AG316,AG322,AG328,AG334,AG340,AG346,AG352,AG358,AG364,AG370,AG376,AG382,AG388,AG394,AG400)</f>
        <v>#VALUE!</v>
      </c>
      <c r="AH484" s="25" t="e">
        <f>MIN(AH4:AH405)</f>
        <v>#VALUE!</v>
      </c>
      <c r="AI484" s="25" t="e">
        <f>MIN(AI4:AI405)</f>
        <v>#VALUE!</v>
      </c>
      <c r="AJ484" s="25" t="e">
        <f>MIN(AJ4:AJ405)</f>
        <v>#VALUE!</v>
      </c>
      <c r="AK484" s="59" t="e">
        <f>MIN(AK4,AK10,AK16,AK22,AK28,AK34,AK40,AK46,AK52,AK58,AK64,AK70,AK76,AK82,AK88,AK94,AK100,AK106,AK112,AK118,AK124,AK130,AK136,AK142,AK148,AK154,AK160,AK166,AK172,AK178,AK184,AK190,AK196,AK202,AK208,AK214,AK220,AK226,AK232,AK238,AK244,AK250,AK256,AK262,AK268,AK274,AK280,AK286,AK292,AK298,AK304,AK310,AK316,AK322,AK328,AK334,AK340,AK346,AK352,AK358,AK364,AK370,AK376,AK382,AK388,AK394,AK400)</f>
        <v>#VALUE!</v>
      </c>
      <c r="AL484" s="25" t="e">
        <f>MIN(AL4:AL405)</f>
        <v>#VALUE!</v>
      </c>
      <c r="AM484" s="59" t="e">
        <f>MIN(AM4,AM10,AM16,AM22,AM28,AM34,AM40,AM46,AM52,AM58,AM64,AM70,AM76,AM82,AM88,AM94,AM100,AM106,AM112,AM118,AM124,AM130,AM136,AM142,AM148,AM154,AM160,AM166,AM172,AM178,AM184,AM190,AM196,AM202,AM208,AM214,AM220,AM226,AM232,AM238,AM244,AM250,AM256,AM262,AM268,AM274,AM280,AM286,AM292,AM298,AM304,AM310,AM316,AM322,AM328,AM334,AM340,AM346,AM352,AM358,AM364,AM370,AM376,AM382,AM388,AM394,AM400)</f>
        <v>#VALUE!</v>
      </c>
      <c r="AN484" s="25" t="e">
        <f>MIN(AN4:AN405)</f>
        <v>#VALUE!</v>
      </c>
      <c r="AO484" s="59" t="e">
        <f>MIN(AO4,AO10,AO16,AO22,AO28,AO34,AO40,AO46,AO52,AO58,AO64,AO70,AO76,AO82,AO88,AO94,AO100,AO106,AO112,AO118,AO124,AO130,AO136,AO142,AO148,AO154,AO160,AO166,AO172,AO178,AO184,AO190,AO196,AO202,AO208,AO214,AO220,AO226,AO232,AO238,AO244,AO250,AO256,AO262,AO268,AO274,AO280,AO286,AO292,AO298,AO304,AO310,AO316,AO322,AO328,AO334,AO340,AO346,AO352,AO358,AO364,AO370,AO376,AO382,AO388,AO394,AO400)</f>
        <v>#VALUE!</v>
      </c>
      <c r="AP484" s="25" t="e">
        <f>MIN(AP4:AP405)</f>
        <v>#VALUE!</v>
      </c>
    </row>
    <row r="485" spans="1:42" ht="17.100000000000001" customHeight="1" thickBot="1" x14ac:dyDescent="0.3">
      <c r="N485" s="6" t="s">
        <v>125</v>
      </c>
      <c r="O485" s="43">
        <f>MAX(O4:O405)</f>
        <v>0</v>
      </c>
      <c r="P485" s="43">
        <f>MAX(P4:P405)</f>
        <v>0</v>
      </c>
      <c r="Z485" s="43">
        <f>MAX(Z4:Z405)</f>
        <v>0</v>
      </c>
      <c r="AA485" s="43">
        <f>MAX(AA4:AA405)</f>
        <v>0</v>
      </c>
      <c r="AB485" s="43"/>
      <c r="AC485" s="43"/>
      <c r="AD485" s="288"/>
      <c r="AE485" s="69" t="s">
        <v>125</v>
      </c>
      <c r="AF485" s="259"/>
      <c r="AG485" s="60" t="e">
        <f>MAX(AG4,AG10,AG16,AG22,AG28,AG34,AG40,AG46,AG52,AG58,AG64,AG70,AG76,AG82,AG88,AG94,AG100,AG106,AG112,AG118,AG124,AG130,AG136,AG142,AG148,AG154,AG160,AG166,AG172,AG178,AG184,AG190,AG196,AG202,AG208,AG214,AG220,AG226,AG232,AG238,AG244,AG250,AG256,AG262,AG268,AG274,AG280,AG286,AG292,AG298,AG304,AG310,AG316,AG322,AG328,AG334,AG340,AG346,AG352,AG358,AG364,AG370,AG376,AG382,AG388,AG394,AG400)</f>
        <v>#VALUE!</v>
      </c>
      <c r="AH485" s="28" t="e">
        <f>MAX(AH4:AH405)</f>
        <v>#VALUE!</v>
      </c>
      <c r="AI485" s="28" t="e">
        <f>MAX(AI4:AI405)</f>
        <v>#VALUE!</v>
      </c>
      <c r="AJ485" s="28" t="e">
        <f>MAX(AJ4:AJ405)</f>
        <v>#VALUE!</v>
      </c>
      <c r="AK485" s="60" t="e">
        <f>MAX(AK4,AK10,AK16,AK22,AK28,AK34,AK40,AK46,AK52,AK58,AK64,AK70,AK76,AK82,AK88,AK94,AK100,AK106,AK112,AK118,AK124,AK130,AK136,AK142,AK148,AK154,AK160,AK166,AK172,AK178,AK184,AK190,AK196,AK202,AK208,AK214,AK220,AK226,AK232,AK238,AK244,AK250,AK256,AK262,AK268,AK274,AK280,AK286,AK292,AK298,AK304,AK310,AK316,AK322,AK328,AK334,AK340,AK346,AK352,AK358,AK364,AK370,AK376,AK382,AK388,AK394,AK400)</f>
        <v>#VALUE!</v>
      </c>
      <c r="AL485" s="28" t="e">
        <f>MAX(AL4:AL405)</f>
        <v>#VALUE!</v>
      </c>
      <c r="AM485" s="60" t="e">
        <f>MAX(AM4,AM10,AM16,AM22,AM28,AM34,AM40,AM46,AM52,AM58,AM64,AM70,AM76,AM82,AM88,AM94,AM100,AM106,AM112,AM118,AM124,AM130,AM136,AM142,AM148,AM154,AM160,AM166,AM172,AM178,AM184,AM190,AM196,AM202,AM208,AM214,AM220,AM226,AM232,AM238,AM244,AM250,AM256,AM262,AM268,AM274,AM280,AM286,AM292,AM298,AM304,AM310,AM316,AM322,AM328,AM334,AM340,AM346,AM352,AM358,AM364,AM370,AM376,AM382,AM388,AM394,AM400)</f>
        <v>#VALUE!</v>
      </c>
      <c r="AN485" s="28" t="e">
        <f>MAX(AN4:AN405)</f>
        <v>#VALUE!</v>
      </c>
      <c r="AO485" s="60" t="e">
        <f>MAX(AO4,AO10,AO16,AO22,AO28,AO34,AO40,AO46,AO52,AO58,AO64,AO70,AO76,AO82,AO88,AO94,AO100,AO106,AO112,AO118,AO124,AO130,AO136,AO142,AO148,AO154,AO160,AO166,AO172,AO178,AO184,AO190,AO196,AO202,AO208,AO214,AO220,AO226,AO232,AO238,AO244,AO250,AO256,AO262,AO268,AO274,AO280,AO286,AO292,AO298,AO304,AO310,AO316,AO322,AO328,AO334,AO340,AO346,AO352,AO358,AO364,AO370,AO376,AO382,AO388,AO394,AO400)</f>
        <v>#VALUE!</v>
      </c>
      <c r="AP485" s="28" t="e">
        <f>MAX(AP4:AP405)</f>
        <v>#VALUE!</v>
      </c>
    </row>
    <row r="486" spans="1:42" ht="17.100000000000001" customHeight="1" x14ac:dyDescent="0.25">
      <c r="N486" s="6" t="s">
        <v>124</v>
      </c>
      <c r="O486" s="43">
        <f>MIN(O4:O405)</f>
        <v>0</v>
      </c>
      <c r="P486" s="43">
        <f>MIN(P4:P405)</f>
        <v>0</v>
      </c>
      <c r="Z486" s="43">
        <f>MIN(Z4:Z405)</f>
        <v>0</v>
      </c>
      <c r="AA486" s="43">
        <f>MIN(AA4:AA405)</f>
        <v>0</v>
      </c>
      <c r="AB486" s="43"/>
      <c r="AC486" s="43"/>
      <c r="AD486" s="288"/>
      <c r="AE486" s="69" t="s">
        <v>123</v>
      </c>
      <c r="AF486" s="263" t="s">
        <v>127</v>
      </c>
      <c r="AG486" s="58" t="e">
        <f>AVERAGE(AG6,AG12,AG18,AG24,AG30,AG36,AG42,AG48,AG54,AG60,AG66,AG72,AG78,AG84,AG90,AG96,AG102,AG108,AG114,AG120,AG126,AG132,AG138,AG144,AG150,AG156,AG162,AG168,AG174,AG180,AG186,AG192,AG198,AG204,AG210,AG216,AG222,AG228,AG234,AG240,AG246,AG252,AG258,AG264,AG270,AG276,AG282,AG288,AG294,AG300,AG306,AG312,AG318,AG324,AG330,AG336,AG342,AG348,AG354,AG360,AG366,AG372,AG378,AG384,AG390,AG396,AG402)</f>
        <v>#VALUE!</v>
      </c>
      <c r="AH486" s="272"/>
      <c r="AI486" s="273"/>
      <c r="AJ486" s="274"/>
      <c r="AK486" s="58" t="e">
        <f>AVERAGE(AK6,AK12,AK18,AK24,AK30,AK36,AK42,AK48,AK54,AK60,AK66,AK72,AK78,AK84,AK90,AK96,AK102,AK108,AK114,AK120,AK126,AK132,AK138,AK144,AK150,AK156,AK162,AK168,AK174,AK180,AK186,AK192,AK198,AK204,AK210,AK216,AK222,AK228,AK234,AK240,AK246,AK252,AK258,AK264,AK270,AK276,AK282,AK288,AK294,AK300,AK306,AK312,AK318,AK324,AK330,AK336,AK342,AK348,AK354,AK360,AK366,AK372,AK378,AK384,AK390,AK396,AK402)</f>
        <v>#VALUE!</v>
      </c>
      <c r="AL486" s="281"/>
      <c r="AM486" s="58" t="e">
        <f>AVERAGE(AM6,AM12,AM18,AM24,AM30,AM36,AM42,AM48,AM54,AM60,AM66,AM72,AM78,AM84,AM90,AM96,AM102,AM108,AM114,AM120,AM126,AM132,AM138,AM144,AM150,AM156,AM162,AM168,AM174,AM180,AM186,AM192,AM198,AM204,AM210,AM216,AM222,AM228,AM234,AM240,AM246,AM252,AM258,AM264,AM270,AM276,AM282,AM288,AM294,AM300,AM306,AM312,AM318,AM324,AM330,AM336,AM342,AM348,AM354,AM360,AM366,AM372,AM378,AM384,AM390,AM396,AM402)</f>
        <v>#VALUE!</v>
      </c>
      <c r="AN486" s="281"/>
      <c r="AO486" s="58" t="e">
        <f>AVERAGE(AO6,AO12,AO18,AO24,AO30,AO36,AO42,AO48,AO54,AO60,AO66,AO72,AO78,AO84,AO90,AO96,AO102,AO108,AO114,AO120,AO126,AO132,AO138,AO144,AO150,AO156,AO162,AO168,AO174,AO180,AO186,AO192,AO198,AO204,AO210,AO216,AO222,AO228,AO234,AO240,AO246,AO252,AO258,AO264,AO270,AO276,AO282,AO288,AO294,AO300,AO306,AO312,AO318,AO324,AO330,AO336,AO342,AO348,AO354,AO360,AO366,AO372,AO378,AO384,AO390,AO396,AO402)</f>
        <v>#VALUE!</v>
      </c>
      <c r="AP486" s="281"/>
    </row>
    <row r="487" spans="1:42" ht="17.100000000000001" customHeight="1" x14ac:dyDescent="0.25">
      <c r="N487" s="6" t="s">
        <v>134</v>
      </c>
      <c r="O487" s="43"/>
      <c r="P487" s="43"/>
      <c r="Z487" s="112" t="e">
        <f>Z483/O483</f>
        <v>#NUM!</v>
      </c>
      <c r="AA487" s="112" t="e">
        <f>AA483/P483</f>
        <v>#NUM!</v>
      </c>
      <c r="AB487" s="43"/>
      <c r="AC487" s="43"/>
      <c r="AD487" s="288"/>
      <c r="AE487" s="69" t="s">
        <v>124</v>
      </c>
      <c r="AF487" s="264"/>
      <c r="AG487" s="59" t="e">
        <f>MIN(AG6,AG12,AG18,AG24,AG30,AG36,AG42,AG48,AG54,AG60,AG66,AG72,AG78,AG84,AG90,AG96,AG102,AG108,AG114,AG120,AG126,AG132,AG138,AG144,AG150,AG156,AG162,AG168,AG174,AG180,AG186,AG192,AG198,AG204,AG210,AG216,AG222,AG228,AG234,AG240,AG246,AG252,AG258,AG264,AG270,AG276,AG282,AG288,AG294,AG300,AG306,AG312,AG318,AG324,AG330,AG336,AG342,AG348,AG354,AG360,AG366,AG372,AG378,AG384,AG390,AG396,AG402)</f>
        <v>#VALUE!</v>
      </c>
      <c r="AH487" s="275"/>
      <c r="AI487" s="276"/>
      <c r="AJ487" s="277"/>
      <c r="AK487" s="59" t="e">
        <f>MIN(AK6,AK12,AK18,AK24,AK30,AK36,AK42,AK48,AK54,AK60,AK66,AK72,AK78,AK84,AK90,AK96,AK102,AK108,AK114,AK120,AK126,AK132,AK138,AK144,AK150,AK156,AK162,AK168,AK174,AK180,AK186,AK192,AK198,AK204,AK210,AK216,AK222,AK228,AK234,AK240,AK246,AK252,AK258,AK264,AK270,AK276,AK282,AK288,AK294,AK300,AK306,AK312,AK318,AK324,AK330,AK336,AK342,AK348,AK354,AK360,AK366,AK372,AK378,AK384,AK390,AK396,AK402)</f>
        <v>#VALUE!</v>
      </c>
      <c r="AL487" s="282"/>
      <c r="AM487" s="59" t="e">
        <f>MIN(AM6,AM12,AM18,AM24,AM30,AM36,AM42,AM48,AM54,AM60,AM66,AM72,AM78,AM84,AM90,AM96,AM102,AM108,AM114,AM120,AM126,AM132,AM138,AM144,AM150,AM156,AM162,AM168,AM174,AM180,AM186,AM192,AM198,AM204,AM210,AM216,AM222,AM228,AM234,AM240,AM246,AM252,AM258,AM264,AM270,AM276,AM282,AM288,AM294,AM300,AM306,AM312,AM318,AM324,AM330,AM336,AM342,AM348,AM354,AM360,AM366,AM372,AM378,AM384,AM390,AM396,AM402)</f>
        <v>#VALUE!</v>
      </c>
      <c r="AN487" s="282"/>
      <c r="AO487" s="59" t="e">
        <f>MIN(AO6,AO12,AO18,AO24,AO30,AO36,AO42,AO48,AO54,AO60,AO66,AO72,AO78,AO84,AO90,AO96,AO102,AO108,AO114,AO120,AO126,AO132,AO138,AO144,AO150,AO156,AO162,AO168,AO174,AO180,AO186,AO192,AO198,AO204,AO210,AO216,AO222,AO228,AO234,AO240,AO246,AO252,AO258,AO264,AO270,AO276,AO282,AO288,AO294,AO300,AO306,AO312,AO318,AO324,AO330,AO336,AO342,AO348,AO354,AO360,AO366,AO372,AO378,AO384,AO390,AO396,AO402)</f>
        <v>#VALUE!</v>
      </c>
      <c r="AP487" s="282"/>
    </row>
    <row r="488" spans="1:42" ht="17.100000000000001" customHeight="1" thickBot="1" x14ac:dyDescent="0.3">
      <c r="O488" s="43"/>
      <c r="P488" s="43"/>
      <c r="Z488" s="43"/>
      <c r="AA488" s="43"/>
      <c r="AB488" s="43"/>
      <c r="AC488" s="43"/>
      <c r="AD488" s="288"/>
      <c r="AE488" s="69" t="s">
        <v>125</v>
      </c>
      <c r="AF488" s="265"/>
      <c r="AG488" s="60" t="e">
        <f>MAX(AG6,AG12,AG18,AG24,AG30,AG36,AG42,AG48,AG54,AG60,AG66,AG72,AG78,AG84,AG90,AG96,AG102,AG108,AG114,AG120,AG126,AG132,AG138,AG144,AG150,AG156,AG162,AG168,AG174,AG180,AG186,AG192,AG198,AG204,AG210,AG216,AG222,AG228,AG234,AG240,AG246,AG252,AG258,AG264,AG270,AG276,AG282,AG288,AG294,AG300,AG306,AG312,AG318,AG324,AG330,AG336,AG342,AG348,AG354,AG360,AG366,AG372,AG378,AG384,AG390,AG396,AG402)</f>
        <v>#VALUE!</v>
      </c>
      <c r="AH488" s="275"/>
      <c r="AI488" s="276"/>
      <c r="AJ488" s="277"/>
      <c r="AK488" s="60" t="e">
        <f>MAX(AK6,AK12,AK18,AK24,AK30,AK36,AK42,AK48,AK54,AK60,AK66,AK72,AK78,AK84,AK90,AK96,AK102,AK108,AK114,AK120,AK126,AK132,AK138,AK144,AK150,AK156,AK162,AK168,AK174,AK180,AK186,AK192,AK198,AK204,AK210,AK216,AK222,AK228,AK234,AK240,AK246,AK252,AK258,AK264,AK270,AK276,AK282,AK288,AK294,AK300,AK306,AK312,AK318,AK324,AK330,AK336,AK342,AK348,AK354,AK360,AK366,AK372,AK378,AK384,AK390,AK396,AK402)</f>
        <v>#VALUE!</v>
      </c>
      <c r="AL488" s="282"/>
      <c r="AM488" s="60" t="e">
        <f>MAX(AM6,AM12,AM18,AM24,AM30,AM36,AM42,AM48,AM54,AM60,AM66,AM72,AM78,AM84,AM90,AM96,AM102,AM108,AM114,AM120,AM126,AM132,AM138,AM144,AM150,AM156,AM162,AM168,AM174,AM180,AM186,AM192,AM198,AM204,AM210,AM216,AM222,AM228,AM234,AM240,AM246,AM252,AM258,AM264,AM270,AM276,AM282,AM288,AM294,AM300,AM306,AM312,AM318,AM324,AM330,AM336,AM342,AM348,AM354,AM360,AM366,AM372,AM378,AM384,AM390,AM396,AM402)</f>
        <v>#VALUE!</v>
      </c>
      <c r="AN488" s="282"/>
      <c r="AO488" s="60" t="e">
        <f>MAX(AO6,AO12,AO18,AO24,AO30,AO36,AO42,AO48,AO54,AO60,AO66,AO72,AO78,AO84,AO90,AO96,AO102,AO108,AO114,AO120,AO126,AO132,AO138,AO144,AO150,AO156,AO162,AO168,AO174,AO180,AO186,AO192,AO198,AO204,AO210,AO216,AO222,AO228,AO234,AO240,AO246,AO252,AO258,AO264,AO270,AO276,AO282,AO288,AO294,AO300,AO306,AO312,AO318,AO324,AO330,AO336,AO342,AO348,AO354,AO360,AO366,AO372,AO378,AO384,AO390,AO396,AO402)</f>
        <v>#VALUE!</v>
      </c>
      <c r="AP488" s="282"/>
    </row>
    <row r="489" spans="1:42" ht="17.100000000000001" customHeight="1" x14ac:dyDescent="0.25">
      <c r="O489" s="43"/>
      <c r="P489" s="43"/>
      <c r="Z489" s="43"/>
      <c r="AA489" s="43"/>
      <c r="AB489" s="43"/>
      <c r="AC489" s="43"/>
      <c r="AD489" s="288"/>
      <c r="AE489" s="64" t="s">
        <v>123</v>
      </c>
      <c r="AF489" s="266" t="s">
        <v>128</v>
      </c>
      <c r="AG489" s="63" t="e">
        <f>AVERAGE(AG8,AG14,AG20,AG26,AG32,AG38,AG44,AG50,AG56,AG62,AG68,AG74,AG80,AG86,AG92,AG98,AG104,AG110,AG116,AG122,AG128,AG134,AG140,AG146,AG152,AG158,AG164,AG170,AG176,AG182,AG188,AG194,AG200,AG206,AG212,AG218,AG224,AG230,AG236,AG242,AG248,AG254,AG260,AG266,AG272,AG278,AG284,AG290,AG296,AG302,AG308,AG314,AG320,AG326,AG332,AG338,AG344,AG350,AG356,AG362,AG368,AG374,AG380,AG386,AG392,AG398,AG404)</f>
        <v>#VALUE!</v>
      </c>
      <c r="AH489" s="275"/>
      <c r="AI489" s="276"/>
      <c r="AJ489" s="277"/>
      <c r="AK489" s="63" t="e">
        <f>AVERAGE(AK8,AK14,AK20,AK26,AK32,AK38,AK44,AK50,AK56,AK62,AK68,AK74,AK80,AK86,AK92,AK98,AK104,AK110,AK116,AK122,AK128,AK134,AK140,AK146,AK152,AK158,AK164,AK170,AK176,AK182,AK188,AK194,AK200,AK206,AK212,AK218,AK224,AK230,AK236,AK242,AK248,AK254,AK260,AK266,AK272,AK278,AK284,AK290,AK296,AK302,AK308,AK314,AK320,AK326,AK332,AK338,AK344,AK350,AK356,AK362,AK368,AK374,AK380,AK386,AK392,AK398,AK404)</f>
        <v>#VALUE!</v>
      </c>
      <c r="AL489" s="282"/>
      <c r="AM489" s="63" t="e">
        <f>AVERAGE(AM8,AM14,AM20,AM26,AM32,AM38,AM44,AM50,AM56,AM62,AM68,AM74,AM80,AM86,AM92,AM98,AM104,AM110,AM116,AM122,AM128,AM134,AM140,AM146,AM152,AM158,AM164,AM170,AM176,AM182,AM188,AM194,AM200,AM206,AM212,AM218,AM224,AM230,AM236,AM242,AM248,AM254,AM260,AM266,AM272,AM278,AM284,AM290,AM296,AM302,AM308,AM314,AM320,AM326,AM332,AM338,AM344,AM350,AM356,AM362,AM368,AM374,AM380,AM386,AM392,AM398,AM404)</f>
        <v>#VALUE!</v>
      </c>
      <c r="AN489" s="282"/>
      <c r="AO489" s="63" t="e">
        <f>AVERAGE(AO8,AO14,AO20,AO26,AO32,AO38,AO44,AO50,AO56,AO62,AO68,AO74,AO80,AO86,AO92,AO98,AO104,AO110,AO116,AO122,AO128,AO134,AO140,AO146,AO152,AO158,AO164,AO170,AO176,AO182,AO188,AO194,AO200,AO206,AO212,AO218,AO224,AO230,AO236,AO242,AO248,AO254,AO260,AO266,AO272,AO278,AO284,AO290,AO296,AO302,AO308,AO314,AO320,AO326,AO332,AO338,AO344,AO350,AO356,AO362,AO368,AO374,AO380,AO386,AO392,AO398,AO404)</f>
        <v>#VALUE!</v>
      </c>
      <c r="AP489" s="282"/>
    </row>
    <row r="490" spans="1:42" ht="17.100000000000001" customHeight="1" x14ac:dyDescent="0.25">
      <c r="O490" s="43"/>
      <c r="P490" s="43"/>
      <c r="Z490" s="43"/>
      <c r="AA490" s="43"/>
      <c r="AB490" s="43"/>
      <c r="AC490" s="43"/>
      <c r="AD490" s="288"/>
      <c r="AE490" s="64" t="s">
        <v>124</v>
      </c>
      <c r="AF490" s="267"/>
      <c r="AG490" s="59" t="e">
        <f>MIN(AG8,AG14,AG20,AG26,AG32,AG38,AG44,AG50,AG56,AG62,AG68,AG74,AG80,AG86,AG92,AG98,AG104,AG110,AG116,AG122,AG128,AG134,AG140,AG146,AG152,AG158,AG164,AG170,AG176,AG182,AG188,AG194,AG200,AG206,AG212,AG218,AG224,AG230,AG236,AG242,AG248,AG254,AG260,AG266,AG272,AG278,AG284,AG290,AG296,AG302,AG308,AG314,AG320,AG326,AG332,AG338,AG344,AG350,AG356,AG362,AG368,AG374,AG380,AG386,AG392,AG398,AG404)</f>
        <v>#VALUE!</v>
      </c>
      <c r="AH490" s="275"/>
      <c r="AI490" s="276"/>
      <c r="AJ490" s="277"/>
      <c r="AK490" s="59" t="e">
        <f>MIN(AK8,AK14,AK20,AK26,AK32,AK38,AK44,AK50,AK56,AK62,AK68,AK74,AK80,AK86,AK92,AK98,AK104,AK110,AK116,AK122,AK128,AK134,AK140,AK146,AK152,AK158,AK164,AK170,AK176,AK182,AK188,AK194,AK200,AK206,AK212,AK218,AK224,AK230,AK236,AK242,AK248,AK254,AK260,AK266,AK272,AK278,AK284,AK290,AK296,AK302,AK308,AK314,AK320,AK326,AK332,AK338,AK344,AK350,AK356,AK362,AK368,AK374,AK380,AK386,AK392,AK398,AK404)</f>
        <v>#VALUE!</v>
      </c>
      <c r="AL490" s="282"/>
      <c r="AM490" s="59" t="e">
        <f>MIN(AM8,AM14,AM20,AM26,AM32,AM38,AM44,AM50,AM56,AM62,AM68,AM74,AM80,AM86,AM92,AM98,AM104,AM110,AM116,AM122,AM128,AM134,AM140,AM146,AM152,AM158,AM164,AM170,AM176,AM182,AM188,AM194,AM200,AM206,AM212,AM218,AM224,AM230,AM236,AM242,AM248,AM254,AM260,AM266,AM272,AM278,AM284,AM290,AM296,AM302,AM308,AM314,AM320,AM326,AM332,AM338,AM344,AM350,AM356,AM362,AM368,AM374,AM380,AM386,AM392,AM398,AM404)</f>
        <v>#VALUE!</v>
      </c>
      <c r="AN490" s="282"/>
      <c r="AO490" s="59" t="e">
        <f>MIN(AO8,AO14,AO20,AO26,AO32,AO38,AO44,AO50,AO56,AO62,AO68,AO74,AO80,AO86,AO92,AO98,AO104,AO110,AO116,AO122,AO128,AO134,AO140,AO146,AO152,AO158,AO164,AO170,AO176,AO182,AO188,AO194,AO200,AO206,AO212,AO218,AO224,AO230,AO236,AO242,AO248,AO254,AO260,AO266,AO272,AO278,AO284,AO290,AO296,AO302,AO308,AO314,AO320,AO326,AO332,AO338,AO344,AO350,AO356,AO362,AO368,AO374,AO380,AO386,AO392,AO398,AO404)</f>
        <v>#VALUE!</v>
      </c>
      <c r="AP490" s="282"/>
    </row>
    <row r="491" spans="1:42" ht="17.100000000000001" customHeight="1" thickBot="1" x14ac:dyDescent="0.3">
      <c r="O491" s="43"/>
      <c r="P491" s="43"/>
      <c r="Z491" s="43"/>
      <c r="AA491" s="43"/>
      <c r="AB491" s="43"/>
      <c r="AC491" s="43"/>
      <c r="AD491" s="289"/>
      <c r="AE491" s="65" t="s">
        <v>125</v>
      </c>
      <c r="AF491" s="268"/>
      <c r="AG491" s="60" t="e">
        <f>MAX(AG8,AG14,AG20,AG26,AG32,AG38,AG44,AG50,AG56,AG62,AG68,AG74,AG80,AG86,AG92,AG98,AG104,AG110,AG116,AG122,AG128,AG134,AG140,AG146,AG152,AG158,AG164,AG170,AG176,AG182,AG188,AG194,AG200,AG206,AG212,AG218,AG224,AG230,AG236,AG242,AG248,AG254,AG260,AG266,AG272,AG278,AG284,AG290,AG296,AG302,AG308,AG314,AG320,AG326,AG332,AG338,AG344,AG350,AG356,AG362,AG368,AG374,AG380,AG386,AG392,AG398,AG404)</f>
        <v>#VALUE!</v>
      </c>
      <c r="AH491" s="278"/>
      <c r="AI491" s="279"/>
      <c r="AJ491" s="280"/>
      <c r="AK491" s="60" t="e">
        <f>MAX(AK8,AK14,AK20,AK26,AK32,AK38,AK44,AK50,AK56,AK62,AK68,AK74,AK80,AK86,AK92,AK98,AK104,AK110,AK116,AK122,AK128,AK134,AK140,AK146,AK152,AK158,AK164,AK170,AK176,AK182,AK188,AK194,AK200,AK206,AK212,AK218,AK224,AK230,AK236,AK242,AK248,AK254,AK260,AK266,AK272,AK278,AK284,AK290,AK296,AK302,AK308,AK314,AK320,AK326,AK332,AK338,AK344,AK350,AK356,AK362,AK368,AK374,AK380,AK386,AK392,AK398,AK404)</f>
        <v>#VALUE!</v>
      </c>
      <c r="AL491" s="283"/>
      <c r="AM491" s="60" t="e">
        <f>MAX(AM8,AM14,AM20,AM26,AM32,AM38,AM44,AM50,AM56,AM62,AM68,AM74,AM80,AM86,AM92,AM98,AM104,AM110,AM116,AM122,AM128,AM134,AM140,AM146,AM152,AM158,AM164,AM170,AM176,AM182,AM188,AM194,AM200,AM206,AM212,AM218,AM224,AM230,AM236,AM242,AM248,AM254,AM260,AM266,AM272,AM278,AM284,AM290,AM296,AM302,AM308,AM314,AM320,AM326,AM332,AM338,AM344,AM350,AM356,AM362,AM368,AM374,AM380,AM386,AM392,AM398,AM404)</f>
        <v>#VALUE!</v>
      </c>
      <c r="AN491" s="283"/>
      <c r="AO491" s="60" t="e">
        <f>MAX(AO8,AO14,AO20,AO26,AO32,AO38,AO44,AO50,AO56,AO62,AO68,AO74,AO80,AO86,AO92,AO98,AO104,AO110,AO116,AO122,AO128,AO134,AO140,AO146,AO152,AO158,AO164,AO170,AO176,AO182,AO188,AO194,AO200,AO206,AO212,AO218,AO224,AO230,AO236,AO242,AO248,AO254,AO260,AO266,AO272,AO278,AO284,AO290,AO296,AO302,AO308,AO314,AO320,AO326,AO332,AO338,AO344,AO350,AO356,AO362,AO368,AO374,AO380,AO386,AO392,AO398,AO404)</f>
        <v>#VALUE!</v>
      </c>
      <c r="AP491" s="283"/>
    </row>
    <row r="492" spans="1:42" s="82" customFormat="1" ht="17.100000000000001" customHeight="1" x14ac:dyDescent="0.25">
      <c r="D492" s="83"/>
      <c r="F492" s="83"/>
      <c r="G492" s="83"/>
      <c r="H492" s="83"/>
      <c r="I492" s="83"/>
      <c r="J492" s="83"/>
      <c r="K492" s="83"/>
      <c r="L492" s="83"/>
      <c r="M492" s="83"/>
      <c r="N492" s="83"/>
      <c r="O492" s="84"/>
      <c r="P492" s="84"/>
      <c r="Z492" s="84"/>
      <c r="AA492" s="84"/>
      <c r="AB492" s="84"/>
      <c r="AC492" s="84"/>
      <c r="AD492" s="85"/>
      <c r="AE492" s="86"/>
      <c r="AF492" s="87"/>
      <c r="AG492" s="88"/>
      <c r="AH492" s="89"/>
      <c r="AI492" s="89"/>
      <c r="AJ492" s="89"/>
      <c r="AK492" s="88"/>
      <c r="AL492" s="89"/>
      <c r="AM492" s="88"/>
      <c r="AN492" s="89"/>
      <c r="AO492" s="88"/>
      <c r="AP492" s="89"/>
    </row>
    <row r="493" spans="1:42" s="82" customFormat="1" ht="17.100000000000001" customHeight="1" thickBot="1" x14ac:dyDescent="0.3">
      <c r="A493" s="104"/>
      <c r="B493" s="104"/>
      <c r="C493" s="104"/>
      <c r="D493" s="105"/>
      <c r="E493" s="104"/>
      <c r="F493" s="105"/>
      <c r="G493" s="105"/>
      <c r="H493" s="105"/>
      <c r="I493" s="105"/>
      <c r="J493" s="105"/>
      <c r="K493" s="105"/>
      <c r="L493" s="105"/>
      <c r="M493" s="105"/>
      <c r="N493" s="105"/>
      <c r="O493" s="106"/>
      <c r="P493" s="106"/>
      <c r="Q493" s="104"/>
      <c r="R493" s="104"/>
      <c r="S493" s="104"/>
      <c r="T493" s="104"/>
      <c r="U493" s="104"/>
      <c r="V493" s="104"/>
      <c r="W493" s="104"/>
      <c r="X493" s="104"/>
      <c r="Y493" s="104"/>
      <c r="Z493" s="106"/>
      <c r="AA493" s="106"/>
      <c r="AB493" s="106"/>
      <c r="AC493" s="106"/>
      <c r="AD493" s="107"/>
      <c r="AE493" s="108"/>
      <c r="AF493" s="109"/>
      <c r="AG493" s="110"/>
      <c r="AH493" s="111"/>
      <c r="AI493" s="111"/>
      <c r="AJ493" s="111"/>
      <c r="AK493" s="110"/>
      <c r="AL493" s="111"/>
      <c r="AM493" s="110"/>
      <c r="AN493" s="111"/>
      <c r="AO493" s="110"/>
      <c r="AP493" s="111"/>
    </row>
    <row r="494" spans="1:42" ht="17.100000000000001" customHeight="1" thickBot="1" x14ac:dyDescent="0.3">
      <c r="A494" s="10"/>
      <c r="B494" s="10"/>
      <c r="C494" s="11"/>
      <c r="D494" s="23"/>
      <c r="E494" s="11"/>
      <c r="F494" s="23"/>
      <c r="G494" s="23"/>
      <c r="H494" s="23"/>
      <c r="I494" s="23"/>
      <c r="J494" s="23"/>
      <c r="K494" s="23"/>
      <c r="L494" s="23"/>
      <c r="M494" s="23"/>
      <c r="N494" s="23"/>
      <c r="O494" s="44"/>
      <c r="P494" s="44"/>
      <c r="Q494" s="11"/>
      <c r="R494" s="11"/>
      <c r="S494" s="11"/>
      <c r="T494" s="11"/>
      <c r="U494" s="11"/>
      <c r="V494" s="11"/>
      <c r="W494" s="11"/>
      <c r="X494" s="11"/>
      <c r="Y494" s="11"/>
      <c r="Z494" s="44"/>
      <c r="AA494" s="44"/>
      <c r="AB494" s="44"/>
      <c r="AC494" s="44"/>
      <c r="AD494" s="11"/>
      <c r="AE494" s="11"/>
      <c r="AF494" s="11"/>
      <c r="AG494" s="12"/>
      <c r="AH494" s="12"/>
      <c r="AI494" s="13"/>
      <c r="AJ494" s="13"/>
      <c r="AK494" s="12"/>
      <c r="AL494" s="12"/>
      <c r="AM494" s="12"/>
      <c r="AN494" s="12"/>
      <c r="AO494" s="12"/>
      <c r="AP494" s="12"/>
    </row>
    <row r="495" spans="1:42" ht="17.100000000000001" customHeight="1" x14ac:dyDescent="0.25">
      <c r="O495" s="45"/>
      <c r="P495" s="45"/>
      <c r="Z495" s="14"/>
      <c r="AA495" s="14"/>
      <c r="AB495" s="14"/>
      <c r="AC495" s="14"/>
    </row>
    <row r="496" spans="1:42" ht="17.100000000000001" customHeight="1" x14ac:dyDescent="0.25">
      <c r="Z496" s="15"/>
      <c r="AA496" s="15"/>
      <c r="AB496" s="15"/>
      <c r="AC496" s="15"/>
    </row>
    <row r="497" spans="15:29" ht="17.100000000000001" customHeight="1" x14ac:dyDescent="0.25">
      <c r="O497" s="45"/>
      <c r="P497" s="45"/>
      <c r="Z497" s="14"/>
      <c r="AA497" s="14"/>
      <c r="AB497" s="14"/>
      <c r="AC497" s="14"/>
    </row>
    <row r="500" spans="15:29" ht="17.100000000000001" customHeight="1" x14ac:dyDescent="0.25">
      <c r="O500" s="43"/>
      <c r="P500" s="43"/>
      <c r="Z500" s="8"/>
      <c r="AA500" s="8"/>
      <c r="AB500" s="8"/>
      <c r="AC500" s="8"/>
    </row>
    <row r="501" spans="15:29" ht="17.100000000000001" customHeight="1" x14ac:dyDescent="0.25">
      <c r="O501" s="43"/>
      <c r="P501" s="43"/>
      <c r="Z501" s="8"/>
      <c r="AA501" s="8"/>
      <c r="AB501" s="8"/>
      <c r="AC501" s="8"/>
    </row>
    <row r="502" spans="15:29" ht="17.100000000000001" customHeight="1" x14ac:dyDescent="0.25">
      <c r="O502" s="43"/>
      <c r="P502" s="43"/>
      <c r="Z502" s="8"/>
      <c r="AA502" s="8"/>
      <c r="AB502" s="8"/>
      <c r="AC502" s="8"/>
    </row>
    <row r="503" spans="15:29" ht="17.100000000000001" customHeight="1" x14ac:dyDescent="0.25">
      <c r="O503" s="43"/>
      <c r="P503" s="43"/>
      <c r="Z503" s="8"/>
      <c r="AA503" s="8"/>
      <c r="AB503" s="8"/>
      <c r="AC503" s="8"/>
    </row>
    <row r="504" spans="15:29" ht="17.100000000000001" customHeight="1" x14ac:dyDescent="0.25">
      <c r="O504" s="43"/>
      <c r="P504" s="43"/>
      <c r="Z504" s="8"/>
      <c r="AA504" s="8"/>
      <c r="AB504" s="8"/>
      <c r="AC504" s="8"/>
    </row>
    <row r="505" spans="15:29" ht="17.100000000000001" customHeight="1" x14ac:dyDescent="0.25">
      <c r="O505" s="43"/>
      <c r="P505" s="43"/>
      <c r="Z505" s="8"/>
      <c r="AA505" s="8"/>
      <c r="AB505" s="8"/>
      <c r="AC505" s="8"/>
    </row>
    <row r="506" spans="15:29" ht="17.100000000000001" customHeight="1" x14ac:dyDescent="0.25">
      <c r="O506" s="43"/>
      <c r="P506" s="43"/>
      <c r="Z506" s="8"/>
      <c r="AA506" s="8"/>
      <c r="AB506" s="8"/>
      <c r="AC506" s="8"/>
    </row>
    <row r="507" spans="15:29" ht="17.100000000000001" customHeight="1" x14ac:dyDescent="0.25">
      <c r="O507" s="43"/>
      <c r="P507" s="43"/>
      <c r="Z507" s="8"/>
      <c r="AA507" s="8"/>
      <c r="AB507" s="8"/>
      <c r="AC507" s="8"/>
    </row>
    <row r="508" spans="15:29" ht="17.100000000000001" customHeight="1" x14ac:dyDescent="0.25">
      <c r="AB508" s="8"/>
      <c r="AC508" s="8"/>
    </row>
    <row r="509" spans="15:29" ht="17.100000000000001" customHeight="1" x14ac:dyDescent="0.25">
      <c r="AB509" s="8"/>
      <c r="AC509" s="8"/>
    </row>
    <row r="510" spans="15:29" ht="17.100000000000001" customHeight="1" x14ac:dyDescent="0.25">
      <c r="O510" s="43"/>
      <c r="P510" s="43"/>
      <c r="Z510" s="8"/>
      <c r="AA510" s="8"/>
      <c r="AB510" s="8"/>
      <c r="AC510" s="8"/>
    </row>
    <row r="511" spans="15:29" ht="17.100000000000001" customHeight="1" x14ac:dyDescent="0.25">
      <c r="O511" s="43"/>
      <c r="P511" s="43"/>
      <c r="Z511" s="8"/>
      <c r="AA511" s="8"/>
      <c r="AB511" s="8"/>
      <c r="AC511" s="8"/>
    </row>
    <row r="512" spans="15:29" ht="17.100000000000001" customHeight="1" x14ac:dyDescent="0.25">
      <c r="O512" s="43"/>
      <c r="P512" s="43"/>
      <c r="Z512" s="8"/>
      <c r="AA512" s="8"/>
      <c r="AB512" s="8"/>
      <c r="AC512" s="8"/>
    </row>
    <row r="513" spans="15:29" ht="17.100000000000001" customHeight="1" x14ac:dyDescent="0.25">
      <c r="O513" s="43"/>
      <c r="P513" s="43"/>
      <c r="Z513" s="8"/>
      <c r="AA513" s="8"/>
      <c r="AB513" s="8"/>
      <c r="AC513" s="8"/>
    </row>
    <row r="514" spans="15:29" ht="17.100000000000001" customHeight="1" x14ac:dyDescent="0.25">
      <c r="O514" s="43"/>
      <c r="P514" s="43"/>
      <c r="Z514" s="8"/>
      <c r="AA514" s="8"/>
      <c r="AB514" s="8"/>
      <c r="AC514" s="8"/>
    </row>
    <row r="515" spans="15:29" ht="17.100000000000001" customHeight="1" x14ac:dyDescent="0.25">
      <c r="O515" s="43"/>
      <c r="P515" s="43"/>
      <c r="Z515" s="8"/>
      <c r="AA515" s="8"/>
      <c r="AB515" s="8"/>
      <c r="AC515" s="8"/>
    </row>
    <row r="516" spans="15:29" ht="17.100000000000001" customHeight="1" x14ac:dyDescent="0.25">
      <c r="O516" s="43"/>
      <c r="P516" s="43"/>
      <c r="Z516" s="8"/>
      <c r="AA516" s="8"/>
      <c r="AB516" s="8"/>
      <c r="AC516" s="8"/>
    </row>
    <row r="517" spans="15:29" ht="17.100000000000001" customHeight="1" x14ac:dyDescent="0.25">
      <c r="O517" s="43"/>
      <c r="P517" s="43"/>
      <c r="Z517" s="8"/>
      <c r="AA517" s="8"/>
      <c r="AB517" s="8"/>
      <c r="AC517" s="8"/>
    </row>
  </sheetData>
  <mergeCells count="1772">
    <mergeCell ref="AN486:AN491"/>
    <mergeCell ref="AP486:AP491"/>
    <mergeCell ref="AF489:AF491"/>
    <mergeCell ref="AF478:AF480"/>
    <mergeCell ref="AD483:AD491"/>
    <mergeCell ref="AF483:AF485"/>
    <mergeCell ref="AF486:AF488"/>
    <mergeCell ref="AH486:AJ491"/>
    <mergeCell ref="AL486:AL491"/>
    <mergeCell ref="AN466:AN471"/>
    <mergeCell ref="AP466:AP471"/>
    <mergeCell ref="AF469:AF471"/>
    <mergeCell ref="AD472:AD480"/>
    <mergeCell ref="AF472:AF474"/>
    <mergeCell ref="AF475:AF477"/>
    <mergeCell ref="AH475:AJ480"/>
    <mergeCell ref="AL475:AL480"/>
    <mergeCell ref="AN475:AN480"/>
    <mergeCell ref="AP475:AP480"/>
    <mergeCell ref="AF460:AF462"/>
    <mergeCell ref="AD463:AD471"/>
    <mergeCell ref="AF463:AF465"/>
    <mergeCell ref="AF466:AF468"/>
    <mergeCell ref="AH466:AJ471"/>
    <mergeCell ref="AL466:AL471"/>
    <mergeCell ref="AN448:AN453"/>
    <mergeCell ref="AP448:AP453"/>
    <mergeCell ref="AF451:AF453"/>
    <mergeCell ref="AD454:AD462"/>
    <mergeCell ref="AF454:AF456"/>
    <mergeCell ref="AF457:AF459"/>
    <mergeCell ref="AH457:AJ462"/>
    <mergeCell ref="AL457:AL462"/>
    <mergeCell ref="AN457:AN462"/>
    <mergeCell ref="AP457:AP462"/>
    <mergeCell ref="AF442:AF444"/>
    <mergeCell ref="AD445:AD453"/>
    <mergeCell ref="AF445:AF447"/>
    <mergeCell ref="AF448:AF450"/>
    <mergeCell ref="AH448:AJ453"/>
    <mergeCell ref="AL448:AL453"/>
    <mergeCell ref="AN430:AN435"/>
    <mergeCell ref="AP430:AP435"/>
    <mergeCell ref="AF433:AF435"/>
    <mergeCell ref="AD436:AD444"/>
    <mergeCell ref="AF436:AF438"/>
    <mergeCell ref="AF439:AF441"/>
    <mergeCell ref="AH439:AJ444"/>
    <mergeCell ref="AL439:AL444"/>
    <mergeCell ref="AN439:AN444"/>
    <mergeCell ref="AP439:AP444"/>
    <mergeCell ref="AF424:AF426"/>
    <mergeCell ref="AD427:AD435"/>
    <mergeCell ref="AF427:AF429"/>
    <mergeCell ref="AF430:AF432"/>
    <mergeCell ref="AH430:AJ435"/>
    <mergeCell ref="AL430:AL435"/>
    <mergeCell ref="AN412:AN417"/>
    <mergeCell ref="AP412:AP417"/>
    <mergeCell ref="AF415:AF417"/>
    <mergeCell ref="AD418:AD426"/>
    <mergeCell ref="AF418:AF420"/>
    <mergeCell ref="AF421:AF423"/>
    <mergeCell ref="AH421:AJ426"/>
    <mergeCell ref="AL421:AL426"/>
    <mergeCell ref="AN421:AN426"/>
    <mergeCell ref="AP421:AP426"/>
    <mergeCell ref="AF408:AG408"/>
    <mergeCell ref="AD409:AD417"/>
    <mergeCell ref="AF409:AF411"/>
    <mergeCell ref="AF412:AF414"/>
    <mergeCell ref="AH412:AJ417"/>
    <mergeCell ref="AL412:AL417"/>
    <mergeCell ref="AO404:AO405"/>
    <mergeCell ref="O407:P407"/>
    <mergeCell ref="Z407:AA407"/>
    <mergeCell ref="AG407:AJ407"/>
    <mergeCell ref="AK407:AL407"/>
    <mergeCell ref="AM407:AN407"/>
    <mergeCell ref="AO407:AP407"/>
    <mergeCell ref="AN400:AN405"/>
    <mergeCell ref="AO400:AO401"/>
    <mergeCell ref="AP400:AP405"/>
    <mergeCell ref="AF402:AF403"/>
    <mergeCell ref="AG402:AG403"/>
    <mergeCell ref="AK402:AK403"/>
    <mergeCell ref="AM402:AM403"/>
    <mergeCell ref="AO402:AO403"/>
    <mergeCell ref="AF404:AF405"/>
    <mergeCell ref="AG404:AG405"/>
    <mergeCell ref="AH400:AH405"/>
    <mergeCell ref="AI400:AI405"/>
    <mergeCell ref="AJ400:AJ405"/>
    <mergeCell ref="AK400:AK401"/>
    <mergeCell ref="AL400:AL405"/>
    <mergeCell ref="AM400:AM401"/>
    <mergeCell ref="AK404:AK405"/>
    <mergeCell ref="AM404:AM405"/>
    <mergeCell ref="B400:B405"/>
    <mergeCell ref="C400:C405"/>
    <mergeCell ref="D400:D405"/>
    <mergeCell ref="E400:E405"/>
    <mergeCell ref="AF400:AF401"/>
    <mergeCell ref="AG400:AG401"/>
    <mergeCell ref="AF396:AF397"/>
    <mergeCell ref="AG396:AG397"/>
    <mergeCell ref="AK396:AK397"/>
    <mergeCell ref="AM396:AM397"/>
    <mergeCell ref="AO396:AO397"/>
    <mergeCell ref="AF398:AF399"/>
    <mergeCell ref="AG398:AG399"/>
    <mergeCell ref="AK398:AK399"/>
    <mergeCell ref="AM398:AM399"/>
    <mergeCell ref="AO398:AO399"/>
    <mergeCell ref="AK394:AK395"/>
    <mergeCell ref="AL394:AL399"/>
    <mergeCell ref="AM394:AM395"/>
    <mergeCell ref="AN394:AN399"/>
    <mergeCell ref="AO394:AO395"/>
    <mergeCell ref="AP394:AP399"/>
    <mergeCell ref="AO392:AO393"/>
    <mergeCell ref="B394:B399"/>
    <mergeCell ref="C394:C399"/>
    <mergeCell ref="D394:D399"/>
    <mergeCell ref="E394:E399"/>
    <mergeCell ref="AF394:AF395"/>
    <mergeCell ref="AG394:AG395"/>
    <mergeCell ref="AH394:AH399"/>
    <mergeCell ref="AI394:AI399"/>
    <mergeCell ref="AJ394:AJ399"/>
    <mergeCell ref="AN388:AN393"/>
    <mergeCell ref="AO388:AO389"/>
    <mergeCell ref="AP388:AP393"/>
    <mergeCell ref="AF390:AF391"/>
    <mergeCell ref="AG390:AG391"/>
    <mergeCell ref="AK390:AK391"/>
    <mergeCell ref="AM390:AM391"/>
    <mergeCell ref="AO390:AO391"/>
    <mergeCell ref="AF392:AF393"/>
    <mergeCell ref="AG392:AG393"/>
    <mergeCell ref="AH388:AH393"/>
    <mergeCell ref="AI388:AI393"/>
    <mergeCell ref="AJ388:AJ393"/>
    <mergeCell ref="AK388:AK389"/>
    <mergeCell ref="AL388:AL393"/>
    <mergeCell ref="AM388:AM389"/>
    <mergeCell ref="AK392:AK393"/>
    <mergeCell ref="AM392:AM393"/>
    <mergeCell ref="B388:B393"/>
    <mergeCell ref="C388:C393"/>
    <mergeCell ref="D388:D393"/>
    <mergeCell ref="AP376:AP381"/>
    <mergeCell ref="AF378:AF379"/>
    <mergeCell ref="AG378:AG379"/>
    <mergeCell ref="AK378:AK379"/>
    <mergeCell ref="AM378:AM379"/>
    <mergeCell ref="AO378:AO379"/>
    <mergeCell ref="AF376:AF377"/>
    <mergeCell ref="AG376:AG377"/>
    <mergeCell ref="AH376:AH381"/>
    <mergeCell ref="AI376:AI381"/>
    <mergeCell ref="AJ376:AJ381"/>
    <mergeCell ref="AK376:AK377"/>
    <mergeCell ref="AF380:AF381"/>
    <mergeCell ref="AG380:AG381"/>
    <mergeCell ref="AK380:AK381"/>
    <mergeCell ref="E388:E393"/>
    <mergeCell ref="AF388:AF389"/>
    <mergeCell ref="AG388:AG389"/>
    <mergeCell ref="AP382:AP387"/>
    <mergeCell ref="AF384:AF385"/>
    <mergeCell ref="AG384:AG385"/>
    <mergeCell ref="AK384:AK385"/>
    <mergeCell ref="AM384:AM385"/>
    <mergeCell ref="AO384:AO385"/>
    <mergeCell ref="AF386:AF387"/>
    <mergeCell ref="AG386:AG387"/>
    <mergeCell ref="AK386:AK387"/>
    <mergeCell ref="AM386:AM387"/>
    <mergeCell ref="AJ382:AJ387"/>
    <mergeCell ref="AK382:AK383"/>
    <mergeCell ref="AL382:AL387"/>
    <mergeCell ref="AM382:AM383"/>
    <mergeCell ref="AF374:AF375"/>
    <mergeCell ref="AG374:AG375"/>
    <mergeCell ref="AK374:AK375"/>
    <mergeCell ref="AM374:AM375"/>
    <mergeCell ref="AJ370:AJ375"/>
    <mergeCell ref="AK370:AK371"/>
    <mergeCell ref="AL370:AL375"/>
    <mergeCell ref="AM370:AM371"/>
    <mergeCell ref="AN370:AN375"/>
    <mergeCell ref="AO370:AO371"/>
    <mergeCell ref="AO374:AO375"/>
    <mergeCell ref="AM380:AM381"/>
    <mergeCell ref="AO380:AO381"/>
    <mergeCell ref="B382:B387"/>
    <mergeCell ref="C382:C387"/>
    <mergeCell ref="D382:D387"/>
    <mergeCell ref="E382:E387"/>
    <mergeCell ref="AF382:AF383"/>
    <mergeCell ref="AG382:AG383"/>
    <mergeCell ref="AH382:AH387"/>
    <mergeCell ref="AI382:AI387"/>
    <mergeCell ref="AL376:AL381"/>
    <mergeCell ref="AM376:AM377"/>
    <mergeCell ref="AN376:AN381"/>
    <mergeCell ref="AO376:AO377"/>
    <mergeCell ref="AN382:AN387"/>
    <mergeCell ref="AO382:AO383"/>
    <mergeCell ref="AO386:AO387"/>
    <mergeCell ref="B370:B375"/>
    <mergeCell ref="C370:C375"/>
    <mergeCell ref="D370:D375"/>
    <mergeCell ref="E370:E375"/>
    <mergeCell ref="AF370:AF371"/>
    <mergeCell ref="AG370:AG371"/>
    <mergeCell ref="AH370:AH375"/>
    <mergeCell ref="AI370:AI375"/>
    <mergeCell ref="AM364:AM365"/>
    <mergeCell ref="AN364:AN369"/>
    <mergeCell ref="AO364:AO365"/>
    <mergeCell ref="AP364:AP369"/>
    <mergeCell ref="AF366:AF367"/>
    <mergeCell ref="AG366:AG367"/>
    <mergeCell ref="AK366:AK367"/>
    <mergeCell ref="AM366:AM367"/>
    <mergeCell ref="AO366:AO367"/>
    <mergeCell ref="AF368:AF369"/>
    <mergeCell ref="AG364:AG365"/>
    <mergeCell ref="AH364:AH369"/>
    <mergeCell ref="AI364:AI369"/>
    <mergeCell ref="AJ364:AJ369"/>
    <mergeCell ref="AK364:AK365"/>
    <mergeCell ref="AL364:AL369"/>
    <mergeCell ref="AG368:AG369"/>
    <mergeCell ref="AK368:AK369"/>
    <mergeCell ref="AP370:AP375"/>
    <mergeCell ref="AF372:AF373"/>
    <mergeCell ref="AG372:AG373"/>
    <mergeCell ref="AK372:AK373"/>
    <mergeCell ref="AM372:AM373"/>
    <mergeCell ref="AO372:AO373"/>
    <mergeCell ref="A364:A405"/>
    <mergeCell ref="B364:B369"/>
    <mergeCell ref="C364:C369"/>
    <mergeCell ref="D364:D369"/>
    <mergeCell ref="E364:E369"/>
    <mergeCell ref="AF364:AF365"/>
    <mergeCell ref="B376:B381"/>
    <mergeCell ref="C376:C381"/>
    <mergeCell ref="D376:D381"/>
    <mergeCell ref="E376:E381"/>
    <mergeCell ref="AP358:AP363"/>
    <mergeCell ref="AF360:AF361"/>
    <mergeCell ref="AG360:AG361"/>
    <mergeCell ref="AK360:AK361"/>
    <mergeCell ref="AM360:AM361"/>
    <mergeCell ref="AO360:AO361"/>
    <mergeCell ref="AF362:AF363"/>
    <mergeCell ref="AG362:AG363"/>
    <mergeCell ref="AK362:AK363"/>
    <mergeCell ref="AM362:AM363"/>
    <mergeCell ref="AJ358:AJ363"/>
    <mergeCell ref="AK358:AK359"/>
    <mergeCell ref="AL358:AL363"/>
    <mergeCell ref="AM358:AM359"/>
    <mergeCell ref="AN358:AN363"/>
    <mergeCell ref="AO358:AO359"/>
    <mergeCell ref="AO362:AO363"/>
    <mergeCell ref="A340:A363"/>
    <mergeCell ref="AF340:AF341"/>
    <mergeCell ref="E352:E357"/>
    <mergeCell ref="AM368:AM369"/>
    <mergeCell ref="AO368:AO369"/>
    <mergeCell ref="AM356:AM357"/>
    <mergeCell ref="AO356:AO357"/>
    <mergeCell ref="B358:B363"/>
    <mergeCell ref="C358:C363"/>
    <mergeCell ref="D358:D363"/>
    <mergeCell ref="E358:E363"/>
    <mergeCell ref="AF358:AF359"/>
    <mergeCell ref="AG358:AG359"/>
    <mergeCell ref="AH358:AH363"/>
    <mergeCell ref="AI358:AI363"/>
    <mergeCell ref="AL352:AL357"/>
    <mergeCell ref="AM352:AM353"/>
    <mergeCell ref="AN352:AN357"/>
    <mergeCell ref="AO352:AO353"/>
    <mergeCell ref="AP352:AP357"/>
    <mergeCell ref="AF354:AF355"/>
    <mergeCell ref="AG354:AG355"/>
    <mergeCell ref="AK354:AK355"/>
    <mergeCell ref="AM354:AM355"/>
    <mergeCell ref="AO354:AO355"/>
    <mergeCell ref="AF352:AF353"/>
    <mergeCell ref="AG352:AG353"/>
    <mergeCell ref="AH352:AH357"/>
    <mergeCell ref="AI352:AI357"/>
    <mergeCell ref="AJ352:AJ357"/>
    <mergeCell ref="AK352:AK353"/>
    <mergeCell ref="AF356:AF357"/>
    <mergeCell ref="AG356:AG357"/>
    <mergeCell ref="AK356:AK357"/>
    <mergeCell ref="B352:B357"/>
    <mergeCell ref="C352:C357"/>
    <mergeCell ref="D352:D357"/>
    <mergeCell ref="AP346:AP351"/>
    <mergeCell ref="AF348:AF349"/>
    <mergeCell ref="AG348:AG349"/>
    <mergeCell ref="AK348:AK349"/>
    <mergeCell ref="AM348:AM349"/>
    <mergeCell ref="AO348:AO349"/>
    <mergeCell ref="AF350:AF351"/>
    <mergeCell ref="AG350:AG351"/>
    <mergeCell ref="AK350:AK351"/>
    <mergeCell ref="AM350:AM351"/>
    <mergeCell ref="AJ346:AJ351"/>
    <mergeCell ref="AK346:AK347"/>
    <mergeCell ref="AL346:AL351"/>
    <mergeCell ref="AM346:AM347"/>
    <mergeCell ref="AN346:AN351"/>
    <mergeCell ref="AO346:AO347"/>
    <mergeCell ref="AO350:AO351"/>
    <mergeCell ref="AM344:AM345"/>
    <mergeCell ref="AO344:AO345"/>
    <mergeCell ref="B346:B351"/>
    <mergeCell ref="C346:C351"/>
    <mergeCell ref="D346:D351"/>
    <mergeCell ref="E346:E351"/>
    <mergeCell ref="AF346:AF347"/>
    <mergeCell ref="AG346:AG347"/>
    <mergeCell ref="AH346:AH351"/>
    <mergeCell ref="AI346:AI351"/>
    <mergeCell ref="AM340:AM341"/>
    <mergeCell ref="AN340:AN345"/>
    <mergeCell ref="AO340:AO341"/>
    <mergeCell ref="AP340:AP345"/>
    <mergeCell ref="AF342:AF343"/>
    <mergeCell ref="AG342:AG343"/>
    <mergeCell ref="AK342:AK343"/>
    <mergeCell ref="AM342:AM343"/>
    <mergeCell ref="AO342:AO343"/>
    <mergeCell ref="AF344:AF345"/>
    <mergeCell ref="AG340:AG341"/>
    <mergeCell ref="AH340:AH345"/>
    <mergeCell ref="AI340:AI345"/>
    <mergeCell ref="AJ340:AJ345"/>
    <mergeCell ref="AK340:AK341"/>
    <mergeCell ref="AL340:AL345"/>
    <mergeCell ref="AG344:AG345"/>
    <mergeCell ref="AK344:AK345"/>
    <mergeCell ref="B340:B345"/>
    <mergeCell ref="C340:C345"/>
    <mergeCell ref="D340:D345"/>
    <mergeCell ref="E340:E345"/>
    <mergeCell ref="AF336:AF337"/>
    <mergeCell ref="AG336:AG337"/>
    <mergeCell ref="AK336:AK337"/>
    <mergeCell ref="AM336:AM337"/>
    <mergeCell ref="AO336:AO337"/>
    <mergeCell ref="AF338:AF339"/>
    <mergeCell ref="AG338:AG339"/>
    <mergeCell ref="AK338:AK339"/>
    <mergeCell ref="AM338:AM339"/>
    <mergeCell ref="AO338:AO339"/>
    <mergeCell ref="AK334:AK335"/>
    <mergeCell ref="AL334:AL339"/>
    <mergeCell ref="AM334:AM335"/>
    <mergeCell ref="AN334:AN339"/>
    <mergeCell ref="AO334:AO335"/>
    <mergeCell ref="AP334:AP339"/>
    <mergeCell ref="AO332:AO333"/>
    <mergeCell ref="B334:B339"/>
    <mergeCell ref="C334:C339"/>
    <mergeCell ref="D334:D339"/>
    <mergeCell ref="E334:E339"/>
    <mergeCell ref="AF334:AF335"/>
    <mergeCell ref="AG334:AG335"/>
    <mergeCell ref="AH334:AH339"/>
    <mergeCell ref="AI334:AI339"/>
    <mergeCell ref="AJ334:AJ339"/>
    <mergeCell ref="AN328:AN333"/>
    <mergeCell ref="AO328:AO329"/>
    <mergeCell ref="AP328:AP333"/>
    <mergeCell ref="AF330:AF331"/>
    <mergeCell ref="AG330:AG331"/>
    <mergeCell ref="AK330:AK331"/>
    <mergeCell ref="AM330:AM331"/>
    <mergeCell ref="AO330:AO331"/>
    <mergeCell ref="AF332:AF333"/>
    <mergeCell ref="AG332:AG333"/>
    <mergeCell ref="AH328:AH333"/>
    <mergeCell ref="AI328:AI333"/>
    <mergeCell ref="AJ328:AJ333"/>
    <mergeCell ref="AK328:AK329"/>
    <mergeCell ref="AL328:AL333"/>
    <mergeCell ref="AM328:AM329"/>
    <mergeCell ref="AK332:AK333"/>
    <mergeCell ref="AM332:AM333"/>
    <mergeCell ref="B328:B333"/>
    <mergeCell ref="C328:C333"/>
    <mergeCell ref="D328:D333"/>
    <mergeCell ref="E328:E333"/>
    <mergeCell ref="AF328:AF329"/>
    <mergeCell ref="AG328:AG329"/>
    <mergeCell ref="AF324:AF325"/>
    <mergeCell ref="AG324:AG325"/>
    <mergeCell ref="AK324:AK325"/>
    <mergeCell ref="AM324:AM325"/>
    <mergeCell ref="AO324:AO325"/>
    <mergeCell ref="AF326:AF327"/>
    <mergeCell ref="AG326:AG327"/>
    <mergeCell ref="AK326:AK327"/>
    <mergeCell ref="AM326:AM327"/>
    <mergeCell ref="AO326:AO327"/>
    <mergeCell ref="AK322:AK323"/>
    <mergeCell ref="AL322:AL327"/>
    <mergeCell ref="AM322:AM323"/>
    <mergeCell ref="AN322:AN327"/>
    <mergeCell ref="AO322:AO323"/>
    <mergeCell ref="AP322:AP327"/>
    <mergeCell ref="AO320:AO321"/>
    <mergeCell ref="B322:B327"/>
    <mergeCell ref="C322:C327"/>
    <mergeCell ref="D322:D327"/>
    <mergeCell ref="E322:E327"/>
    <mergeCell ref="AF322:AF323"/>
    <mergeCell ref="AG322:AG323"/>
    <mergeCell ref="AH322:AH327"/>
    <mergeCell ref="AI322:AI327"/>
    <mergeCell ref="AJ322:AJ327"/>
    <mergeCell ref="AN316:AN321"/>
    <mergeCell ref="AO316:AO317"/>
    <mergeCell ref="AP316:AP321"/>
    <mergeCell ref="AF318:AF319"/>
    <mergeCell ref="AG318:AG319"/>
    <mergeCell ref="AK318:AK319"/>
    <mergeCell ref="AM318:AM319"/>
    <mergeCell ref="AO318:AO319"/>
    <mergeCell ref="AF320:AF321"/>
    <mergeCell ref="AG320:AG321"/>
    <mergeCell ref="AH316:AH321"/>
    <mergeCell ref="AI316:AI321"/>
    <mergeCell ref="AJ316:AJ321"/>
    <mergeCell ref="AK316:AK317"/>
    <mergeCell ref="AL316:AL321"/>
    <mergeCell ref="AM316:AM317"/>
    <mergeCell ref="AK320:AK321"/>
    <mergeCell ref="AM320:AM321"/>
    <mergeCell ref="B316:B321"/>
    <mergeCell ref="C316:C321"/>
    <mergeCell ref="D316:D321"/>
    <mergeCell ref="E316:E321"/>
    <mergeCell ref="AF316:AF317"/>
    <mergeCell ref="AG316:AG317"/>
    <mergeCell ref="AF312:AF313"/>
    <mergeCell ref="AG312:AG313"/>
    <mergeCell ref="AK312:AK313"/>
    <mergeCell ref="AM312:AM313"/>
    <mergeCell ref="AO312:AO313"/>
    <mergeCell ref="AF314:AF315"/>
    <mergeCell ref="AG314:AG315"/>
    <mergeCell ref="AK314:AK315"/>
    <mergeCell ref="AM314:AM315"/>
    <mergeCell ref="AO314:AO315"/>
    <mergeCell ref="AK310:AK311"/>
    <mergeCell ref="AL310:AL315"/>
    <mergeCell ref="AM310:AM311"/>
    <mergeCell ref="AN310:AN315"/>
    <mergeCell ref="AO310:AO311"/>
    <mergeCell ref="AP310:AP315"/>
    <mergeCell ref="AO308:AO309"/>
    <mergeCell ref="B310:B315"/>
    <mergeCell ref="C310:C315"/>
    <mergeCell ref="D310:D315"/>
    <mergeCell ref="E310:E315"/>
    <mergeCell ref="AF310:AF311"/>
    <mergeCell ref="AG310:AG311"/>
    <mergeCell ref="AH310:AH315"/>
    <mergeCell ref="AI310:AI315"/>
    <mergeCell ref="AJ310:AJ315"/>
    <mergeCell ref="AN304:AN309"/>
    <mergeCell ref="AO304:AO305"/>
    <mergeCell ref="AP304:AP309"/>
    <mergeCell ref="AF306:AF307"/>
    <mergeCell ref="AG306:AG307"/>
    <mergeCell ref="AK306:AK307"/>
    <mergeCell ref="AM306:AM307"/>
    <mergeCell ref="AO306:AO307"/>
    <mergeCell ref="AF308:AF309"/>
    <mergeCell ref="AG308:AG309"/>
    <mergeCell ref="AH304:AH309"/>
    <mergeCell ref="AI304:AI309"/>
    <mergeCell ref="AJ304:AJ309"/>
    <mergeCell ref="AK304:AK305"/>
    <mergeCell ref="AL304:AL309"/>
    <mergeCell ref="AM304:AM305"/>
    <mergeCell ref="AK308:AK309"/>
    <mergeCell ref="AM308:AM309"/>
    <mergeCell ref="B304:B309"/>
    <mergeCell ref="C304:C309"/>
    <mergeCell ref="D304:D309"/>
    <mergeCell ref="E304:E309"/>
    <mergeCell ref="AF304:AF305"/>
    <mergeCell ref="AG304:AG305"/>
    <mergeCell ref="AF300:AF301"/>
    <mergeCell ref="AG300:AG301"/>
    <mergeCell ref="AK300:AK301"/>
    <mergeCell ref="AM300:AM301"/>
    <mergeCell ref="AO300:AO301"/>
    <mergeCell ref="AF302:AF303"/>
    <mergeCell ref="AG302:AG303"/>
    <mergeCell ref="AK302:AK303"/>
    <mergeCell ref="AM302:AM303"/>
    <mergeCell ref="AO302:AO303"/>
    <mergeCell ref="AK298:AK299"/>
    <mergeCell ref="AL298:AL303"/>
    <mergeCell ref="AM298:AM299"/>
    <mergeCell ref="AN298:AN303"/>
    <mergeCell ref="AO298:AO299"/>
    <mergeCell ref="AP298:AP303"/>
    <mergeCell ref="AO296:AO297"/>
    <mergeCell ref="B298:B303"/>
    <mergeCell ref="C298:C303"/>
    <mergeCell ref="D298:D303"/>
    <mergeCell ref="E298:E303"/>
    <mergeCell ref="AF298:AF299"/>
    <mergeCell ref="AG298:AG299"/>
    <mergeCell ref="AH298:AH303"/>
    <mergeCell ref="AI298:AI303"/>
    <mergeCell ref="AJ298:AJ303"/>
    <mergeCell ref="AN292:AN297"/>
    <mergeCell ref="AO292:AO293"/>
    <mergeCell ref="AP292:AP297"/>
    <mergeCell ref="AF294:AF295"/>
    <mergeCell ref="AG294:AG295"/>
    <mergeCell ref="AK294:AK295"/>
    <mergeCell ref="AM294:AM295"/>
    <mergeCell ref="AO294:AO295"/>
    <mergeCell ref="AF296:AF297"/>
    <mergeCell ref="AG296:AG297"/>
    <mergeCell ref="AH292:AH297"/>
    <mergeCell ref="AI292:AI297"/>
    <mergeCell ref="AJ292:AJ297"/>
    <mergeCell ref="AK292:AK293"/>
    <mergeCell ref="AL292:AL297"/>
    <mergeCell ref="AM292:AM293"/>
    <mergeCell ref="AK296:AK297"/>
    <mergeCell ref="AM296:AM297"/>
    <mergeCell ref="B292:B297"/>
    <mergeCell ref="C292:C297"/>
    <mergeCell ref="D292:D297"/>
    <mergeCell ref="E292:E297"/>
    <mergeCell ref="AF292:AF293"/>
    <mergeCell ref="AG292:AG293"/>
    <mergeCell ref="AF288:AF289"/>
    <mergeCell ref="AG288:AG289"/>
    <mergeCell ref="AK288:AK289"/>
    <mergeCell ref="AM288:AM289"/>
    <mergeCell ref="AO288:AO289"/>
    <mergeCell ref="AF290:AF291"/>
    <mergeCell ref="AG290:AG291"/>
    <mergeCell ref="AK290:AK291"/>
    <mergeCell ref="AM290:AM291"/>
    <mergeCell ref="AO290:AO291"/>
    <mergeCell ref="AK286:AK287"/>
    <mergeCell ref="AL286:AL291"/>
    <mergeCell ref="AM286:AM287"/>
    <mergeCell ref="AN286:AN291"/>
    <mergeCell ref="AO286:AO287"/>
    <mergeCell ref="AP286:AP291"/>
    <mergeCell ref="AO284:AO285"/>
    <mergeCell ref="B286:B291"/>
    <mergeCell ref="C286:C291"/>
    <mergeCell ref="D286:D291"/>
    <mergeCell ref="E286:E291"/>
    <mergeCell ref="AF286:AF287"/>
    <mergeCell ref="AG286:AG287"/>
    <mergeCell ref="AH286:AH291"/>
    <mergeCell ref="AI286:AI291"/>
    <mergeCell ref="AJ286:AJ291"/>
    <mergeCell ref="AN280:AN285"/>
    <mergeCell ref="AO280:AO281"/>
    <mergeCell ref="AP280:AP285"/>
    <mergeCell ref="AF282:AF283"/>
    <mergeCell ref="AG282:AG283"/>
    <mergeCell ref="AK282:AK283"/>
    <mergeCell ref="AM282:AM283"/>
    <mergeCell ref="AO282:AO283"/>
    <mergeCell ref="AF284:AF285"/>
    <mergeCell ref="AG284:AG285"/>
    <mergeCell ref="AH280:AH285"/>
    <mergeCell ref="AI280:AI285"/>
    <mergeCell ref="AJ280:AJ285"/>
    <mergeCell ref="AK280:AK281"/>
    <mergeCell ref="AL280:AL285"/>
    <mergeCell ref="AM280:AM281"/>
    <mergeCell ref="AK284:AK285"/>
    <mergeCell ref="AM284:AM285"/>
    <mergeCell ref="B280:B285"/>
    <mergeCell ref="C280:C285"/>
    <mergeCell ref="D280:D285"/>
    <mergeCell ref="E280:E285"/>
    <mergeCell ref="AF280:AF281"/>
    <mergeCell ref="AG280:AG281"/>
    <mergeCell ref="AP274:AP279"/>
    <mergeCell ref="AF276:AF277"/>
    <mergeCell ref="AG276:AG277"/>
    <mergeCell ref="AK276:AK277"/>
    <mergeCell ref="AM276:AM277"/>
    <mergeCell ref="AO276:AO277"/>
    <mergeCell ref="AF278:AF279"/>
    <mergeCell ref="AG278:AG279"/>
    <mergeCell ref="AK278:AK279"/>
    <mergeCell ref="AM278:AM279"/>
    <mergeCell ref="AJ274:AJ279"/>
    <mergeCell ref="AK274:AK275"/>
    <mergeCell ref="AL274:AL279"/>
    <mergeCell ref="AM274:AM275"/>
    <mergeCell ref="AN274:AN279"/>
    <mergeCell ref="AO274:AO275"/>
    <mergeCell ref="AO278:AO279"/>
    <mergeCell ref="AO272:AO273"/>
    <mergeCell ref="A274:A339"/>
    <mergeCell ref="B274:B279"/>
    <mergeCell ref="C274:C279"/>
    <mergeCell ref="D274:D279"/>
    <mergeCell ref="E274:E279"/>
    <mergeCell ref="AF274:AF275"/>
    <mergeCell ref="AG274:AG275"/>
    <mergeCell ref="AH274:AH279"/>
    <mergeCell ref="AI274:AI279"/>
    <mergeCell ref="AN268:AN273"/>
    <mergeCell ref="AO268:AO269"/>
    <mergeCell ref="AP268:AP273"/>
    <mergeCell ref="AF270:AF271"/>
    <mergeCell ref="AG270:AG271"/>
    <mergeCell ref="AK270:AK271"/>
    <mergeCell ref="AM270:AM271"/>
    <mergeCell ref="AO270:AO271"/>
    <mergeCell ref="AF272:AF273"/>
    <mergeCell ref="AG272:AG273"/>
    <mergeCell ref="AH268:AH273"/>
    <mergeCell ref="AI268:AI273"/>
    <mergeCell ref="AJ268:AJ273"/>
    <mergeCell ref="AK268:AK269"/>
    <mergeCell ref="AL268:AL273"/>
    <mergeCell ref="AM268:AM269"/>
    <mergeCell ref="AK272:AK273"/>
    <mergeCell ref="AM272:AM273"/>
    <mergeCell ref="B268:B273"/>
    <mergeCell ref="C268:C273"/>
    <mergeCell ref="D268:D273"/>
    <mergeCell ref="E268:E273"/>
    <mergeCell ref="AF268:AF269"/>
    <mergeCell ref="AG268:AG269"/>
    <mergeCell ref="AF264:AF265"/>
    <mergeCell ref="AG264:AG265"/>
    <mergeCell ref="AK264:AK265"/>
    <mergeCell ref="AM264:AM265"/>
    <mergeCell ref="AO264:AO265"/>
    <mergeCell ref="AF266:AF267"/>
    <mergeCell ref="AG266:AG267"/>
    <mergeCell ref="AK266:AK267"/>
    <mergeCell ref="AM266:AM267"/>
    <mergeCell ref="AO266:AO267"/>
    <mergeCell ref="AK262:AK263"/>
    <mergeCell ref="AL262:AL267"/>
    <mergeCell ref="AM262:AM263"/>
    <mergeCell ref="AN262:AN267"/>
    <mergeCell ref="AO262:AO263"/>
    <mergeCell ref="AP262:AP267"/>
    <mergeCell ref="AO260:AO261"/>
    <mergeCell ref="B262:B267"/>
    <mergeCell ref="C262:C267"/>
    <mergeCell ref="D262:D267"/>
    <mergeCell ref="E262:E267"/>
    <mergeCell ref="AF262:AF263"/>
    <mergeCell ref="AG262:AG263"/>
    <mergeCell ref="AH262:AH267"/>
    <mergeCell ref="AI262:AI267"/>
    <mergeCell ref="AJ262:AJ267"/>
    <mergeCell ref="AN256:AN261"/>
    <mergeCell ref="AO256:AO257"/>
    <mergeCell ref="AP256:AP261"/>
    <mergeCell ref="AF258:AF259"/>
    <mergeCell ref="AG258:AG259"/>
    <mergeCell ref="AK258:AK259"/>
    <mergeCell ref="AM258:AM259"/>
    <mergeCell ref="AO258:AO259"/>
    <mergeCell ref="AF260:AF261"/>
    <mergeCell ref="AG260:AG261"/>
    <mergeCell ref="AH256:AH261"/>
    <mergeCell ref="AI256:AI261"/>
    <mergeCell ref="AJ256:AJ261"/>
    <mergeCell ref="AK256:AK257"/>
    <mergeCell ref="AL256:AL261"/>
    <mergeCell ref="AM256:AM257"/>
    <mergeCell ref="AK260:AK261"/>
    <mergeCell ref="AM260:AM261"/>
    <mergeCell ref="B256:B261"/>
    <mergeCell ref="C256:C261"/>
    <mergeCell ref="D256:D261"/>
    <mergeCell ref="E256:E261"/>
    <mergeCell ref="AF256:AF257"/>
    <mergeCell ref="AG256:AG257"/>
    <mergeCell ref="AP250:AP255"/>
    <mergeCell ref="AF252:AF253"/>
    <mergeCell ref="AG252:AG253"/>
    <mergeCell ref="AK252:AK253"/>
    <mergeCell ref="AM252:AM253"/>
    <mergeCell ref="AO252:AO253"/>
    <mergeCell ref="AF254:AF255"/>
    <mergeCell ref="AG254:AG255"/>
    <mergeCell ref="AK254:AK255"/>
    <mergeCell ref="AM254:AM255"/>
    <mergeCell ref="AJ250:AJ255"/>
    <mergeCell ref="AK250:AK251"/>
    <mergeCell ref="AL250:AL255"/>
    <mergeCell ref="AM250:AM251"/>
    <mergeCell ref="AN250:AN255"/>
    <mergeCell ref="AO250:AO251"/>
    <mergeCell ref="AO254:AO255"/>
    <mergeCell ref="AO248:AO249"/>
    <mergeCell ref="A250:A273"/>
    <mergeCell ref="B250:B255"/>
    <mergeCell ref="C250:C255"/>
    <mergeCell ref="D250:D255"/>
    <mergeCell ref="E250:E255"/>
    <mergeCell ref="AF250:AF251"/>
    <mergeCell ref="AG250:AG251"/>
    <mergeCell ref="AH250:AH255"/>
    <mergeCell ref="AI250:AI255"/>
    <mergeCell ref="AN244:AN249"/>
    <mergeCell ref="AO244:AO245"/>
    <mergeCell ref="AP244:AP249"/>
    <mergeCell ref="AF246:AF247"/>
    <mergeCell ref="AG246:AG247"/>
    <mergeCell ref="AK246:AK247"/>
    <mergeCell ref="AM246:AM247"/>
    <mergeCell ref="AO246:AO247"/>
    <mergeCell ref="AF248:AF249"/>
    <mergeCell ref="AG248:AG249"/>
    <mergeCell ref="AH244:AH249"/>
    <mergeCell ref="AI244:AI249"/>
    <mergeCell ref="AJ244:AJ249"/>
    <mergeCell ref="AK244:AK245"/>
    <mergeCell ref="AL244:AL249"/>
    <mergeCell ref="AM244:AM245"/>
    <mergeCell ref="AK248:AK249"/>
    <mergeCell ref="AM248:AM249"/>
    <mergeCell ref="B244:B249"/>
    <mergeCell ref="C244:C249"/>
    <mergeCell ref="D244:D249"/>
    <mergeCell ref="E244:E249"/>
    <mergeCell ref="AF244:AF245"/>
    <mergeCell ref="AG244:AG245"/>
    <mergeCell ref="AF240:AF241"/>
    <mergeCell ref="AG240:AG241"/>
    <mergeCell ref="AK240:AK241"/>
    <mergeCell ref="AM240:AM241"/>
    <mergeCell ref="AO240:AO241"/>
    <mergeCell ref="AF242:AF243"/>
    <mergeCell ref="AG242:AG243"/>
    <mergeCell ref="AK242:AK243"/>
    <mergeCell ref="AM242:AM243"/>
    <mergeCell ref="AO242:AO243"/>
    <mergeCell ref="AK238:AK239"/>
    <mergeCell ref="AL238:AL243"/>
    <mergeCell ref="AM238:AM239"/>
    <mergeCell ref="AN238:AN243"/>
    <mergeCell ref="AO238:AO239"/>
    <mergeCell ref="AP238:AP243"/>
    <mergeCell ref="AO236:AO237"/>
    <mergeCell ref="B238:B243"/>
    <mergeCell ref="C238:C243"/>
    <mergeCell ref="D238:D243"/>
    <mergeCell ref="E238:E243"/>
    <mergeCell ref="AF238:AF239"/>
    <mergeCell ref="AG238:AG239"/>
    <mergeCell ref="AH238:AH243"/>
    <mergeCell ref="AI238:AI243"/>
    <mergeCell ref="AJ238:AJ243"/>
    <mergeCell ref="AN232:AN237"/>
    <mergeCell ref="AO232:AO233"/>
    <mergeCell ref="AP232:AP237"/>
    <mergeCell ref="AF234:AF235"/>
    <mergeCell ref="AG234:AG235"/>
    <mergeCell ref="AK234:AK235"/>
    <mergeCell ref="AM234:AM235"/>
    <mergeCell ref="AO234:AO235"/>
    <mergeCell ref="AF236:AF237"/>
    <mergeCell ref="AG236:AG237"/>
    <mergeCell ref="AH232:AH237"/>
    <mergeCell ref="AI232:AI237"/>
    <mergeCell ref="AJ232:AJ237"/>
    <mergeCell ref="AK232:AK233"/>
    <mergeCell ref="AL232:AL237"/>
    <mergeCell ref="AM232:AM233"/>
    <mergeCell ref="AK236:AK237"/>
    <mergeCell ref="AM236:AM237"/>
    <mergeCell ref="B232:B237"/>
    <mergeCell ref="C232:C237"/>
    <mergeCell ref="D232:D237"/>
    <mergeCell ref="E232:E237"/>
    <mergeCell ref="AF232:AF233"/>
    <mergeCell ref="AG232:AG233"/>
    <mergeCell ref="AF228:AF229"/>
    <mergeCell ref="AG228:AG229"/>
    <mergeCell ref="AK228:AK229"/>
    <mergeCell ref="AM228:AM229"/>
    <mergeCell ref="AO228:AO229"/>
    <mergeCell ref="AF230:AF231"/>
    <mergeCell ref="AG230:AG231"/>
    <mergeCell ref="AK230:AK231"/>
    <mergeCell ref="AM230:AM231"/>
    <mergeCell ref="AO230:AO231"/>
    <mergeCell ref="AK226:AK227"/>
    <mergeCell ref="AL226:AL231"/>
    <mergeCell ref="AM226:AM227"/>
    <mergeCell ref="AN226:AN231"/>
    <mergeCell ref="AO226:AO227"/>
    <mergeCell ref="AP226:AP231"/>
    <mergeCell ref="AO224:AO225"/>
    <mergeCell ref="B226:B231"/>
    <mergeCell ref="C226:C231"/>
    <mergeCell ref="D226:D231"/>
    <mergeCell ref="E226:E231"/>
    <mergeCell ref="AF226:AF227"/>
    <mergeCell ref="AG226:AG227"/>
    <mergeCell ref="AH226:AH231"/>
    <mergeCell ref="AI226:AI231"/>
    <mergeCell ref="AJ226:AJ231"/>
    <mergeCell ref="AN220:AN225"/>
    <mergeCell ref="AO220:AO221"/>
    <mergeCell ref="AP220:AP225"/>
    <mergeCell ref="AF222:AF223"/>
    <mergeCell ref="AG222:AG223"/>
    <mergeCell ref="AK222:AK223"/>
    <mergeCell ref="AM222:AM223"/>
    <mergeCell ref="AO222:AO223"/>
    <mergeCell ref="AF224:AF225"/>
    <mergeCell ref="AG224:AG225"/>
    <mergeCell ref="AH220:AH225"/>
    <mergeCell ref="AI220:AI225"/>
    <mergeCell ref="AJ220:AJ225"/>
    <mergeCell ref="AK220:AK221"/>
    <mergeCell ref="AL220:AL225"/>
    <mergeCell ref="AM220:AM221"/>
    <mergeCell ref="AK224:AK225"/>
    <mergeCell ref="AM224:AM225"/>
    <mergeCell ref="B220:B225"/>
    <mergeCell ref="C220:C225"/>
    <mergeCell ref="D220:D225"/>
    <mergeCell ref="E220:E225"/>
    <mergeCell ref="AF220:AF221"/>
    <mergeCell ref="AG220:AG221"/>
    <mergeCell ref="AP214:AP219"/>
    <mergeCell ref="AF216:AF217"/>
    <mergeCell ref="AG216:AG217"/>
    <mergeCell ref="AK216:AK217"/>
    <mergeCell ref="AM216:AM217"/>
    <mergeCell ref="AO216:AO217"/>
    <mergeCell ref="AF218:AF219"/>
    <mergeCell ref="AG218:AG219"/>
    <mergeCell ref="AK218:AK219"/>
    <mergeCell ref="AM218:AM219"/>
    <mergeCell ref="AJ214:AJ219"/>
    <mergeCell ref="AK214:AK215"/>
    <mergeCell ref="AL214:AL219"/>
    <mergeCell ref="AM214:AM215"/>
    <mergeCell ref="AN214:AN219"/>
    <mergeCell ref="AO214:AO215"/>
    <mergeCell ref="AO218:AO219"/>
    <mergeCell ref="AO212:AO213"/>
    <mergeCell ref="A214:A249"/>
    <mergeCell ref="B214:B219"/>
    <mergeCell ref="C214:C219"/>
    <mergeCell ref="D214:D219"/>
    <mergeCell ref="E214:E219"/>
    <mergeCell ref="AF214:AF215"/>
    <mergeCell ref="AG214:AG215"/>
    <mergeCell ref="AH214:AH219"/>
    <mergeCell ref="AI214:AI219"/>
    <mergeCell ref="AN208:AN213"/>
    <mergeCell ref="AO208:AO209"/>
    <mergeCell ref="AP208:AP213"/>
    <mergeCell ref="AF210:AF211"/>
    <mergeCell ref="AG210:AG211"/>
    <mergeCell ref="AK210:AK211"/>
    <mergeCell ref="AM210:AM211"/>
    <mergeCell ref="AO210:AO211"/>
    <mergeCell ref="AF212:AF213"/>
    <mergeCell ref="AG212:AG213"/>
    <mergeCell ref="AH208:AH213"/>
    <mergeCell ref="AI208:AI213"/>
    <mergeCell ref="AJ208:AJ213"/>
    <mergeCell ref="AK208:AK209"/>
    <mergeCell ref="AL208:AL213"/>
    <mergeCell ref="AM208:AM209"/>
    <mergeCell ref="AK212:AK213"/>
    <mergeCell ref="AM212:AM213"/>
    <mergeCell ref="B208:B213"/>
    <mergeCell ref="C208:C213"/>
    <mergeCell ref="D208:D213"/>
    <mergeCell ref="E208:E213"/>
    <mergeCell ref="AF208:AF209"/>
    <mergeCell ref="AG208:AG209"/>
    <mergeCell ref="AF204:AF205"/>
    <mergeCell ref="AG204:AG205"/>
    <mergeCell ref="AK204:AK205"/>
    <mergeCell ref="AM204:AM205"/>
    <mergeCell ref="AO204:AO205"/>
    <mergeCell ref="AF206:AF207"/>
    <mergeCell ref="AG206:AG207"/>
    <mergeCell ref="AK206:AK207"/>
    <mergeCell ref="AM206:AM207"/>
    <mergeCell ref="AO206:AO207"/>
    <mergeCell ref="AK202:AK203"/>
    <mergeCell ref="AL202:AL207"/>
    <mergeCell ref="AM202:AM203"/>
    <mergeCell ref="AN202:AN207"/>
    <mergeCell ref="AO202:AO203"/>
    <mergeCell ref="AP202:AP207"/>
    <mergeCell ref="AO200:AO201"/>
    <mergeCell ref="B202:B207"/>
    <mergeCell ref="C202:C207"/>
    <mergeCell ref="D202:D207"/>
    <mergeCell ref="E202:E207"/>
    <mergeCell ref="AF202:AF203"/>
    <mergeCell ref="AG202:AG203"/>
    <mergeCell ref="AH202:AH207"/>
    <mergeCell ref="AI202:AI207"/>
    <mergeCell ref="AJ202:AJ207"/>
    <mergeCell ref="AN196:AN201"/>
    <mergeCell ref="AO196:AO197"/>
    <mergeCell ref="AP196:AP201"/>
    <mergeCell ref="AF198:AF199"/>
    <mergeCell ref="AG198:AG199"/>
    <mergeCell ref="AK198:AK199"/>
    <mergeCell ref="AM198:AM199"/>
    <mergeCell ref="AO198:AO199"/>
    <mergeCell ref="AF200:AF201"/>
    <mergeCell ref="AG200:AG201"/>
    <mergeCell ref="AH196:AH201"/>
    <mergeCell ref="AI196:AI201"/>
    <mergeCell ref="AJ196:AJ201"/>
    <mergeCell ref="AK196:AK197"/>
    <mergeCell ref="AL196:AL201"/>
    <mergeCell ref="AM196:AM197"/>
    <mergeCell ref="AK200:AK201"/>
    <mergeCell ref="AM200:AM201"/>
    <mergeCell ref="B196:B201"/>
    <mergeCell ref="C196:C201"/>
    <mergeCell ref="D196:D201"/>
    <mergeCell ref="E196:E201"/>
    <mergeCell ref="AF196:AF197"/>
    <mergeCell ref="AG196:AG197"/>
    <mergeCell ref="AF192:AF193"/>
    <mergeCell ref="AG192:AG193"/>
    <mergeCell ref="AK192:AK193"/>
    <mergeCell ref="AM192:AM193"/>
    <mergeCell ref="AO192:AO193"/>
    <mergeCell ref="AF194:AF195"/>
    <mergeCell ref="AG194:AG195"/>
    <mergeCell ref="AK194:AK195"/>
    <mergeCell ref="AM194:AM195"/>
    <mergeCell ref="AO194:AO195"/>
    <mergeCell ref="AK190:AK191"/>
    <mergeCell ref="AL190:AL195"/>
    <mergeCell ref="AM190:AM191"/>
    <mergeCell ref="AN190:AN195"/>
    <mergeCell ref="AO190:AO191"/>
    <mergeCell ref="AP190:AP195"/>
    <mergeCell ref="AO188:AO189"/>
    <mergeCell ref="B190:B195"/>
    <mergeCell ref="C190:C195"/>
    <mergeCell ref="D190:D195"/>
    <mergeCell ref="E190:E195"/>
    <mergeCell ref="AF190:AF191"/>
    <mergeCell ref="AG190:AG191"/>
    <mergeCell ref="AH190:AH195"/>
    <mergeCell ref="AI190:AI195"/>
    <mergeCell ref="AJ190:AJ195"/>
    <mergeCell ref="AN184:AN189"/>
    <mergeCell ref="AO184:AO185"/>
    <mergeCell ref="AP184:AP189"/>
    <mergeCell ref="AF186:AF187"/>
    <mergeCell ref="AG186:AG187"/>
    <mergeCell ref="AK186:AK187"/>
    <mergeCell ref="AM186:AM187"/>
    <mergeCell ref="AO186:AO187"/>
    <mergeCell ref="AF188:AF189"/>
    <mergeCell ref="AG188:AG189"/>
    <mergeCell ref="AH184:AH189"/>
    <mergeCell ref="AI184:AI189"/>
    <mergeCell ref="AJ184:AJ189"/>
    <mergeCell ref="AK184:AK185"/>
    <mergeCell ref="AL184:AL189"/>
    <mergeCell ref="AM184:AM185"/>
    <mergeCell ref="AK188:AK189"/>
    <mergeCell ref="AM188:AM189"/>
    <mergeCell ref="B184:B189"/>
    <mergeCell ref="C184:C189"/>
    <mergeCell ref="D184:D189"/>
    <mergeCell ref="E184:E189"/>
    <mergeCell ref="AF184:AF185"/>
    <mergeCell ref="AG184:AG185"/>
    <mergeCell ref="AF180:AF181"/>
    <mergeCell ref="AG180:AG181"/>
    <mergeCell ref="AK180:AK181"/>
    <mergeCell ref="AM180:AM181"/>
    <mergeCell ref="AO180:AO181"/>
    <mergeCell ref="AF182:AF183"/>
    <mergeCell ref="AG182:AG183"/>
    <mergeCell ref="AK182:AK183"/>
    <mergeCell ref="AM182:AM183"/>
    <mergeCell ref="AO182:AO183"/>
    <mergeCell ref="AK178:AK179"/>
    <mergeCell ref="AL178:AL183"/>
    <mergeCell ref="AM178:AM179"/>
    <mergeCell ref="AN178:AN183"/>
    <mergeCell ref="AO178:AO179"/>
    <mergeCell ref="AP178:AP183"/>
    <mergeCell ref="AO176:AO177"/>
    <mergeCell ref="B178:B183"/>
    <mergeCell ref="C178:C183"/>
    <mergeCell ref="D178:D183"/>
    <mergeCell ref="E178:E183"/>
    <mergeCell ref="AF178:AF179"/>
    <mergeCell ref="AG178:AG179"/>
    <mergeCell ref="AH178:AH183"/>
    <mergeCell ref="AI178:AI183"/>
    <mergeCell ref="AJ178:AJ183"/>
    <mergeCell ref="AN172:AN177"/>
    <mergeCell ref="AO172:AO173"/>
    <mergeCell ref="AP172:AP177"/>
    <mergeCell ref="AF174:AF175"/>
    <mergeCell ref="AG174:AG175"/>
    <mergeCell ref="AK174:AK175"/>
    <mergeCell ref="AM174:AM175"/>
    <mergeCell ref="AO174:AO175"/>
    <mergeCell ref="AF176:AF177"/>
    <mergeCell ref="AG176:AG177"/>
    <mergeCell ref="AH172:AH177"/>
    <mergeCell ref="AI172:AI177"/>
    <mergeCell ref="AJ172:AJ177"/>
    <mergeCell ref="AK172:AK173"/>
    <mergeCell ref="AL172:AL177"/>
    <mergeCell ref="AM172:AM173"/>
    <mergeCell ref="AK176:AK177"/>
    <mergeCell ref="AM176:AM177"/>
    <mergeCell ref="B172:B177"/>
    <mergeCell ref="C172:C177"/>
    <mergeCell ref="D172:D177"/>
    <mergeCell ref="E172:E177"/>
    <mergeCell ref="AF172:AF173"/>
    <mergeCell ref="AG172:AG173"/>
    <mergeCell ref="AP166:AP171"/>
    <mergeCell ref="AF168:AF169"/>
    <mergeCell ref="AG168:AG169"/>
    <mergeCell ref="AK168:AK169"/>
    <mergeCell ref="AM168:AM169"/>
    <mergeCell ref="AO168:AO169"/>
    <mergeCell ref="AF170:AF171"/>
    <mergeCell ref="AG170:AG171"/>
    <mergeCell ref="AK170:AK171"/>
    <mergeCell ref="AM170:AM171"/>
    <mergeCell ref="AJ166:AJ171"/>
    <mergeCell ref="AK166:AK167"/>
    <mergeCell ref="AL166:AL171"/>
    <mergeCell ref="AM166:AM167"/>
    <mergeCell ref="AN166:AN171"/>
    <mergeCell ref="AO166:AO167"/>
    <mergeCell ref="AO170:AO171"/>
    <mergeCell ref="AO164:AO165"/>
    <mergeCell ref="A166:A213"/>
    <mergeCell ref="B166:B171"/>
    <mergeCell ref="C166:C171"/>
    <mergeCell ref="D166:D171"/>
    <mergeCell ref="E166:E171"/>
    <mergeCell ref="AF166:AF167"/>
    <mergeCell ref="AG166:AG167"/>
    <mergeCell ref="AH166:AH171"/>
    <mergeCell ref="AI166:AI171"/>
    <mergeCell ref="AN160:AN165"/>
    <mergeCell ref="AO160:AO161"/>
    <mergeCell ref="AP160:AP165"/>
    <mergeCell ref="AF162:AF163"/>
    <mergeCell ref="AG162:AG163"/>
    <mergeCell ref="AK162:AK163"/>
    <mergeCell ref="AM162:AM163"/>
    <mergeCell ref="AO162:AO163"/>
    <mergeCell ref="AF164:AF165"/>
    <mergeCell ref="AG164:AG165"/>
    <mergeCell ref="AH160:AH165"/>
    <mergeCell ref="AI160:AI165"/>
    <mergeCell ref="AJ160:AJ165"/>
    <mergeCell ref="AK160:AK161"/>
    <mergeCell ref="AL160:AL165"/>
    <mergeCell ref="AM160:AM161"/>
    <mergeCell ref="AK164:AK165"/>
    <mergeCell ref="AM164:AM165"/>
    <mergeCell ref="B160:B165"/>
    <mergeCell ref="C160:C165"/>
    <mergeCell ref="D160:D165"/>
    <mergeCell ref="E160:E165"/>
    <mergeCell ref="AF160:AF161"/>
    <mergeCell ref="AG160:AG161"/>
    <mergeCell ref="AF156:AF157"/>
    <mergeCell ref="AG156:AG157"/>
    <mergeCell ref="AK156:AK157"/>
    <mergeCell ref="AM156:AM157"/>
    <mergeCell ref="AO156:AO157"/>
    <mergeCell ref="AF158:AF159"/>
    <mergeCell ref="AG158:AG159"/>
    <mergeCell ref="AK158:AK159"/>
    <mergeCell ref="AM158:AM159"/>
    <mergeCell ref="AO158:AO159"/>
    <mergeCell ref="AK154:AK155"/>
    <mergeCell ref="AL154:AL159"/>
    <mergeCell ref="AM154:AM155"/>
    <mergeCell ref="AN154:AN159"/>
    <mergeCell ref="AO154:AO155"/>
    <mergeCell ref="AP154:AP159"/>
    <mergeCell ref="AO152:AO153"/>
    <mergeCell ref="B154:B159"/>
    <mergeCell ref="C154:C159"/>
    <mergeCell ref="D154:D159"/>
    <mergeCell ref="E154:E159"/>
    <mergeCell ref="AF154:AF155"/>
    <mergeCell ref="AG154:AG155"/>
    <mergeCell ref="AH154:AH159"/>
    <mergeCell ref="AI154:AI159"/>
    <mergeCell ref="AJ154:AJ159"/>
    <mergeCell ref="AN148:AN153"/>
    <mergeCell ref="AO148:AO149"/>
    <mergeCell ref="AP148:AP153"/>
    <mergeCell ref="AF150:AF151"/>
    <mergeCell ref="AG150:AG151"/>
    <mergeCell ref="AK150:AK151"/>
    <mergeCell ref="AM150:AM151"/>
    <mergeCell ref="AO150:AO151"/>
    <mergeCell ref="AF152:AF153"/>
    <mergeCell ref="AG152:AG153"/>
    <mergeCell ref="AH148:AH153"/>
    <mergeCell ref="AI148:AI153"/>
    <mergeCell ref="AJ148:AJ153"/>
    <mergeCell ref="AK148:AK149"/>
    <mergeCell ref="AL148:AL153"/>
    <mergeCell ref="AM148:AM149"/>
    <mergeCell ref="AK152:AK153"/>
    <mergeCell ref="AM152:AM153"/>
    <mergeCell ref="B148:B153"/>
    <mergeCell ref="C148:C153"/>
    <mergeCell ref="D148:D153"/>
    <mergeCell ref="E148:E153"/>
    <mergeCell ref="AF148:AF149"/>
    <mergeCell ref="AG148:AG149"/>
    <mergeCell ref="AF144:AF145"/>
    <mergeCell ref="AG144:AG145"/>
    <mergeCell ref="AK144:AK145"/>
    <mergeCell ref="AM144:AM145"/>
    <mergeCell ref="AO144:AO145"/>
    <mergeCell ref="AF146:AF147"/>
    <mergeCell ref="AG146:AG147"/>
    <mergeCell ref="AK146:AK147"/>
    <mergeCell ref="AM146:AM147"/>
    <mergeCell ref="AO146:AO147"/>
    <mergeCell ref="AK142:AK143"/>
    <mergeCell ref="AL142:AL147"/>
    <mergeCell ref="AM142:AM143"/>
    <mergeCell ref="AN142:AN147"/>
    <mergeCell ref="AO142:AO143"/>
    <mergeCell ref="AP142:AP147"/>
    <mergeCell ref="AO140:AO141"/>
    <mergeCell ref="B142:B147"/>
    <mergeCell ref="C142:C147"/>
    <mergeCell ref="D142:D147"/>
    <mergeCell ref="E142:E147"/>
    <mergeCell ref="AF142:AF143"/>
    <mergeCell ref="AG142:AG143"/>
    <mergeCell ref="AH142:AH147"/>
    <mergeCell ref="AI142:AI147"/>
    <mergeCell ref="AJ142:AJ147"/>
    <mergeCell ref="AN136:AN141"/>
    <mergeCell ref="AO136:AO137"/>
    <mergeCell ref="AP136:AP141"/>
    <mergeCell ref="AF138:AF139"/>
    <mergeCell ref="AG138:AG139"/>
    <mergeCell ref="AK138:AK139"/>
    <mergeCell ref="AM138:AM139"/>
    <mergeCell ref="AO138:AO139"/>
    <mergeCell ref="AF140:AF141"/>
    <mergeCell ref="AG140:AG141"/>
    <mergeCell ref="AH136:AH141"/>
    <mergeCell ref="AI136:AI141"/>
    <mergeCell ref="AJ136:AJ141"/>
    <mergeCell ref="AK136:AK137"/>
    <mergeCell ref="AL136:AL141"/>
    <mergeCell ref="AM136:AM137"/>
    <mergeCell ref="AK140:AK141"/>
    <mergeCell ref="AM140:AM141"/>
    <mergeCell ref="B136:B141"/>
    <mergeCell ref="C136:C141"/>
    <mergeCell ref="D136:D141"/>
    <mergeCell ref="E136:E141"/>
    <mergeCell ref="AF136:AF137"/>
    <mergeCell ref="AG136:AG137"/>
    <mergeCell ref="AF132:AF133"/>
    <mergeCell ref="AG132:AG133"/>
    <mergeCell ref="AK132:AK133"/>
    <mergeCell ref="AM132:AM133"/>
    <mergeCell ref="AO132:AO133"/>
    <mergeCell ref="AF134:AF135"/>
    <mergeCell ref="AG134:AG135"/>
    <mergeCell ref="AK134:AK135"/>
    <mergeCell ref="AM134:AM135"/>
    <mergeCell ref="AO134:AO135"/>
    <mergeCell ref="AK130:AK131"/>
    <mergeCell ref="AL130:AL135"/>
    <mergeCell ref="AM130:AM131"/>
    <mergeCell ref="AN130:AN135"/>
    <mergeCell ref="AO130:AO131"/>
    <mergeCell ref="AP130:AP135"/>
    <mergeCell ref="AO128:AO129"/>
    <mergeCell ref="B130:B135"/>
    <mergeCell ref="C130:C135"/>
    <mergeCell ref="D130:D135"/>
    <mergeCell ref="E130:E135"/>
    <mergeCell ref="AF130:AF131"/>
    <mergeCell ref="AG130:AG131"/>
    <mergeCell ref="AH130:AH135"/>
    <mergeCell ref="AI130:AI135"/>
    <mergeCell ref="AJ130:AJ135"/>
    <mergeCell ref="AN124:AN129"/>
    <mergeCell ref="AO124:AO125"/>
    <mergeCell ref="AP124:AP129"/>
    <mergeCell ref="AF126:AF127"/>
    <mergeCell ref="AG126:AG127"/>
    <mergeCell ref="AK126:AK127"/>
    <mergeCell ref="AM126:AM127"/>
    <mergeCell ref="AO126:AO127"/>
    <mergeCell ref="AF128:AF129"/>
    <mergeCell ref="AG128:AG129"/>
    <mergeCell ref="AH124:AH129"/>
    <mergeCell ref="AI124:AI129"/>
    <mergeCell ref="AJ124:AJ129"/>
    <mergeCell ref="AK124:AK125"/>
    <mergeCell ref="AL124:AL129"/>
    <mergeCell ref="AM124:AM125"/>
    <mergeCell ref="AK128:AK129"/>
    <mergeCell ref="AM128:AM129"/>
    <mergeCell ref="B124:B129"/>
    <mergeCell ref="C124:C129"/>
    <mergeCell ref="D124:D129"/>
    <mergeCell ref="E124:E129"/>
    <mergeCell ref="AF124:AF125"/>
    <mergeCell ref="AG124:AG125"/>
    <mergeCell ref="AF120:AF121"/>
    <mergeCell ref="AG120:AG121"/>
    <mergeCell ref="AK120:AK121"/>
    <mergeCell ref="AM120:AM121"/>
    <mergeCell ref="AO120:AO121"/>
    <mergeCell ref="AF122:AF123"/>
    <mergeCell ref="AG122:AG123"/>
    <mergeCell ref="AK122:AK123"/>
    <mergeCell ref="AM122:AM123"/>
    <mergeCell ref="AO122:AO123"/>
    <mergeCell ref="AK118:AK119"/>
    <mergeCell ref="AL118:AL123"/>
    <mergeCell ref="AM118:AM119"/>
    <mergeCell ref="AN118:AN123"/>
    <mergeCell ref="AO118:AO119"/>
    <mergeCell ref="AP118:AP123"/>
    <mergeCell ref="AO116:AO117"/>
    <mergeCell ref="B118:B123"/>
    <mergeCell ref="C118:C123"/>
    <mergeCell ref="D118:D123"/>
    <mergeCell ref="E118:E123"/>
    <mergeCell ref="AF118:AF119"/>
    <mergeCell ref="AG118:AG119"/>
    <mergeCell ref="AH118:AH123"/>
    <mergeCell ref="AI118:AI123"/>
    <mergeCell ref="AJ118:AJ123"/>
    <mergeCell ref="AN112:AN117"/>
    <mergeCell ref="AO112:AO113"/>
    <mergeCell ref="AP112:AP117"/>
    <mergeCell ref="AF114:AF115"/>
    <mergeCell ref="AG114:AG115"/>
    <mergeCell ref="AK114:AK115"/>
    <mergeCell ref="AM114:AM115"/>
    <mergeCell ref="AO114:AO115"/>
    <mergeCell ref="AF116:AF117"/>
    <mergeCell ref="AG116:AG117"/>
    <mergeCell ref="AH112:AH117"/>
    <mergeCell ref="AI112:AI117"/>
    <mergeCell ref="AJ112:AJ117"/>
    <mergeCell ref="AK112:AK113"/>
    <mergeCell ref="AL112:AL117"/>
    <mergeCell ref="AM112:AM113"/>
    <mergeCell ref="AK116:AK117"/>
    <mergeCell ref="AM116:AM117"/>
    <mergeCell ref="B112:B117"/>
    <mergeCell ref="C112:C117"/>
    <mergeCell ref="D112:D117"/>
    <mergeCell ref="E112:E117"/>
    <mergeCell ref="AF112:AF113"/>
    <mergeCell ref="AG112:AG113"/>
    <mergeCell ref="AF108:AF109"/>
    <mergeCell ref="AG108:AG109"/>
    <mergeCell ref="AK108:AK109"/>
    <mergeCell ref="AM108:AM109"/>
    <mergeCell ref="AO108:AO109"/>
    <mergeCell ref="AF110:AF111"/>
    <mergeCell ref="AG110:AG111"/>
    <mergeCell ref="AK110:AK111"/>
    <mergeCell ref="AM110:AM111"/>
    <mergeCell ref="AO110:AO111"/>
    <mergeCell ref="AK106:AK107"/>
    <mergeCell ref="AL106:AL111"/>
    <mergeCell ref="AM106:AM107"/>
    <mergeCell ref="AN106:AN111"/>
    <mergeCell ref="AO106:AO107"/>
    <mergeCell ref="AP106:AP111"/>
    <mergeCell ref="AO104:AO105"/>
    <mergeCell ref="B106:B111"/>
    <mergeCell ref="C106:C111"/>
    <mergeCell ref="D106:D111"/>
    <mergeCell ref="E106:E111"/>
    <mergeCell ref="AF106:AF107"/>
    <mergeCell ref="AG106:AG107"/>
    <mergeCell ref="AH106:AH111"/>
    <mergeCell ref="AI106:AI111"/>
    <mergeCell ref="AJ106:AJ111"/>
    <mergeCell ref="AN100:AN105"/>
    <mergeCell ref="AO100:AO101"/>
    <mergeCell ref="AP100:AP105"/>
    <mergeCell ref="AF102:AF103"/>
    <mergeCell ref="AG102:AG103"/>
    <mergeCell ref="AK102:AK103"/>
    <mergeCell ref="AM102:AM103"/>
    <mergeCell ref="AO102:AO103"/>
    <mergeCell ref="AF104:AF105"/>
    <mergeCell ref="AG104:AG105"/>
    <mergeCell ref="AH100:AH105"/>
    <mergeCell ref="AI100:AI105"/>
    <mergeCell ref="AJ100:AJ105"/>
    <mergeCell ref="AK100:AK101"/>
    <mergeCell ref="AL100:AL105"/>
    <mergeCell ref="AM100:AM101"/>
    <mergeCell ref="AK104:AK105"/>
    <mergeCell ref="AM104:AM105"/>
    <mergeCell ref="B100:B105"/>
    <mergeCell ref="C100:C105"/>
    <mergeCell ref="D100:D105"/>
    <mergeCell ref="E100:E105"/>
    <mergeCell ref="AF100:AF101"/>
    <mergeCell ref="AG100:AG101"/>
    <mergeCell ref="AF96:AF97"/>
    <mergeCell ref="AG96:AG97"/>
    <mergeCell ref="AK96:AK97"/>
    <mergeCell ref="AM96:AM97"/>
    <mergeCell ref="AO96:AO97"/>
    <mergeCell ref="AF98:AF99"/>
    <mergeCell ref="AG98:AG99"/>
    <mergeCell ref="AK98:AK99"/>
    <mergeCell ref="AM98:AM99"/>
    <mergeCell ref="AO98:AO99"/>
    <mergeCell ref="AK94:AK95"/>
    <mergeCell ref="AL94:AL99"/>
    <mergeCell ref="AM94:AM95"/>
    <mergeCell ref="AN94:AN99"/>
    <mergeCell ref="AO94:AO95"/>
    <mergeCell ref="AP94:AP99"/>
    <mergeCell ref="AO92:AO93"/>
    <mergeCell ref="B94:B99"/>
    <mergeCell ref="C94:C99"/>
    <mergeCell ref="D94:D99"/>
    <mergeCell ref="E94:E99"/>
    <mergeCell ref="AF94:AF95"/>
    <mergeCell ref="AG94:AG95"/>
    <mergeCell ref="AH94:AH99"/>
    <mergeCell ref="AI94:AI99"/>
    <mergeCell ref="AJ94:AJ99"/>
    <mergeCell ref="AN88:AN93"/>
    <mergeCell ref="AO88:AO89"/>
    <mergeCell ref="AP88:AP93"/>
    <mergeCell ref="AF90:AF91"/>
    <mergeCell ref="AG90:AG91"/>
    <mergeCell ref="AK90:AK91"/>
    <mergeCell ref="AM90:AM91"/>
    <mergeCell ref="AO90:AO91"/>
    <mergeCell ref="AF92:AF93"/>
    <mergeCell ref="AG92:AG93"/>
    <mergeCell ref="AH88:AH93"/>
    <mergeCell ref="AI88:AI93"/>
    <mergeCell ref="AJ88:AJ93"/>
    <mergeCell ref="AK88:AK89"/>
    <mergeCell ref="AL88:AL93"/>
    <mergeCell ref="AM88:AM89"/>
    <mergeCell ref="AK92:AK93"/>
    <mergeCell ref="AM92:AM93"/>
    <mergeCell ref="B88:B93"/>
    <mergeCell ref="C88:C93"/>
    <mergeCell ref="D88:D93"/>
    <mergeCell ref="E88:E93"/>
    <mergeCell ref="AF88:AF89"/>
    <mergeCell ref="AG88:AG89"/>
    <mergeCell ref="AF84:AF85"/>
    <mergeCell ref="AG84:AG85"/>
    <mergeCell ref="AK84:AK85"/>
    <mergeCell ref="AM84:AM85"/>
    <mergeCell ref="AO84:AO85"/>
    <mergeCell ref="AF86:AF87"/>
    <mergeCell ref="AG86:AG87"/>
    <mergeCell ref="AK86:AK87"/>
    <mergeCell ref="AM86:AM87"/>
    <mergeCell ref="AO86:AO87"/>
    <mergeCell ref="AK82:AK83"/>
    <mergeCell ref="AL82:AL87"/>
    <mergeCell ref="AM82:AM83"/>
    <mergeCell ref="AN82:AN87"/>
    <mergeCell ref="AO82:AO83"/>
    <mergeCell ref="AP82:AP87"/>
    <mergeCell ref="AO80:AO81"/>
    <mergeCell ref="B82:B87"/>
    <mergeCell ref="C82:C87"/>
    <mergeCell ref="D82:D87"/>
    <mergeCell ref="E82:E87"/>
    <mergeCell ref="AF82:AF83"/>
    <mergeCell ref="AG82:AG83"/>
    <mergeCell ref="AH82:AH87"/>
    <mergeCell ref="AI82:AI87"/>
    <mergeCell ref="AJ82:AJ87"/>
    <mergeCell ref="AN76:AN81"/>
    <mergeCell ref="AO76:AO77"/>
    <mergeCell ref="AP76:AP81"/>
    <mergeCell ref="AF78:AF79"/>
    <mergeCell ref="AG78:AG79"/>
    <mergeCell ref="AK78:AK79"/>
    <mergeCell ref="AM78:AM79"/>
    <mergeCell ref="AO78:AO79"/>
    <mergeCell ref="AF80:AF81"/>
    <mergeCell ref="AG80:AG81"/>
    <mergeCell ref="AH76:AH81"/>
    <mergeCell ref="AI76:AI81"/>
    <mergeCell ref="AJ76:AJ81"/>
    <mergeCell ref="AK76:AK77"/>
    <mergeCell ref="AL76:AL81"/>
    <mergeCell ref="AM76:AM77"/>
    <mergeCell ref="AK80:AK81"/>
    <mergeCell ref="AM80:AM81"/>
    <mergeCell ref="B76:B81"/>
    <mergeCell ref="C76:C81"/>
    <mergeCell ref="D76:D81"/>
    <mergeCell ref="E76:E81"/>
    <mergeCell ref="AF76:AF77"/>
    <mergeCell ref="AG76:AG77"/>
    <mergeCell ref="AP70:AP75"/>
    <mergeCell ref="AF72:AF73"/>
    <mergeCell ref="AG72:AG73"/>
    <mergeCell ref="AK72:AK73"/>
    <mergeCell ref="AM72:AM73"/>
    <mergeCell ref="AO72:AO73"/>
    <mergeCell ref="AF74:AF75"/>
    <mergeCell ref="AG74:AG75"/>
    <mergeCell ref="AK74:AK75"/>
    <mergeCell ref="AM74:AM75"/>
    <mergeCell ref="AJ70:AJ75"/>
    <mergeCell ref="AK70:AK71"/>
    <mergeCell ref="AL70:AL75"/>
    <mergeCell ref="AM70:AM71"/>
    <mergeCell ref="AN70:AN75"/>
    <mergeCell ref="AO70:AO71"/>
    <mergeCell ref="AO74:AO75"/>
    <mergeCell ref="AO62:AO63"/>
    <mergeCell ref="AM68:AM69"/>
    <mergeCell ref="AO68:AO69"/>
    <mergeCell ref="B70:B75"/>
    <mergeCell ref="C70:C75"/>
    <mergeCell ref="D70:D75"/>
    <mergeCell ref="E70:E75"/>
    <mergeCell ref="AF70:AF71"/>
    <mergeCell ref="AG70:AG71"/>
    <mergeCell ref="AH70:AH75"/>
    <mergeCell ref="AI70:AI75"/>
    <mergeCell ref="AL64:AL69"/>
    <mergeCell ref="AM64:AM65"/>
    <mergeCell ref="AN64:AN69"/>
    <mergeCell ref="AO64:AO65"/>
    <mergeCell ref="AP64:AP69"/>
    <mergeCell ref="AF66:AF67"/>
    <mergeCell ref="AG66:AG67"/>
    <mergeCell ref="AK66:AK67"/>
    <mergeCell ref="AM66:AM67"/>
    <mergeCell ref="AO66:AO67"/>
    <mergeCell ref="AF64:AF65"/>
    <mergeCell ref="AG64:AG65"/>
    <mergeCell ref="AH64:AH69"/>
    <mergeCell ref="AI64:AI69"/>
    <mergeCell ref="AJ64:AJ69"/>
    <mergeCell ref="AK64:AK65"/>
    <mergeCell ref="AF68:AF69"/>
    <mergeCell ref="AG68:AG69"/>
    <mergeCell ref="AK68:AK69"/>
    <mergeCell ref="AO52:AO53"/>
    <mergeCell ref="AP52:AP57"/>
    <mergeCell ref="AF54:AF55"/>
    <mergeCell ref="AG54:AG55"/>
    <mergeCell ref="AK54:AK55"/>
    <mergeCell ref="AM54:AM55"/>
    <mergeCell ref="AO54:AO55"/>
    <mergeCell ref="AF56:AF57"/>
    <mergeCell ref="AG52:AG53"/>
    <mergeCell ref="AH52:AH57"/>
    <mergeCell ref="AI52:AI57"/>
    <mergeCell ref="AJ52:AJ57"/>
    <mergeCell ref="AK52:AK53"/>
    <mergeCell ref="AL52:AL57"/>
    <mergeCell ref="AG56:AG57"/>
    <mergeCell ref="AK56:AK57"/>
    <mergeCell ref="AP58:AP63"/>
    <mergeCell ref="AF60:AF61"/>
    <mergeCell ref="AG60:AG61"/>
    <mergeCell ref="AK60:AK61"/>
    <mergeCell ref="AM60:AM61"/>
    <mergeCell ref="AO60:AO61"/>
    <mergeCell ref="AF62:AF63"/>
    <mergeCell ref="AG62:AG63"/>
    <mergeCell ref="AK62:AK63"/>
    <mergeCell ref="AM62:AM63"/>
    <mergeCell ref="AJ58:AJ63"/>
    <mergeCell ref="AK58:AK59"/>
    <mergeCell ref="AL58:AL63"/>
    <mergeCell ref="AM58:AM59"/>
    <mergeCell ref="AN58:AN63"/>
    <mergeCell ref="AO58:AO59"/>
    <mergeCell ref="A52:A165"/>
    <mergeCell ref="B52:B57"/>
    <mergeCell ref="C52:C57"/>
    <mergeCell ref="D52:D57"/>
    <mergeCell ref="E52:E57"/>
    <mergeCell ref="AF52:AF53"/>
    <mergeCell ref="B64:B69"/>
    <mergeCell ref="C64:C69"/>
    <mergeCell ref="D64:D69"/>
    <mergeCell ref="E64:E69"/>
    <mergeCell ref="AF48:AF49"/>
    <mergeCell ref="AG48:AG49"/>
    <mergeCell ref="AK48:AK49"/>
    <mergeCell ref="AM48:AM49"/>
    <mergeCell ref="AO48:AO49"/>
    <mergeCell ref="AF50:AF51"/>
    <mergeCell ref="AG50:AG51"/>
    <mergeCell ref="AK50:AK51"/>
    <mergeCell ref="AM50:AM51"/>
    <mergeCell ref="AO50:AO51"/>
    <mergeCell ref="AM56:AM57"/>
    <mergeCell ref="AO56:AO57"/>
    <mergeCell ref="B58:B63"/>
    <mergeCell ref="C58:C63"/>
    <mergeCell ref="D58:D63"/>
    <mergeCell ref="E58:E63"/>
    <mergeCell ref="AF58:AF59"/>
    <mergeCell ref="AG58:AG59"/>
    <mergeCell ref="AH58:AH63"/>
    <mergeCell ref="AI58:AI63"/>
    <mergeCell ref="AM52:AM53"/>
    <mergeCell ref="AN52:AN57"/>
    <mergeCell ref="AK46:AK47"/>
    <mergeCell ref="AL46:AL51"/>
    <mergeCell ref="AM46:AM47"/>
    <mergeCell ref="AN46:AN51"/>
    <mergeCell ref="AO46:AO47"/>
    <mergeCell ref="AP46:AP51"/>
    <mergeCell ref="AO44:AO45"/>
    <mergeCell ref="B46:B51"/>
    <mergeCell ref="C46:C51"/>
    <mergeCell ref="D46:D51"/>
    <mergeCell ref="E46:E51"/>
    <mergeCell ref="AF46:AF47"/>
    <mergeCell ref="AG46:AG47"/>
    <mergeCell ref="AH46:AH51"/>
    <mergeCell ref="AI46:AI51"/>
    <mergeCell ref="AJ46:AJ51"/>
    <mergeCell ref="AN40:AN45"/>
    <mergeCell ref="AO40:AO41"/>
    <mergeCell ref="AP40:AP45"/>
    <mergeCell ref="AF42:AF43"/>
    <mergeCell ref="AG42:AG43"/>
    <mergeCell ref="AK42:AK43"/>
    <mergeCell ref="AM42:AM43"/>
    <mergeCell ref="AO42:AO43"/>
    <mergeCell ref="AF44:AF45"/>
    <mergeCell ref="AG44:AG45"/>
    <mergeCell ref="AH40:AH45"/>
    <mergeCell ref="AI40:AI45"/>
    <mergeCell ref="AJ40:AJ45"/>
    <mergeCell ref="AK40:AK41"/>
    <mergeCell ref="AL40:AL45"/>
    <mergeCell ref="AM40:AM41"/>
    <mergeCell ref="AK44:AK45"/>
    <mergeCell ref="AM44:AM45"/>
    <mergeCell ref="B40:B45"/>
    <mergeCell ref="C40:C45"/>
    <mergeCell ref="D40:D45"/>
    <mergeCell ref="E40:E45"/>
    <mergeCell ref="AF40:AF41"/>
    <mergeCell ref="AG40:AG41"/>
    <mergeCell ref="AF36:AF37"/>
    <mergeCell ref="AG36:AG37"/>
    <mergeCell ref="AK36:AK37"/>
    <mergeCell ref="AM36:AM37"/>
    <mergeCell ref="AO36:AO37"/>
    <mergeCell ref="AF38:AF39"/>
    <mergeCell ref="AG38:AG39"/>
    <mergeCell ref="AK38:AK39"/>
    <mergeCell ref="AM38:AM39"/>
    <mergeCell ref="AO38:AO39"/>
    <mergeCell ref="AK34:AK35"/>
    <mergeCell ref="AL34:AL39"/>
    <mergeCell ref="AM34:AM35"/>
    <mergeCell ref="AN34:AN39"/>
    <mergeCell ref="AO34:AO35"/>
    <mergeCell ref="AP34:AP39"/>
    <mergeCell ref="AO32:AO33"/>
    <mergeCell ref="B34:B39"/>
    <mergeCell ref="C34:C39"/>
    <mergeCell ref="D34:D39"/>
    <mergeCell ref="E34:E39"/>
    <mergeCell ref="AF34:AF35"/>
    <mergeCell ref="AG34:AG35"/>
    <mergeCell ref="AH34:AH39"/>
    <mergeCell ref="AI34:AI39"/>
    <mergeCell ref="AJ34:AJ39"/>
    <mergeCell ref="AN28:AN33"/>
    <mergeCell ref="AO28:AO29"/>
    <mergeCell ref="AP28:AP33"/>
    <mergeCell ref="AF30:AF31"/>
    <mergeCell ref="AG30:AG31"/>
    <mergeCell ref="AK30:AK31"/>
    <mergeCell ref="AM30:AM31"/>
    <mergeCell ref="AO30:AO31"/>
    <mergeCell ref="AF32:AF33"/>
    <mergeCell ref="AG32:AG33"/>
    <mergeCell ref="AH28:AH33"/>
    <mergeCell ref="AI28:AI33"/>
    <mergeCell ref="AJ28:AJ33"/>
    <mergeCell ref="AK28:AK29"/>
    <mergeCell ref="AL28:AL33"/>
    <mergeCell ref="AM28:AM29"/>
    <mergeCell ref="AP22:AP27"/>
    <mergeCell ref="AF24:AF25"/>
    <mergeCell ref="AG24:AG25"/>
    <mergeCell ref="AK24:AK25"/>
    <mergeCell ref="AM24:AM25"/>
    <mergeCell ref="AO24:AO25"/>
    <mergeCell ref="AF26:AF27"/>
    <mergeCell ref="AG26:AG27"/>
    <mergeCell ref="AK26:AK27"/>
    <mergeCell ref="AM26:AM27"/>
    <mergeCell ref="AJ22:AJ27"/>
    <mergeCell ref="AK22:AK23"/>
    <mergeCell ref="AL22:AL27"/>
    <mergeCell ref="AM22:AM23"/>
    <mergeCell ref="AN22:AN27"/>
    <mergeCell ref="AO22:AO23"/>
    <mergeCell ref="AO26:AO27"/>
    <mergeCell ref="AO18:AO19"/>
    <mergeCell ref="AF20:AF21"/>
    <mergeCell ref="AG16:AG17"/>
    <mergeCell ref="AH16:AH21"/>
    <mergeCell ref="AI16:AI21"/>
    <mergeCell ref="AJ16:AJ21"/>
    <mergeCell ref="AK16:AK17"/>
    <mergeCell ref="AL16:AL21"/>
    <mergeCell ref="AG20:AG21"/>
    <mergeCell ref="AK20:AK21"/>
    <mergeCell ref="AK32:AK33"/>
    <mergeCell ref="AM32:AM33"/>
    <mergeCell ref="B28:B33"/>
    <mergeCell ref="C28:C33"/>
    <mergeCell ref="D28:D33"/>
    <mergeCell ref="E28:E33"/>
    <mergeCell ref="AF28:AF29"/>
    <mergeCell ref="AG28:AG29"/>
    <mergeCell ref="B16:B21"/>
    <mergeCell ref="C16:C21"/>
    <mergeCell ref="D16:D21"/>
    <mergeCell ref="E16:E21"/>
    <mergeCell ref="AF16:AF17"/>
    <mergeCell ref="AK10:AK11"/>
    <mergeCell ref="AL10:AL15"/>
    <mergeCell ref="AM10:AM11"/>
    <mergeCell ref="AN10:AN15"/>
    <mergeCell ref="AO10:AO11"/>
    <mergeCell ref="AP10:AP15"/>
    <mergeCell ref="AK12:AK13"/>
    <mergeCell ref="AM12:AM13"/>
    <mergeCell ref="AO12:AO13"/>
    <mergeCell ref="AM20:AM21"/>
    <mergeCell ref="AO20:AO21"/>
    <mergeCell ref="B22:B27"/>
    <mergeCell ref="C22:C27"/>
    <mergeCell ref="D22:D27"/>
    <mergeCell ref="E22:E27"/>
    <mergeCell ref="AF22:AF23"/>
    <mergeCell ref="AG22:AG23"/>
    <mergeCell ref="AH22:AH27"/>
    <mergeCell ref="AI22:AI27"/>
    <mergeCell ref="AM16:AM17"/>
    <mergeCell ref="AN16:AN21"/>
    <mergeCell ref="AO16:AO17"/>
    <mergeCell ref="AP16:AP21"/>
    <mergeCell ref="AF18:AF19"/>
    <mergeCell ref="AG18:AG19"/>
    <mergeCell ref="AK18:AK19"/>
    <mergeCell ref="AM18:AM19"/>
    <mergeCell ref="AF6:AF7"/>
    <mergeCell ref="AG6:AG7"/>
    <mergeCell ref="AK6:AK7"/>
    <mergeCell ref="AM6:AM7"/>
    <mergeCell ref="AO6:AO7"/>
    <mergeCell ref="AF8:AF9"/>
    <mergeCell ref="AG8:AG9"/>
    <mergeCell ref="AH4:AH9"/>
    <mergeCell ref="AI4:AI9"/>
    <mergeCell ref="AJ4:AJ9"/>
    <mergeCell ref="AK4:AK5"/>
    <mergeCell ref="AL4:AL9"/>
    <mergeCell ref="AM4:AM5"/>
    <mergeCell ref="AK8:AK9"/>
    <mergeCell ref="AM8:AM9"/>
    <mergeCell ref="AF14:AF15"/>
    <mergeCell ref="AG14:AG15"/>
    <mergeCell ref="AK14:AK15"/>
    <mergeCell ref="AM14:AM15"/>
    <mergeCell ref="AO14:AO15"/>
    <mergeCell ref="AF3:AG3"/>
    <mergeCell ref="A4:A51"/>
    <mergeCell ref="B4:B9"/>
    <mergeCell ref="C4:C9"/>
    <mergeCell ref="D4:D9"/>
    <mergeCell ref="E4:E9"/>
    <mergeCell ref="AF4:AF5"/>
    <mergeCell ref="AG4:AG5"/>
    <mergeCell ref="AF12:AF13"/>
    <mergeCell ref="AG12:AG13"/>
    <mergeCell ref="G1:P1"/>
    <mergeCell ref="R1:AA1"/>
    <mergeCell ref="AF1:AP1"/>
    <mergeCell ref="H2:J2"/>
    <mergeCell ref="S2:U2"/>
    <mergeCell ref="AF2:AJ2"/>
    <mergeCell ref="AK2:AL2"/>
    <mergeCell ref="AM2:AN2"/>
    <mergeCell ref="AO2:AP2"/>
    <mergeCell ref="AO8:AO9"/>
    <mergeCell ref="B10:B15"/>
    <mergeCell ref="C10:C15"/>
    <mergeCell ref="D10:D15"/>
    <mergeCell ref="E10:E15"/>
    <mergeCell ref="AF10:AF11"/>
    <mergeCell ref="AG10:AG11"/>
    <mergeCell ref="AH10:AH15"/>
    <mergeCell ref="AI10:AI15"/>
    <mergeCell ref="AJ10:AJ15"/>
    <mergeCell ref="AN4:AN9"/>
    <mergeCell ref="AO4:AO5"/>
    <mergeCell ref="AP4:AP9"/>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AP376"/>
  <sheetViews>
    <sheetView tabSelected="1" workbookViewId="0">
      <pane xSplit="10815" ySplit="1980" topLeftCell="D193" activePane="bottomRight"/>
      <selection pane="topRight" activeCell="F1" sqref="F1"/>
      <selection pane="bottomLeft" activeCell="A4" sqref="A4"/>
      <selection pane="bottomRight" activeCell="R202" sqref="R202:X225"/>
    </sheetView>
  </sheetViews>
  <sheetFormatPr defaultColWidth="11" defaultRowHeight="17.100000000000001" customHeight="1" outlineLevelRow="5" outlineLevelCol="1" x14ac:dyDescent="0.25"/>
  <cols>
    <col min="1" max="1" width="4" style="4" bestFit="1" customWidth="1"/>
    <col min="2" max="2" width="8.625" style="4" bestFit="1" customWidth="1"/>
    <col min="3" max="3" width="45.5" style="4" bestFit="1" customWidth="1"/>
    <col min="4" max="4" width="5.375" style="6" bestFit="1" customWidth="1"/>
    <col min="5" max="5" width="7.375" style="4" bestFit="1" customWidth="1"/>
    <col min="6" max="6" width="7.125" style="6" customWidth="1" outlineLevel="1"/>
    <col min="7" max="7" width="8.875" style="6" customWidth="1" outlineLevel="1"/>
    <col min="8" max="10" width="5.625" style="6" customWidth="1" outlineLevel="1"/>
    <col min="11" max="11" width="8.125" style="6" customWidth="1" outlineLevel="1"/>
    <col min="12" max="12" width="10.875" style="6" customWidth="1" outlineLevel="1"/>
    <col min="13" max="13" width="5.5" style="6" customWidth="1" outlineLevel="1"/>
    <col min="14" max="14" width="8" style="6" customWidth="1" outlineLevel="1"/>
    <col min="15" max="16" width="7.5" style="6" customWidth="1" outlineLevel="1"/>
    <col min="17" max="17" width="2.875" style="4" customWidth="1" outlineLevel="1"/>
    <col min="18" max="18" width="8.875" style="4" customWidth="1" outlineLevel="1"/>
    <col min="19" max="21" width="5.625" style="4" customWidth="1" outlineLevel="1"/>
    <col min="22" max="22" width="8.125" style="4" bestFit="1" customWidth="1" outlineLevel="1"/>
    <col min="23" max="23" width="10.875" style="4" bestFit="1" customWidth="1" outlineLevel="1"/>
    <col min="24" max="24" width="5.5" style="4" customWidth="1" outlineLevel="1"/>
    <col min="25" max="25" width="8" style="4" customWidth="1" outlineLevel="1"/>
    <col min="26" max="27" width="7.5" style="4" customWidth="1" outlineLevel="1"/>
    <col min="28" max="28" width="4.875" style="4" customWidth="1" outlineLevel="1"/>
    <col min="29" max="29" width="6.375" style="4" customWidth="1" outlineLevel="1"/>
    <col min="30" max="30" width="2.875" style="4" customWidth="1"/>
    <col min="31" max="31" width="4" style="4" bestFit="1" customWidth="1"/>
    <col min="32" max="32" width="3" style="4" bestFit="1" customWidth="1"/>
    <col min="33" max="33" width="10.875" style="6" customWidth="1"/>
    <col min="34" max="36" width="10.875" style="4" customWidth="1"/>
    <col min="37" max="37" width="10.875" style="6" customWidth="1"/>
    <col min="38" max="38" width="10.875" style="4" customWidth="1"/>
    <col min="39" max="39" width="10.875" style="6" customWidth="1"/>
    <col min="40" max="40" width="10.875" style="4" customWidth="1"/>
    <col min="41" max="41" width="10.875" style="6" customWidth="1"/>
    <col min="42" max="42" width="10.875" style="4" customWidth="1"/>
    <col min="43" max="271" width="8.875" style="4" customWidth="1"/>
    <col min="272" max="272" width="8.375" style="4" customWidth="1"/>
    <col min="273" max="273" width="14.875" style="4" customWidth="1"/>
    <col min="274" max="274" width="7.875" style="4" customWidth="1"/>
    <col min="275" max="275" width="9.875" style="4" customWidth="1"/>
    <col min="276" max="278" width="6.875" style="4" customWidth="1"/>
    <col min="279" max="281" width="8.875" style="4" customWidth="1"/>
    <col min="282" max="282" width="2.875" style="4" customWidth="1"/>
    <col min="283" max="283" width="9.875" style="4" customWidth="1"/>
    <col min="284" max="286" width="6.875" style="4" customWidth="1"/>
    <col min="287" max="289" width="8.875" style="4" customWidth="1"/>
    <col min="290" max="291" width="5.125" style="4" customWidth="1"/>
    <col min="292" max="292" width="2.875" style="4" customWidth="1"/>
    <col min="293" max="527" width="8.875" style="4" customWidth="1"/>
    <col min="528" max="528" width="8.375" style="4" customWidth="1"/>
    <col min="529" max="529" width="14.875" style="4" customWidth="1"/>
    <col min="530" max="530" width="7.875" style="4" customWidth="1"/>
    <col min="531" max="531" width="9.875" style="4" customWidth="1"/>
    <col min="532" max="534" width="6.875" style="4" customWidth="1"/>
    <col min="535" max="537" width="8.875" style="4" customWidth="1"/>
    <col min="538" max="538" width="2.875" style="4" customWidth="1"/>
    <col min="539" max="539" width="9.875" style="4" customWidth="1"/>
    <col min="540" max="542" width="6.875" style="4" customWidth="1"/>
    <col min="543" max="545" width="8.875" style="4" customWidth="1"/>
    <col min="546" max="547" width="5.125" style="4" customWidth="1"/>
    <col min="548" max="548" width="2.875" style="4" customWidth="1"/>
    <col min="549" max="783" width="8.875" style="4" customWidth="1"/>
    <col min="784" max="784" width="8.375" style="4" customWidth="1"/>
    <col min="785" max="785" width="14.875" style="4" customWidth="1"/>
    <col min="786" max="786" width="7.875" style="4" customWidth="1"/>
    <col min="787" max="787" width="9.875" style="4" customWidth="1"/>
    <col min="788" max="790" width="6.875" style="4" customWidth="1"/>
    <col min="791" max="793" width="8.875" style="4" customWidth="1"/>
    <col min="794" max="794" width="2.875" style="4" customWidth="1"/>
    <col min="795" max="795" width="9.875" style="4" customWidth="1"/>
    <col min="796" max="798" width="6.875" style="4" customWidth="1"/>
    <col min="799" max="801" width="8.875" style="4" customWidth="1"/>
    <col min="802" max="803" width="5.125" style="4" customWidth="1"/>
    <col min="804" max="804" width="2.875" style="4" customWidth="1"/>
    <col min="805" max="1039" width="8.875" style="4" customWidth="1"/>
    <col min="1040" max="1040" width="8.375" style="4" customWidth="1"/>
    <col min="1041" max="1041" width="14.875" style="4" customWidth="1"/>
    <col min="1042" max="1042" width="7.875" style="4" customWidth="1"/>
    <col min="1043" max="1043" width="9.875" style="4" customWidth="1"/>
    <col min="1044" max="1046" width="6.875" style="4" customWidth="1"/>
    <col min="1047" max="1049" width="8.875" style="4" customWidth="1"/>
    <col min="1050" max="1050" width="2.875" style="4" customWidth="1"/>
    <col min="1051" max="1051" width="9.875" style="4" customWidth="1"/>
    <col min="1052" max="1054" width="6.875" style="4" customWidth="1"/>
    <col min="1055" max="1057" width="8.875" style="4" customWidth="1"/>
    <col min="1058" max="1059" width="5.125" style="4" customWidth="1"/>
    <col min="1060" max="1060" width="2.875" style="4" customWidth="1"/>
    <col min="1061" max="1295" width="8.875" style="4" customWidth="1"/>
    <col min="1296" max="1296" width="8.375" style="4" customWidth="1"/>
    <col min="1297" max="1297" width="14.875" style="4" customWidth="1"/>
    <col min="1298" max="1298" width="7.875" style="4" customWidth="1"/>
    <col min="1299" max="1299" width="9.875" style="4" customWidth="1"/>
    <col min="1300" max="1302" width="6.875" style="4" customWidth="1"/>
    <col min="1303" max="1305" width="8.875" style="4" customWidth="1"/>
    <col min="1306" max="1306" width="2.875" style="4" customWidth="1"/>
    <col min="1307" max="1307" width="9.875" style="4" customWidth="1"/>
    <col min="1308" max="1310" width="6.875" style="4" customWidth="1"/>
    <col min="1311" max="1313" width="8.875" style="4" customWidth="1"/>
    <col min="1314" max="1315" width="5.125" style="4" customWidth="1"/>
    <col min="1316" max="1316" width="2.875" style="4" customWidth="1"/>
    <col min="1317" max="1551" width="8.875" style="4" customWidth="1"/>
    <col min="1552" max="1552" width="8.375" style="4" customWidth="1"/>
    <col min="1553" max="1553" width="14.875" style="4" customWidth="1"/>
    <col min="1554" max="1554" width="7.875" style="4" customWidth="1"/>
    <col min="1555" max="1555" width="9.875" style="4" customWidth="1"/>
    <col min="1556" max="1558" width="6.875" style="4" customWidth="1"/>
    <col min="1559" max="1561" width="8.875" style="4" customWidth="1"/>
    <col min="1562" max="1562" width="2.875" style="4" customWidth="1"/>
    <col min="1563" max="1563" width="9.875" style="4" customWidth="1"/>
    <col min="1564" max="1566" width="6.875" style="4" customWidth="1"/>
    <col min="1567" max="1569" width="8.875" style="4" customWidth="1"/>
    <col min="1570" max="1571" width="5.125" style="4" customWidth="1"/>
    <col min="1572" max="1572" width="2.875" style="4" customWidth="1"/>
    <col min="1573" max="1807" width="8.875" style="4" customWidth="1"/>
    <col min="1808" max="1808" width="8.375" style="4" customWidth="1"/>
    <col min="1809" max="1809" width="14.875" style="4" customWidth="1"/>
    <col min="1810" max="1810" width="7.875" style="4" customWidth="1"/>
    <col min="1811" max="1811" width="9.875" style="4" customWidth="1"/>
    <col min="1812" max="1814" width="6.875" style="4" customWidth="1"/>
    <col min="1815" max="1817" width="8.875" style="4" customWidth="1"/>
    <col min="1818" max="1818" width="2.875" style="4" customWidth="1"/>
    <col min="1819" max="1819" width="9.875" style="4" customWidth="1"/>
    <col min="1820" max="1822" width="6.875" style="4" customWidth="1"/>
    <col min="1823" max="1825" width="8.875" style="4" customWidth="1"/>
    <col min="1826" max="1827" width="5.125" style="4" customWidth="1"/>
    <col min="1828" max="1828" width="2.875" style="4" customWidth="1"/>
    <col min="1829" max="2063" width="8.875" style="4" customWidth="1"/>
    <col min="2064" max="2064" width="8.375" style="4" customWidth="1"/>
    <col min="2065" max="2065" width="14.875" style="4" customWidth="1"/>
    <col min="2066" max="2066" width="7.875" style="4" customWidth="1"/>
    <col min="2067" max="2067" width="9.875" style="4" customWidth="1"/>
    <col min="2068" max="2070" width="6.875" style="4" customWidth="1"/>
    <col min="2071" max="2073" width="8.875" style="4" customWidth="1"/>
    <col min="2074" max="2074" width="2.875" style="4" customWidth="1"/>
    <col min="2075" max="2075" width="9.875" style="4" customWidth="1"/>
    <col min="2076" max="2078" width="6.875" style="4" customWidth="1"/>
    <col min="2079" max="2081" width="8.875" style="4" customWidth="1"/>
    <col min="2082" max="2083" width="5.125" style="4" customWidth="1"/>
    <col min="2084" max="2084" width="2.875" style="4" customWidth="1"/>
    <col min="2085" max="2319" width="8.875" style="4" customWidth="1"/>
    <col min="2320" max="2320" width="8.375" style="4" customWidth="1"/>
    <col min="2321" max="2321" width="14.875" style="4" customWidth="1"/>
    <col min="2322" max="2322" width="7.875" style="4" customWidth="1"/>
    <col min="2323" max="2323" width="9.875" style="4" customWidth="1"/>
    <col min="2324" max="2326" width="6.875" style="4" customWidth="1"/>
    <col min="2327" max="2329" width="8.875" style="4" customWidth="1"/>
    <col min="2330" max="2330" width="2.875" style="4" customWidth="1"/>
    <col min="2331" max="2331" width="9.875" style="4" customWidth="1"/>
    <col min="2332" max="2334" width="6.875" style="4" customWidth="1"/>
    <col min="2335" max="2337" width="8.875" style="4" customWidth="1"/>
    <col min="2338" max="2339" width="5.125" style="4" customWidth="1"/>
    <col min="2340" max="2340" width="2.875" style="4" customWidth="1"/>
    <col min="2341" max="2575" width="8.875" style="4" customWidth="1"/>
    <col min="2576" max="2576" width="8.375" style="4" customWidth="1"/>
    <col min="2577" max="2577" width="14.875" style="4" customWidth="1"/>
    <col min="2578" max="2578" width="7.875" style="4" customWidth="1"/>
    <col min="2579" max="2579" width="9.875" style="4" customWidth="1"/>
    <col min="2580" max="2582" width="6.875" style="4" customWidth="1"/>
    <col min="2583" max="2585" width="8.875" style="4" customWidth="1"/>
    <col min="2586" max="2586" width="2.875" style="4" customWidth="1"/>
    <col min="2587" max="2587" width="9.875" style="4" customWidth="1"/>
    <col min="2588" max="2590" width="6.875" style="4" customWidth="1"/>
    <col min="2591" max="2593" width="8.875" style="4" customWidth="1"/>
    <col min="2594" max="2595" width="5.125" style="4" customWidth="1"/>
    <col min="2596" max="2596" width="2.875" style="4" customWidth="1"/>
    <col min="2597" max="2831" width="8.875" style="4" customWidth="1"/>
    <col min="2832" max="2832" width="8.375" style="4" customWidth="1"/>
    <col min="2833" max="2833" width="14.875" style="4" customWidth="1"/>
    <col min="2834" max="2834" width="7.875" style="4" customWidth="1"/>
    <col min="2835" max="2835" width="9.875" style="4" customWidth="1"/>
    <col min="2836" max="2838" width="6.875" style="4" customWidth="1"/>
    <col min="2839" max="2841" width="8.875" style="4" customWidth="1"/>
    <col min="2842" max="2842" width="2.875" style="4" customWidth="1"/>
    <col min="2843" max="2843" width="9.875" style="4" customWidth="1"/>
    <col min="2844" max="2846" width="6.875" style="4" customWidth="1"/>
    <col min="2847" max="2849" width="8.875" style="4" customWidth="1"/>
    <col min="2850" max="2851" width="5.125" style="4" customWidth="1"/>
    <col min="2852" max="2852" width="2.875" style="4" customWidth="1"/>
    <col min="2853" max="3087" width="8.875" style="4" customWidth="1"/>
    <col min="3088" max="3088" width="8.375" style="4" customWidth="1"/>
    <col min="3089" max="3089" width="14.875" style="4" customWidth="1"/>
    <col min="3090" max="3090" width="7.875" style="4" customWidth="1"/>
    <col min="3091" max="3091" width="9.875" style="4" customWidth="1"/>
    <col min="3092" max="3094" width="6.875" style="4" customWidth="1"/>
    <col min="3095" max="3097" width="8.875" style="4" customWidth="1"/>
    <col min="3098" max="3098" width="2.875" style="4" customWidth="1"/>
    <col min="3099" max="3099" width="9.875" style="4" customWidth="1"/>
    <col min="3100" max="3102" width="6.875" style="4" customWidth="1"/>
    <col min="3103" max="3105" width="8.875" style="4" customWidth="1"/>
    <col min="3106" max="3107" width="5.125" style="4" customWidth="1"/>
    <col min="3108" max="3108" width="2.875" style="4" customWidth="1"/>
    <col min="3109" max="3343" width="8.875" style="4" customWidth="1"/>
    <col min="3344" max="3344" width="8.375" style="4" customWidth="1"/>
    <col min="3345" max="3345" width="14.875" style="4" customWidth="1"/>
    <col min="3346" max="3346" width="7.875" style="4" customWidth="1"/>
    <col min="3347" max="3347" width="9.875" style="4" customWidth="1"/>
    <col min="3348" max="3350" width="6.875" style="4" customWidth="1"/>
    <col min="3351" max="3353" width="8.875" style="4" customWidth="1"/>
    <col min="3354" max="3354" width="2.875" style="4" customWidth="1"/>
    <col min="3355" max="3355" width="9.875" style="4" customWidth="1"/>
    <col min="3356" max="3358" width="6.875" style="4" customWidth="1"/>
    <col min="3359" max="3361" width="8.875" style="4" customWidth="1"/>
    <col min="3362" max="3363" width="5.125" style="4" customWidth="1"/>
    <col min="3364" max="3364" width="2.875" style="4" customWidth="1"/>
    <col min="3365" max="3599" width="8.875" style="4" customWidth="1"/>
    <col min="3600" max="3600" width="8.375" style="4" customWidth="1"/>
    <col min="3601" max="3601" width="14.875" style="4" customWidth="1"/>
    <col min="3602" max="3602" width="7.875" style="4" customWidth="1"/>
    <col min="3603" max="3603" width="9.875" style="4" customWidth="1"/>
    <col min="3604" max="3606" width="6.875" style="4" customWidth="1"/>
    <col min="3607" max="3609" width="8.875" style="4" customWidth="1"/>
    <col min="3610" max="3610" width="2.875" style="4" customWidth="1"/>
    <col min="3611" max="3611" width="9.875" style="4" customWidth="1"/>
    <col min="3612" max="3614" width="6.875" style="4" customWidth="1"/>
    <col min="3615" max="3617" width="8.875" style="4" customWidth="1"/>
    <col min="3618" max="3619" width="5.125" style="4" customWidth="1"/>
    <col min="3620" max="3620" width="2.875" style="4" customWidth="1"/>
    <col min="3621" max="3855" width="8.875" style="4" customWidth="1"/>
    <col min="3856" max="3856" width="8.375" style="4" customWidth="1"/>
    <col min="3857" max="3857" width="14.875" style="4" customWidth="1"/>
    <col min="3858" max="3858" width="7.875" style="4" customWidth="1"/>
    <col min="3859" max="3859" width="9.875" style="4" customWidth="1"/>
    <col min="3860" max="3862" width="6.875" style="4" customWidth="1"/>
    <col min="3863" max="3865" width="8.875" style="4" customWidth="1"/>
    <col min="3866" max="3866" width="2.875" style="4" customWidth="1"/>
    <col min="3867" max="3867" width="9.875" style="4" customWidth="1"/>
    <col min="3868" max="3870" width="6.875" style="4" customWidth="1"/>
    <col min="3871" max="3873" width="8.875" style="4" customWidth="1"/>
    <col min="3874" max="3875" width="5.125" style="4" customWidth="1"/>
    <col min="3876" max="3876" width="2.875" style="4" customWidth="1"/>
    <col min="3877" max="4111" width="8.875" style="4" customWidth="1"/>
    <col min="4112" max="4112" width="8.375" style="4" customWidth="1"/>
    <col min="4113" max="4113" width="14.875" style="4" customWidth="1"/>
    <col min="4114" max="4114" width="7.875" style="4" customWidth="1"/>
    <col min="4115" max="4115" width="9.875" style="4" customWidth="1"/>
    <col min="4116" max="4118" width="6.875" style="4" customWidth="1"/>
    <col min="4119" max="4121" width="8.875" style="4" customWidth="1"/>
    <col min="4122" max="4122" width="2.875" style="4" customWidth="1"/>
    <col min="4123" max="4123" width="9.875" style="4" customWidth="1"/>
    <col min="4124" max="4126" width="6.875" style="4" customWidth="1"/>
    <col min="4127" max="4129" width="8.875" style="4" customWidth="1"/>
    <col min="4130" max="4131" width="5.125" style="4" customWidth="1"/>
    <col min="4132" max="4132" width="2.875" style="4" customWidth="1"/>
    <col min="4133" max="4367" width="8.875" style="4" customWidth="1"/>
    <col min="4368" max="4368" width="8.375" style="4" customWidth="1"/>
    <col min="4369" max="4369" width="14.875" style="4" customWidth="1"/>
    <col min="4370" max="4370" width="7.875" style="4" customWidth="1"/>
    <col min="4371" max="4371" width="9.875" style="4" customWidth="1"/>
    <col min="4372" max="4374" width="6.875" style="4" customWidth="1"/>
    <col min="4375" max="4377" width="8.875" style="4" customWidth="1"/>
    <col min="4378" max="4378" width="2.875" style="4" customWidth="1"/>
    <col min="4379" max="4379" width="9.875" style="4" customWidth="1"/>
    <col min="4380" max="4382" width="6.875" style="4" customWidth="1"/>
    <col min="4383" max="4385" width="8.875" style="4" customWidth="1"/>
    <col min="4386" max="4387" width="5.125" style="4" customWidth="1"/>
    <col min="4388" max="4388" width="2.875" style="4" customWidth="1"/>
    <col min="4389" max="4623" width="8.875" style="4" customWidth="1"/>
    <col min="4624" max="4624" width="8.375" style="4" customWidth="1"/>
    <col min="4625" max="4625" width="14.875" style="4" customWidth="1"/>
    <col min="4626" max="4626" width="7.875" style="4" customWidth="1"/>
    <col min="4627" max="4627" width="9.875" style="4" customWidth="1"/>
    <col min="4628" max="4630" width="6.875" style="4" customWidth="1"/>
    <col min="4631" max="4633" width="8.875" style="4" customWidth="1"/>
    <col min="4634" max="4634" width="2.875" style="4" customWidth="1"/>
    <col min="4635" max="4635" width="9.875" style="4" customWidth="1"/>
    <col min="4636" max="4638" width="6.875" style="4" customWidth="1"/>
    <col min="4639" max="4641" width="8.875" style="4" customWidth="1"/>
    <col min="4642" max="4643" width="5.125" style="4" customWidth="1"/>
    <col min="4644" max="4644" width="2.875" style="4" customWidth="1"/>
    <col min="4645" max="4879" width="8.875" style="4" customWidth="1"/>
    <col min="4880" max="4880" width="8.375" style="4" customWidth="1"/>
    <col min="4881" max="4881" width="14.875" style="4" customWidth="1"/>
    <col min="4882" max="4882" width="7.875" style="4" customWidth="1"/>
    <col min="4883" max="4883" width="9.875" style="4" customWidth="1"/>
    <col min="4884" max="4886" width="6.875" style="4" customWidth="1"/>
    <col min="4887" max="4889" width="8.875" style="4" customWidth="1"/>
    <col min="4890" max="4890" width="2.875" style="4" customWidth="1"/>
    <col min="4891" max="4891" width="9.875" style="4" customWidth="1"/>
    <col min="4892" max="4894" width="6.875" style="4" customWidth="1"/>
    <col min="4895" max="4897" width="8.875" style="4" customWidth="1"/>
    <col min="4898" max="4899" width="5.125" style="4" customWidth="1"/>
    <col min="4900" max="4900" width="2.875" style="4" customWidth="1"/>
    <col min="4901" max="5135" width="8.875" style="4" customWidth="1"/>
    <col min="5136" max="5136" width="8.375" style="4" customWidth="1"/>
    <col min="5137" max="5137" width="14.875" style="4" customWidth="1"/>
    <col min="5138" max="5138" width="7.875" style="4" customWidth="1"/>
    <col min="5139" max="5139" width="9.875" style="4" customWidth="1"/>
    <col min="5140" max="5142" width="6.875" style="4" customWidth="1"/>
    <col min="5143" max="5145" width="8.875" style="4" customWidth="1"/>
    <col min="5146" max="5146" width="2.875" style="4" customWidth="1"/>
    <col min="5147" max="5147" width="9.875" style="4" customWidth="1"/>
    <col min="5148" max="5150" width="6.875" style="4" customWidth="1"/>
    <col min="5151" max="5153" width="8.875" style="4" customWidth="1"/>
    <col min="5154" max="5155" width="5.125" style="4" customWidth="1"/>
    <col min="5156" max="5156" width="2.875" style="4" customWidth="1"/>
    <col min="5157" max="5391" width="8.875" style="4" customWidth="1"/>
    <col min="5392" max="5392" width="8.375" style="4" customWidth="1"/>
    <col min="5393" max="5393" width="14.875" style="4" customWidth="1"/>
    <col min="5394" max="5394" width="7.875" style="4" customWidth="1"/>
    <col min="5395" max="5395" width="9.875" style="4" customWidth="1"/>
    <col min="5396" max="5398" width="6.875" style="4" customWidth="1"/>
    <col min="5399" max="5401" width="8.875" style="4" customWidth="1"/>
    <col min="5402" max="5402" width="2.875" style="4" customWidth="1"/>
    <col min="5403" max="5403" width="9.875" style="4" customWidth="1"/>
    <col min="5404" max="5406" width="6.875" style="4" customWidth="1"/>
    <col min="5407" max="5409" width="8.875" style="4" customWidth="1"/>
    <col min="5410" max="5411" width="5.125" style="4" customWidth="1"/>
    <col min="5412" max="5412" width="2.875" style="4" customWidth="1"/>
    <col min="5413" max="5647" width="8.875" style="4" customWidth="1"/>
    <col min="5648" max="5648" width="8.375" style="4" customWidth="1"/>
    <col min="5649" max="5649" width="14.875" style="4" customWidth="1"/>
    <col min="5650" max="5650" width="7.875" style="4" customWidth="1"/>
    <col min="5651" max="5651" width="9.875" style="4" customWidth="1"/>
    <col min="5652" max="5654" width="6.875" style="4" customWidth="1"/>
    <col min="5655" max="5657" width="8.875" style="4" customWidth="1"/>
    <col min="5658" max="5658" width="2.875" style="4" customWidth="1"/>
    <col min="5659" max="5659" width="9.875" style="4" customWidth="1"/>
    <col min="5660" max="5662" width="6.875" style="4" customWidth="1"/>
    <col min="5663" max="5665" width="8.875" style="4" customWidth="1"/>
    <col min="5666" max="5667" width="5.125" style="4" customWidth="1"/>
    <col min="5668" max="5668" width="2.875" style="4" customWidth="1"/>
    <col min="5669" max="5903" width="8.875" style="4" customWidth="1"/>
    <col min="5904" max="5904" width="8.375" style="4" customWidth="1"/>
    <col min="5905" max="5905" width="14.875" style="4" customWidth="1"/>
    <col min="5906" max="5906" width="7.875" style="4" customWidth="1"/>
    <col min="5907" max="5907" width="9.875" style="4" customWidth="1"/>
    <col min="5908" max="5910" width="6.875" style="4" customWidth="1"/>
    <col min="5911" max="5913" width="8.875" style="4" customWidth="1"/>
    <col min="5914" max="5914" width="2.875" style="4" customWidth="1"/>
    <col min="5915" max="5915" width="9.875" style="4" customWidth="1"/>
    <col min="5916" max="5918" width="6.875" style="4" customWidth="1"/>
    <col min="5919" max="5921" width="8.875" style="4" customWidth="1"/>
    <col min="5922" max="5923" width="5.125" style="4" customWidth="1"/>
    <col min="5924" max="5924" width="2.875" style="4" customWidth="1"/>
    <col min="5925" max="6159" width="8.875" style="4" customWidth="1"/>
    <col min="6160" max="6160" width="8.375" style="4" customWidth="1"/>
    <col min="6161" max="6161" width="14.875" style="4" customWidth="1"/>
    <col min="6162" max="6162" width="7.875" style="4" customWidth="1"/>
    <col min="6163" max="6163" width="9.875" style="4" customWidth="1"/>
    <col min="6164" max="6166" width="6.875" style="4" customWidth="1"/>
    <col min="6167" max="6169" width="8.875" style="4" customWidth="1"/>
    <col min="6170" max="6170" width="2.875" style="4" customWidth="1"/>
    <col min="6171" max="6171" width="9.875" style="4" customWidth="1"/>
    <col min="6172" max="6174" width="6.875" style="4" customWidth="1"/>
    <col min="6175" max="6177" width="8.875" style="4" customWidth="1"/>
    <col min="6178" max="6179" width="5.125" style="4" customWidth="1"/>
    <col min="6180" max="6180" width="2.875" style="4" customWidth="1"/>
    <col min="6181" max="6415" width="8.875" style="4" customWidth="1"/>
    <col min="6416" max="6416" width="8.375" style="4" customWidth="1"/>
    <col min="6417" max="6417" width="14.875" style="4" customWidth="1"/>
    <col min="6418" max="6418" width="7.875" style="4" customWidth="1"/>
    <col min="6419" max="6419" width="9.875" style="4" customWidth="1"/>
    <col min="6420" max="6422" width="6.875" style="4" customWidth="1"/>
    <col min="6423" max="6425" width="8.875" style="4" customWidth="1"/>
    <col min="6426" max="6426" width="2.875" style="4" customWidth="1"/>
    <col min="6427" max="6427" width="9.875" style="4" customWidth="1"/>
    <col min="6428" max="6430" width="6.875" style="4" customWidth="1"/>
    <col min="6431" max="6433" width="8.875" style="4" customWidth="1"/>
    <col min="6434" max="6435" width="5.125" style="4" customWidth="1"/>
    <col min="6436" max="6436" width="2.875" style="4" customWidth="1"/>
    <col min="6437" max="6671" width="8.875" style="4" customWidth="1"/>
    <col min="6672" max="6672" width="8.375" style="4" customWidth="1"/>
    <col min="6673" max="6673" width="14.875" style="4" customWidth="1"/>
    <col min="6674" max="6674" width="7.875" style="4" customWidth="1"/>
    <col min="6675" max="6675" width="9.875" style="4" customWidth="1"/>
    <col min="6676" max="6678" width="6.875" style="4" customWidth="1"/>
    <col min="6679" max="6681" width="8.875" style="4" customWidth="1"/>
    <col min="6682" max="6682" width="2.875" style="4" customWidth="1"/>
    <col min="6683" max="6683" width="9.875" style="4" customWidth="1"/>
    <col min="6684" max="6686" width="6.875" style="4" customWidth="1"/>
    <col min="6687" max="6689" width="8.875" style="4" customWidth="1"/>
    <col min="6690" max="6691" width="5.125" style="4" customWidth="1"/>
    <col min="6692" max="6692" width="2.875" style="4" customWidth="1"/>
    <col min="6693" max="6927" width="8.875" style="4" customWidth="1"/>
    <col min="6928" max="6928" width="8.375" style="4" customWidth="1"/>
    <col min="6929" max="6929" width="14.875" style="4" customWidth="1"/>
    <col min="6930" max="6930" width="7.875" style="4" customWidth="1"/>
    <col min="6931" max="6931" width="9.875" style="4" customWidth="1"/>
    <col min="6932" max="6934" width="6.875" style="4" customWidth="1"/>
    <col min="6935" max="6937" width="8.875" style="4" customWidth="1"/>
    <col min="6938" max="6938" width="2.875" style="4" customWidth="1"/>
    <col min="6939" max="6939" width="9.875" style="4" customWidth="1"/>
    <col min="6940" max="6942" width="6.875" style="4" customWidth="1"/>
    <col min="6943" max="6945" width="8.875" style="4" customWidth="1"/>
    <col min="6946" max="6947" width="5.125" style="4" customWidth="1"/>
    <col min="6948" max="6948" width="2.875" style="4" customWidth="1"/>
    <col min="6949" max="7183" width="8.875" style="4" customWidth="1"/>
    <col min="7184" max="7184" width="8.375" style="4" customWidth="1"/>
    <col min="7185" max="7185" width="14.875" style="4" customWidth="1"/>
    <col min="7186" max="7186" width="7.875" style="4" customWidth="1"/>
    <col min="7187" max="7187" width="9.875" style="4" customWidth="1"/>
    <col min="7188" max="7190" width="6.875" style="4" customWidth="1"/>
    <col min="7191" max="7193" width="8.875" style="4" customWidth="1"/>
    <col min="7194" max="7194" width="2.875" style="4" customWidth="1"/>
    <col min="7195" max="7195" width="9.875" style="4" customWidth="1"/>
    <col min="7196" max="7198" width="6.875" style="4" customWidth="1"/>
    <col min="7199" max="7201" width="8.875" style="4" customWidth="1"/>
    <col min="7202" max="7203" width="5.125" style="4" customWidth="1"/>
    <col min="7204" max="7204" width="2.875" style="4" customWidth="1"/>
    <col min="7205" max="7439" width="8.875" style="4" customWidth="1"/>
    <col min="7440" max="7440" width="8.375" style="4" customWidth="1"/>
    <col min="7441" max="7441" width="14.875" style="4" customWidth="1"/>
    <col min="7442" max="7442" width="7.875" style="4" customWidth="1"/>
    <col min="7443" max="7443" width="9.875" style="4" customWidth="1"/>
    <col min="7444" max="7446" width="6.875" style="4" customWidth="1"/>
    <col min="7447" max="7449" width="8.875" style="4" customWidth="1"/>
    <col min="7450" max="7450" width="2.875" style="4" customWidth="1"/>
    <col min="7451" max="7451" width="9.875" style="4" customWidth="1"/>
    <col min="7452" max="7454" width="6.875" style="4" customWidth="1"/>
    <col min="7455" max="7457" width="8.875" style="4" customWidth="1"/>
    <col min="7458" max="7459" width="5.125" style="4" customWidth="1"/>
    <col min="7460" max="7460" width="2.875" style="4" customWidth="1"/>
    <col min="7461" max="7695" width="8.875" style="4" customWidth="1"/>
    <col min="7696" max="7696" width="8.375" style="4" customWidth="1"/>
    <col min="7697" max="7697" width="14.875" style="4" customWidth="1"/>
    <col min="7698" max="7698" width="7.875" style="4" customWidth="1"/>
    <col min="7699" max="7699" width="9.875" style="4" customWidth="1"/>
    <col min="7700" max="7702" width="6.875" style="4" customWidth="1"/>
    <col min="7703" max="7705" width="8.875" style="4" customWidth="1"/>
    <col min="7706" max="7706" width="2.875" style="4" customWidth="1"/>
    <col min="7707" max="7707" width="9.875" style="4" customWidth="1"/>
    <col min="7708" max="7710" width="6.875" style="4" customWidth="1"/>
    <col min="7711" max="7713" width="8.875" style="4" customWidth="1"/>
    <col min="7714" max="7715" width="5.125" style="4" customWidth="1"/>
    <col min="7716" max="7716" width="2.875" style="4" customWidth="1"/>
    <col min="7717" max="7951" width="8.875" style="4" customWidth="1"/>
    <col min="7952" max="7952" width="8.375" style="4" customWidth="1"/>
    <col min="7953" max="7953" width="14.875" style="4" customWidth="1"/>
    <col min="7954" max="7954" width="7.875" style="4" customWidth="1"/>
    <col min="7955" max="7955" width="9.875" style="4" customWidth="1"/>
    <col min="7956" max="7958" width="6.875" style="4" customWidth="1"/>
    <col min="7959" max="7961" width="8.875" style="4" customWidth="1"/>
    <col min="7962" max="7962" width="2.875" style="4" customWidth="1"/>
    <col min="7963" max="7963" width="9.875" style="4" customWidth="1"/>
    <col min="7964" max="7966" width="6.875" style="4" customWidth="1"/>
    <col min="7967" max="7969" width="8.875" style="4" customWidth="1"/>
    <col min="7970" max="7971" width="5.125" style="4" customWidth="1"/>
    <col min="7972" max="7972" width="2.875" style="4" customWidth="1"/>
    <col min="7973" max="8207" width="8.875" style="4" customWidth="1"/>
    <col min="8208" max="8208" width="8.375" style="4" customWidth="1"/>
    <col min="8209" max="8209" width="14.875" style="4" customWidth="1"/>
    <col min="8210" max="8210" width="7.875" style="4" customWidth="1"/>
    <col min="8211" max="8211" width="9.875" style="4" customWidth="1"/>
    <col min="8212" max="8214" width="6.875" style="4" customWidth="1"/>
    <col min="8215" max="8217" width="8.875" style="4" customWidth="1"/>
    <col min="8218" max="8218" width="2.875" style="4" customWidth="1"/>
    <col min="8219" max="8219" width="9.875" style="4" customWidth="1"/>
    <col min="8220" max="8222" width="6.875" style="4" customWidth="1"/>
    <col min="8223" max="8225" width="8.875" style="4" customWidth="1"/>
    <col min="8226" max="8227" width="5.125" style="4" customWidth="1"/>
    <col min="8228" max="8228" width="2.875" style="4" customWidth="1"/>
    <col min="8229" max="8463" width="8.875" style="4" customWidth="1"/>
    <col min="8464" max="8464" width="8.375" style="4" customWidth="1"/>
    <col min="8465" max="8465" width="14.875" style="4" customWidth="1"/>
    <col min="8466" max="8466" width="7.875" style="4" customWidth="1"/>
    <col min="8467" max="8467" width="9.875" style="4" customWidth="1"/>
    <col min="8468" max="8470" width="6.875" style="4" customWidth="1"/>
    <col min="8471" max="8473" width="8.875" style="4" customWidth="1"/>
    <col min="8474" max="8474" width="2.875" style="4" customWidth="1"/>
    <col min="8475" max="8475" width="9.875" style="4" customWidth="1"/>
    <col min="8476" max="8478" width="6.875" style="4" customWidth="1"/>
    <col min="8479" max="8481" width="8.875" style="4" customWidth="1"/>
    <col min="8482" max="8483" width="5.125" style="4" customWidth="1"/>
    <col min="8484" max="8484" width="2.875" style="4" customWidth="1"/>
    <col min="8485" max="8719" width="8.875" style="4" customWidth="1"/>
    <col min="8720" max="8720" width="8.375" style="4" customWidth="1"/>
    <col min="8721" max="8721" width="14.875" style="4" customWidth="1"/>
    <col min="8722" max="8722" width="7.875" style="4" customWidth="1"/>
    <col min="8723" max="8723" width="9.875" style="4" customWidth="1"/>
    <col min="8724" max="8726" width="6.875" style="4" customWidth="1"/>
    <col min="8727" max="8729" width="8.875" style="4" customWidth="1"/>
    <col min="8730" max="8730" width="2.875" style="4" customWidth="1"/>
    <col min="8731" max="8731" width="9.875" style="4" customWidth="1"/>
    <col min="8732" max="8734" width="6.875" style="4" customWidth="1"/>
    <col min="8735" max="8737" width="8.875" style="4" customWidth="1"/>
    <col min="8738" max="8739" width="5.125" style="4" customWidth="1"/>
    <col min="8740" max="8740" width="2.875" style="4" customWidth="1"/>
    <col min="8741" max="8975" width="8.875" style="4" customWidth="1"/>
    <col min="8976" max="8976" width="8.375" style="4" customWidth="1"/>
    <col min="8977" max="8977" width="14.875" style="4" customWidth="1"/>
    <col min="8978" max="8978" width="7.875" style="4" customWidth="1"/>
    <col min="8979" max="8979" width="9.875" style="4" customWidth="1"/>
    <col min="8980" max="8982" width="6.875" style="4" customWidth="1"/>
    <col min="8983" max="8985" width="8.875" style="4" customWidth="1"/>
    <col min="8986" max="8986" width="2.875" style="4" customWidth="1"/>
    <col min="8987" max="8987" width="9.875" style="4" customWidth="1"/>
    <col min="8988" max="8990" width="6.875" style="4" customWidth="1"/>
    <col min="8991" max="8993" width="8.875" style="4" customWidth="1"/>
    <col min="8994" max="8995" width="5.125" style="4" customWidth="1"/>
    <col min="8996" max="8996" width="2.875" style="4" customWidth="1"/>
    <col min="8997" max="9231" width="8.875" style="4" customWidth="1"/>
    <col min="9232" max="9232" width="8.375" style="4" customWidth="1"/>
    <col min="9233" max="9233" width="14.875" style="4" customWidth="1"/>
    <col min="9234" max="9234" width="7.875" style="4" customWidth="1"/>
    <col min="9235" max="9235" width="9.875" style="4" customWidth="1"/>
    <col min="9236" max="9238" width="6.875" style="4" customWidth="1"/>
    <col min="9239" max="9241" width="8.875" style="4" customWidth="1"/>
    <col min="9242" max="9242" width="2.875" style="4" customWidth="1"/>
    <col min="9243" max="9243" width="9.875" style="4" customWidth="1"/>
    <col min="9244" max="9246" width="6.875" style="4" customWidth="1"/>
    <col min="9247" max="9249" width="8.875" style="4" customWidth="1"/>
    <col min="9250" max="9251" width="5.125" style="4" customWidth="1"/>
    <col min="9252" max="9252" width="2.875" style="4" customWidth="1"/>
    <col min="9253" max="9487" width="8.875" style="4" customWidth="1"/>
    <col min="9488" max="9488" width="8.375" style="4" customWidth="1"/>
    <col min="9489" max="9489" width="14.875" style="4" customWidth="1"/>
    <col min="9490" max="9490" width="7.875" style="4" customWidth="1"/>
    <col min="9491" max="9491" width="9.875" style="4" customWidth="1"/>
    <col min="9492" max="9494" width="6.875" style="4" customWidth="1"/>
    <col min="9495" max="9497" width="8.875" style="4" customWidth="1"/>
    <col min="9498" max="9498" width="2.875" style="4" customWidth="1"/>
    <col min="9499" max="9499" width="9.875" style="4" customWidth="1"/>
    <col min="9500" max="9502" width="6.875" style="4" customWidth="1"/>
    <col min="9503" max="9505" width="8.875" style="4" customWidth="1"/>
    <col min="9506" max="9507" width="5.125" style="4" customWidth="1"/>
    <col min="9508" max="9508" width="2.875" style="4" customWidth="1"/>
    <col min="9509" max="9743" width="8.875" style="4" customWidth="1"/>
    <col min="9744" max="9744" width="8.375" style="4" customWidth="1"/>
    <col min="9745" max="9745" width="14.875" style="4" customWidth="1"/>
    <col min="9746" max="9746" width="7.875" style="4" customWidth="1"/>
    <col min="9747" max="9747" width="9.875" style="4" customWidth="1"/>
    <col min="9748" max="9750" width="6.875" style="4" customWidth="1"/>
    <col min="9751" max="9753" width="8.875" style="4" customWidth="1"/>
    <col min="9754" max="9754" width="2.875" style="4" customWidth="1"/>
    <col min="9755" max="9755" width="9.875" style="4" customWidth="1"/>
    <col min="9756" max="9758" width="6.875" style="4" customWidth="1"/>
    <col min="9759" max="9761" width="8.875" style="4" customWidth="1"/>
    <col min="9762" max="9763" width="5.125" style="4" customWidth="1"/>
    <col min="9764" max="9764" width="2.875" style="4" customWidth="1"/>
    <col min="9765" max="9999" width="8.875" style="4" customWidth="1"/>
    <col min="10000" max="10000" width="8.375" style="4" customWidth="1"/>
    <col min="10001" max="10001" width="14.875" style="4" customWidth="1"/>
    <col min="10002" max="10002" width="7.875" style="4" customWidth="1"/>
    <col min="10003" max="10003" width="9.875" style="4" customWidth="1"/>
    <col min="10004" max="10006" width="6.875" style="4" customWidth="1"/>
    <col min="10007" max="10009" width="8.875" style="4" customWidth="1"/>
    <col min="10010" max="10010" width="2.875" style="4" customWidth="1"/>
    <col min="10011" max="10011" width="9.875" style="4" customWidth="1"/>
    <col min="10012" max="10014" width="6.875" style="4" customWidth="1"/>
    <col min="10015" max="10017" width="8.875" style="4" customWidth="1"/>
    <col min="10018" max="10019" width="5.125" style="4" customWidth="1"/>
    <col min="10020" max="10020" width="2.875" style="4" customWidth="1"/>
    <col min="10021" max="10255" width="8.875" style="4" customWidth="1"/>
    <col min="10256" max="10256" width="8.375" style="4" customWidth="1"/>
    <col min="10257" max="10257" width="14.875" style="4" customWidth="1"/>
    <col min="10258" max="10258" width="7.875" style="4" customWidth="1"/>
    <col min="10259" max="10259" width="9.875" style="4" customWidth="1"/>
    <col min="10260" max="10262" width="6.875" style="4" customWidth="1"/>
    <col min="10263" max="10265" width="8.875" style="4" customWidth="1"/>
    <col min="10266" max="10266" width="2.875" style="4" customWidth="1"/>
    <col min="10267" max="10267" width="9.875" style="4" customWidth="1"/>
    <col min="10268" max="10270" width="6.875" style="4" customWidth="1"/>
    <col min="10271" max="10273" width="8.875" style="4" customWidth="1"/>
    <col min="10274" max="10275" width="5.125" style="4" customWidth="1"/>
    <col min="10276" max="10276" width="2.875" style="4" customWidth="1"/>
    <col min="10277" max="10511" width="8.875" style="4" customWidth="1"/>
    <col min="10512" max="10512" width="8.375" style="4" customWidth="1"/>
    <col min="10513" max="10513" width="14.875" style="4" customWidth="1"/>
    <col min="10514" max="10514" width="7.875" style="4" customWidth="1"/>
    <col min="10515" max="10515" width="9.875" style="4" customWidth="1"/>
    <col min="10516" max="10518" width="6.875" style="4" customWidth="1"/>
    <col min="10519" max="10521" width="8.875" style="4" customWidth="1"/>
    <col min="10522" max="10522" width="2.875" style="4" customWidth="1"/>
    <col min="10523" max="10523" width="9.875" style="4" customWidth="1"/>
    <col min="10524" max="10526" width="6.875" style="4" customWidth="1"/>
    <col min="10527" max="10529" width="8.875" style="4" customWidth="1"/>
    <col min="10530" max="10531" width="5.125" style="4" customWidth="1"/>
    <col min="10532" max="10532" width="2.875" style="4" customWidth="1"/>
    <col min="10533" max="10767" width="8.875" style="4" customWidth="1"/>
    <col min="10768" max="10768" width="8.375" style="4" customWidth="1"/>
    <col min="10769" max="10769" width="14.875" style="4" customWidth="1"/>
    <col min="10770" max="10770" width="7.875" style="4" customWidth="1"/>
    <col min="10771" max="10771" width="9.875" style="4" customWidth="1"/>
    <col min="10772" max="10774" width="6.875" style="4" customWidth="1"/>
    <col min="10775" max="10777" width="8.875" style="4" customWidth="1"/>
    <col min="10778" max="10778" width="2.875" style="4" customWidth="1"/>
    <col min="10779" max="10779" width="9.875" style="4" customWidth="1"/>
    <col min="10780" max="10782" width="6.875" style="4" customWidth="1"/>
    <col min="10783" max="10785" width="8.875" style="4" customWidth="1"/>
    <col min="10786" max="10787" width="5.125" style="4" customWidth="1"/>
    <col min="10788" max="10788" width="2.875" style="4" customWidth="1"/>
    <col min="10789" max="11023" width="8.875" style="4" customWidth="1"/>
    <col min="11024" max="11024" width="8.375" style="4" customWidth="1"/>
    <col min="11025" max="11025" width="14.875" style="4" customWidth="1"/>
    <col min="11026" max="11026" width="7.875" style="4" customWidth="1"/>
    <col min="11027" max="11027" width="9.875" style="4" customWidth="1"/>
    <col min="11028" max="11030" width="6.875" style="4" customWidth="1"/>
    <col min="11031" max="11033" width="8.875" style="4" customWidth="1"/>
    <col min="11034" max="11034" width="2.875" style="4" customWidth="1"/>
    <col min="11035" max="11035" width="9.875" style="4" customWidth="1"/>
    <col min="11036" max="11038" width="6.875" style="4" customWidth="1"/>
    <col min="11039" max="11041" width="8.875" style="4" customWidth="1"/>
    <col min="11042" max="11043" width="5.125" style="4" customWidth="1"/>
    <col min="11044" max="11044" width="2.875" style="4" customWidth="1"/>
    <col min="11045" max="11279" width="8.875" style="4" customWidth="1"/>
    <col min="11280" max="11280" width="8.375" style="4" customWidth="1"/>
    <col min="11281" max="11281" width="14.875" style="4" customWidth="1"/>
    <col min="11282" max="11282" width="7.875" style="4" customWidth="1"/>
    <col min="11283" max="11283" width="9.875" style="4" customWidth="1"/>
    <col min="11284" max="11286" width="6.875" style="4" customWidth="1"/>
    <col min="11287" max="11289" width="8.875" style="4" customWidth="1"/>
    <col min="11290" max="11290" width="2.875" style="4" customWidth="1"/>
    <col min="11291" max="11291" width="9.875" style="4" customWidth="1"/>
    <col min="11292" max="11294" width="6.875" style="4" customWidth="1"/>
    <col min="11295" max="11297" width="8.875" style="4" customWidth="1"/>
    <col min="11298" max="11299" width="5.125" style="4" customWidth="1"/>
    <col min="11300" max="11300" width="2.875" style="4" customWidth="1"/>
    <col min="11301" max="11535" width="8.875" style="4" customWidth="1"/>
    <col min="11536" max="11536" width="8.375" style="4" customWidth="1"/>
    <col min="11537" max="11537" width="14.875" style="4" customWidth="1"/>
    <col min="11538" max="11538" width="7.875" style="4" customWidth="1"/>
    <col min="11539" max="11539" width="9.875" style="4" customWidth="1"/>
    <col min="11540" max="11542" width="6.875" style="4" customWidth="1"/>
    <col min="11543" max="11545" width="8.875" style="4" customWidth="1"/>
    <col min="11546" max="11546" width="2.875" style="4" customWidth="1"/>
    <col min="11547" max="11547" width="9.875" style="4" customWidth="1"/>
    <col min="11548" max="11550" width="6.875" style="4" customWidth="1"/>
    <col min="11551" max="11553" width="8.875" style="4" customWidth="1"/>
    <col min="11554" max="11555" width="5.125" style="4" customWidth="1"/>
    <col min="11556" max="11556" width="2.875" style="4" customWidth="1"/>
    <col min="11557" max="11791" width="8.875" style="4" customWidth="1"/>
    <col min="11792" max="11792" width="8.375" style="4" customWidth="1"/>
    <col min="11793" max="11793" width="14.875" style="4" customWidth="1"/>
    <col min="11794" max="11794" width="7.875" style="4" customWidth="1"/>
    <col min="11795" max="11795" width="9.875" style="4" customWidth="1"/>
    <col min="11796" max="11798" width="6.875" style="4" customWidth="1"/>
    <col min="11799" max="11801" width="8.875" style="4" customWidth="1"/>
    <col min="11802" max="11802" width="2.875" style="4" customWidth="1"/>
    <col min="11803" max="11803" width="9.875" style="4" customWidth="1"/>
    <col min="11804" max="11806" width="6.875" style="4" customWidth="1"/>
    <col min="11807" max="11809" width="8.875" style="4" customWidth="1"/>
    <col min="11810" max="11811" width="5.125" style="4" customWidth="1"/>
    <col min="11812" max="11812" width="2.875" style="4" customWidth="1"/>
    <col min="11813" max="12047" width="8.875" style="4" customWidth="1"/>
    <col min="12048" max="12048" width="8.375" style="4" customWidth="1"/>
    <col min="12049" max="12049" width="14.875" style="4" customWidth="1"/>
    <col min="12050" max="12050" width="7.875" style="4" customWidth="1"/>
    <col min="12051" max="12051" width="9.875" style="4" customWidth="1"/>
    <col min="12052" max="12054" width="6.875" style="4" customWidth="1"/>
    <col min="12055" max="12057" width="8.875" style="4" customWidth="1"/>
    <col min="12058" max="12058" width="2.875" style="4" customWidth="1"/>
    <col min="12059" max="12059" width="9.875" style="4" customWidth="1"/>
    <col min="12060" max="12062" width="6.875" style="4" customWidth="1"/>
    <col min="12063" max="12065" width="8.875" style="4" customWidth="1"/>
    <col min="12066" max="12067" width="5.125" style="4" customWidth="1"/>
    <col min="12068" max="12068" width="2.875" style="4" customWidth="1"/>
    <col min="12069" max="12303" width="8.875" style="4" customWidth="1"/>
    <col min="12304" max="12304" width="8.375" style="4" customWidth="1"/>
    <col min="12305" max="12305" width="14.875" style="4" customWidth="1"/>
    <col min="12306" max="12306" width="7.875" style="4" customWidth="1"/>
    <col min="12307" max="12307" width="9.875" style="4" customWidth="1"/>
    <col min="12308" max="12310" width="6.875" style="4" customWidth="1"/>
    <col min="12311" max="12313" width="8.875" style="4" customWidth="1"/>
    <col min="12314" max="12314" width="2.875" style="4" customWidth="1"/>
    <col min="12315" max="12315" width="9.875" style="4" customWidth="1"/>
    <col min="12316" max="12318" width="6.875" style="4" customWidth="1"/>
    <col min="12319" max="12321" width="8.875" style="4" customWidth="1"/>
    <col min="12322" max="12323" width="5.125" style="4" customWidth="1"/>
    <col min="12324" max="12324" width="2.875" style="4" customWidth="1"/>
    <col min="12325" max="12559" width="8.875" style="4" customWidth="1"/>
    <col min="12560" max="12560" width="8.375" style="4" customWidth="1"/>
    <col min="12561" max="12561" width="14.875" style="4" customWidth="1"/>
    <col min="12562" max="12562" width="7.875" style="4" customWidth="1"/>
    <col min="12563" max="12563" width="9.875" style="4" customWidth="1"/>
    <col min="12564" max="12566" width="6.875" style="4" customWidth="1"/>
    <col min="12567" max="12569" width="8.875" style="4" customWidth="1"/>
    <col min="12570" max="12570" width="2.875" style="4" customWidth="1"/>
    <col min="12571" max="12571" width="9.875" style="4" customWidth="1"/>
    <col min="12572" max="12574" width="6.875" style="4" customWidth="1"/>
    <col min="12575" max="12577" width="8.875" style="4" customWidth="1"/>
    <col min="12578" max="12579" width="5.125" style="4" customWidth="1"/>
    <col min="12580" max="12580" width="2.875" style="4" customWidth="1"/>
    <col min="12581" max="12815" width="8.875" style="4" customWidth="1"/>
    <col min="12816" max="12816" width="8.375" style="4" customWidth="1"/>
    <col min="12817" max="12817" width="14.875" style="4" customWidth="1"/>
    <col min="12818" max="12818" width="7.875" style="4" customWidth="1"/>
    <col min="12819" max="12819" width="9.875" style="4" customWidth="1"/>
    <col min="12820" max="12822" width="6.875" style="4" customWidth="1"/>
    <col min="12823" max="12825" width="8.875" style="4" customWidth="1"/>
    <col min="12826" max="12826" width="2.875" style="4" customWidth="1"/>
    <col min="12827" max="12827" width="9.875" style="4" customWidth="1"/>
    <col min="12828" max="12830" width="6.875" style="4" customWidth="1"/>
    <col min="12831" max="12833" width="8.875" style="4" customWidth="1"/>
    <col min="12834" max="12835" width="5.125" style="4" customWidth="1"/>
    <col min="12836" max="12836" width="2.875" style="4" customWidth="1"/>
    <col min="12837" max="13071" width="8.875" style="4" customWidth="1"/>
    <col min="13072" max="13072" width="8.375" style="4" customWidth="1"/>
    <col min="13073" max="13073" width="14.875" style="4" customWidth="1"/>
    <col min="13074" max="13074" width="7.875" style="4" customWidth="1"/>
    <col min="13075" max="13075" width="9.875" style="4" customWidth="1"/>
    <col min="13076" max="13078" width="6.875" style="4" customWidth="1"/>
    <col min="13079" max="13081" width="8.875" style="4" customWidth="1"/>
    <col min="13082" max="13082" width="2.875" style="4" customWidth="1"/>
    <col min="13083" max="13083" width="9.875" style="4" customWidth="1"/>
    <col min="13084" max="13086" width="6.875" style="4" customWidth="1"/>
    <col min="13087" max="13089" width="8.875" style="4" customWidth="1"/>
    <col min="13090" max="13091" width="5.125" style="4" customWidth="1"/>
    <col min="13092" max="13092" width="2.875" style="4" customWidth="1"/>
    <col min="13093" max="13327" width="8.875" style="4" customWidth="1"/>
    <col min="13328" max="13328" width="8.375" style="4" customWidth="1"/>
    <col min="13329" max="13329" width="14.875" style="4" customWidth="1"/>
    <col min="13330" max="13330" width="7.875" style="4" customWidth="1"/>
    <col min="13331" max="13331" width="9.875" style="4" customWidth="1"/>
    <col min="13332" max="13334" width="6.875" style="4" customWidth="1"/>
    <col min="13335" max="13337" width="8.875" style="4" customWidth="1"/>
    <col min="13338" max="13338" width="2.875" style="4" customWidth="1"/>
    <col min="13339" max="13339" width="9.875" style="4" customWidth="1"/>
    <col min="13340" max="13342" width="6.875" style="4" customWidth="1"/>
    <col min="13343" max="13345" width="8.875" style="4" customWidth="1"/>
    <col min="13346" max="13347" width="5.125" style="4" customWidth="1"/>
    <col min="13348" max="13348" width="2.875" style="4" customWidth="1"/>
    <col min="13349" max="13583" width="8.875" style="4" customWidth="1"/>
    <col min="13584" max="13584" width="8.375" style="4" customWidth="1"/>
    <col min="13585" max="13585" width="14.875" style="4" customWidth="1"/>
    <col min="13586" max="13586" width="7.875" style="4" customWidth="1"/>
    <col min="13587" max="13587" width="9.875" style="4" customWidth="1"/>
    <col min="13588" max="13590" width="6.875" style="4" customWidth="1"/>
    <col min="13591" max="13593" width="8.875" style="4" customWidth="1"/>
    <col min="13594" max="13594" width="2.875" style="4" customWidth="1"/>
    <col min="13595" max="13595" width="9.875" style="4" customWidth="1"/>
    <col min="13596" max="13598" width="6.875" style="4" customWidth="1"/>
    <col min="13599" max="13601" width="8.875" style="4" customWidth="1"/>
    <col min="13602" max="13603" width="5.125" style="4" customWidth="1"/>
    <col min="13604" max="13604" width="2.875" style="4" customWidth="1"/>
    <col min="13605" max="13839" width="8.875" style="4" customWidth="1"/>
    <col min="13840" max="13840" width="8.375" style="4" customWidth="1"/>
    <col min="13841" max="13841" width="14.875" style="4" customWidth="1"/>
    <col min="13842" max="13842" width="7.875" style="4" customWidth="1"/>
    <col min="13843" max="13843" width="9.875" style="4" customWidth="1"/>
    <col min="13844" max="13846" width="6.875" style="4" customWidth="1"/>
    <col min="13847" max="13849" width="8.875" style="4" customWidth="1"/>
    <col min="13850" max="13850" width="2.875" style="4" customWidth="1"/>
    <col min="13851" max="13851" width="9.875" style="4" customWidth="1"/>
    <col min="13852" max="13854" width="6.875" style="4" customWidth="1"/>
    <col min="13855" max="13857" width="8.875" style="4" customWidth="1"/>
    <col min="13858" max="13859" width="5.125" style="4" customWidth="1"/>
    <col min="13860" max="13860" width="2.875" style="4" customWidth="1"/>
    <col min="13861" max="14095" width="8.875" style="4" customWidth="1"/>
    <col min="14096" max="14096" width="8.375" style="4" customWidth="1"/>
    <col min="14097" max="14097" width="14.875" style="4" customWidth="1"/>
    <col min="14098" max="14098" width="7.875" style="4" customWidth="1"/>
    <col min="14099" max="14099" width="9.875" style="4" customWidth="1"/>
    <col min="14100" max="14102" width="6.875" style="4" customWidth="1"/>
    <col min="14103" max="14105" width="8.875" style="4" customWidth="1"/>
    <col min="14106" max="14106" width="2.875" style="4" customWidth="1"/>
    <col min="14107" max="14107" width="9.875" style="4" customWidth="1"/>
    <col min="14108" max="14110" width="6.875" style="4" customWidth="1"/>
    <col min="14111" max="14113" width="8.875" style="4" customWidth="1"/>
    <col min="14114" max="14115" width="5.125" style="4" customWidth="1"/>
    <col min="14116" max="14116" width="2.875" style="4" customWidth="1"/>
    <col min="14117" max="14351" width="8.875" style="4" customWidth="1"/>
    <col min="14352" max="14352" width="8.375" style="4" customWidth="1"/>
    <col min="14353" max="14353" width="14.875" style="4" customWidth="1"/>
    <col min="14354" max="14354" width="7.875" style="4" customWidth="1"/>
    <col min="14355" max="14355" width="9.875" style="4" customWidth="1"/>
    <col min="14356" max="14358" width="6.875" style="4" customWidth="1"/>
    <col min="14359" max="14361" width="8.875" style="4" customWidth="1"/>
    <col min="14362" max="14362" width="2.875" style="4" customWidth="1"/>
    <col min="14363" max="14363" width="9.875" style="4" customWidth="1"/>
    <col min="14364" max="14366" width="6.875" style="4" customWidth="1"/>
    <col min="14367" max="14369" width="8.875" style="4" customWidth="1"/>
    <col min="14370" max="14371" width="5.125" style="4" customWidth="1"/>
    <col min="14372" max="14372" width="2.875" style="4" customWidth="1"/>
    <col min="14373" max="14607" width="8.875" style="4" customWidth="1"/>
    <col min="14608" max="14608" width="8.375" style="4" customWidth="1"/>
    <col min="14609" max="14609" width="14.875" style="4" customWidth="1"/>
    <col min="14610" max="14610" width="7.875" style="4" customWidth="1"/>
    <col min="14611" max="14611" width="9.875" style="4" customWidth="1"/>
    <col min="14612" max="14614" width="6.875" style="4" customWidth="1"/>
    <col min="14615" max="14617" width="8.875" style="4" customWidth="1"/>
    <col min="14618" max="14618" width="2.875" style="4" customWidth="1"/>
    <col min="14619" max="14619" width="9.875" style="4" customWidth="1"/>
    <col min="14620" max="14622" width="6.875" style="4" customWidth="1"/>
    <col min="14623" max="14625" width="8.875" style="4" customWidth="1"/>
    <col min="14626" max="14627" width="5.125" style="4" customWidth="1"/>
    <col min="14628" max="14628" width="2.875" style="4" customWidth="1"/>
    <col min="14629" max="14863" width="8.875" style="4" customWidth="1"/>
    <col min="14864" max="14864" width="8.375" style="4" customWidth="1"/>
    <col min="14865" max="14865" width="14.875" style="4" customWidth="1"/>
    <col min="14866" max="14866" width="7.875" style="4" customWidth="1"/>
    <col min="14867" max="14867" width="9.875" style="4" customWidth="1"/>
    <col min="14868" max="14870" width="6.875" style="4" customWidth="1"/>
    <col min="14871" max="14873" width="8.875" style="4" customWidth="1"/>
    <col min="14874" max="14874" width="2.875" style="4" customWidth="1"/>
    <col min="14875" max="14875" width="9.875" style="4" customWidth="1"/>
    <col min="14876" max="14878" width="6.875" style="4" customWidth="1"/>
    <col min="14879" max="14881" width="8.875" style="4" customWidth="1"/>
    <col min="14882" max="14883" width="5.125" style="4" customWidth="1"/>
    <col min="14884" max="14884" width="2.875" style="4" customWidth="1"/>
    <col min="14885" max="15119" width="8.875" style="4" customWidth="1"/>
    <col min="15120" max="15120" width="8.375" style="4" customWidth="1"/>
    <col min="15121" max="15121" width="14.875" style="4" customWidth="1"/>
    <col min="15122" max="15122" width="7.875" style="4" customWidth="1"/>
    <col min="15123" max="15123" width="9.875" style="4" customWidth="1"/>
    <col min="15124" max="15126" width="6.875" style="4" customWidth="1"/>
    <col min="15127" max="15129" width="8.875" style="4" customWidth="1"/>
    <col min="15130" max="15130" width="2.875" style="4" customWidth="1"/>
    <col min="15131" max="15131" width="9.875" style="4" customWidth="1"/>
    <col min="15132" max="15134" width="6.875" style="4" customWidth="1"/>
    <col min="15135" max="15137" width="8.875" style="4" customWidth="1"/>
    <col min="15138" max="15139" width="5.125" style="4" customWidth="1"/>
    <col min="15140" max="15140" width="2.875" style="4" customWidth="1"/>
    <col min="15141" max="15375" width="8.875" style="4" customWidth="1"/>
    <col min="15376" max="15376" width="8.375" style="4" customWidth="1"/>
    <col min="15377" max="15377" width="14.875" style="4" customWidth="1"/>
    <col min="15378" max="15378" width="7.875" style="4" customWidth="1"/>
    <col min="15379" max="15379" width="9.875" style="4" customWidth="1"/>
    <col min="15380" max="15382" width="6.875" style="4" customWidth="1"/>
    <col min="15383" max="15385" width="8.875" style="4" customWidth="1"/>
    <col min="15386" max="15386" width="2.875" style="4" customWidth="1"/>
    <col min="15387" max="15387" width="9.875" style="4" customWidth="1"/>
    <col min="15388" max="15390" width="6.875" style="4" customWidth="1"/>
    <col min="15391" max="15393" width="8.875" style="4" customWidth="1"/>
    <col min="15394" max="15395" width="5.125" style="4" customWidth="1"/>
    <col min="15396" max="15396" width="2.875" style="4" customWidth="1"/>
    <col min="15397" max="15631" width="8.875" style="4" customWidth="1"/>
    <col min="15632" max="15632" width="8.375" style="4" customWidth="1"/>
    <col min="15633" max="15633" width="14.875" style="4" customWidth="1"/>
    <col min="15634" max="15634" width="7.875" style="4" customWidth="1"/>
    <col min="15635" max="15635" width="9.875" style="4" customWidth="1"/>
    <col min="15636" max="15638" width="6.875" style="4" customWidth="1"/>
    <col min="15639" max="15641" width="8.875" style="4" customWidth="1"/>
    <col min="15642" max="15642" width="2.875" style="4" customWidth="1"/>
    <col min="15643" max="15643" width="9.875" style="4" customWidth="1"/>
    <col min="15644" max="15646" width="6.875" style="4" customWidth="1"/>
    <col min="15647" max="15649" width="8.875" style="4" customWidth="1"/>
    <col min="15650" max="15651" width="5.125" style="4" customWidth="1"/>
    <col min="15652" max="15652" width="2.875" style="4" customWidth="1"/>
    <col min="15653" max="15887" width="8.875" style="4" customWidth="1"/>
    <col min="15888" max="15888" width="8.375" style="4" customWidth="1"/>
    <col min="15889" max="15889" width="14.875" style="4" customWidth="1"/>
    <col min="15890" max="15890" width="7.875" style="4" customWidth="1"/>
    <col min="15891" max="15891" width="9.875" style="4" customWidth="1"/>
    <col min="15892" max="15894" width="6.875" style="4" customWidth="1"/>
    <col min="15895" max="15897" width="8.875" style="4" customWidth="1"/>
    <col min="15898" max="15898" width="2.875" style="4" customWidth="1"/>
    <col min="15899" max="15899" width="9.875" style="4" customWidth="1"/>
    <col min="15900" max="15902" width="6.875" style="4" customWidth="1"/>
    <col min="15903" max="15905" width="8.875" style="4" customWidth="1"/>
    <col min="15906" max="15907" width="5.125" style="4" customWidth="1"/>
    <col min="15908" max="15908" width="2.875" style="4" customWidth="1"/>
    <col min="15909" max="16143" width="8.875" style="4" customWidth="1"/>
    <col min="16144" max="16144" width="8.375" style="4" customWidth="1"/>
    <col min="16145" max="16145" width="14.875" style="4" customWidth="1"/>
    <col min="16146" max="16146" width="7.875" style="4" customWidth="1"/>
    <col min="16147" max="16147" width="9.875" style="4" customWidth="1"/>
    <col min="16148" max="16150" width="6.875" style="4" customWidth="1"/>
    <col min="16151" max="16153" width="8.875" style="4" customWidth="1"/>
    <col min="16154" max="16154" width="2.875" style="4" customWidth="1"/>
    <col min="16155" max="16155" width="9.875" style="4" customWidth="1"/>
    <col min="16156" max="16158" width="6.875" style="4" customWidth="1"/>
    <col min="16159" max="16161" width="8.875" style="4" customWidth="1"/>
    <col min="16162" max="16163" width="5.125" style="4" customWidth="1"/>
    <col min="16164" max="16164" width="2.875" style="4" customWidth="1"/>
    <col min="16165" max="16384" width="8.875" style="4" customWidth="1"/>
  </cols>
  <sheetData>
    <row r="1" spans="1:42" ht="17.100000000000001" customHeight="1" thickBot="1" x14ac:dyDescent="0.3">
      <c r="G1" s="225" t="s">
        <v>6</v>
      </c>
      <c r="H1" s="225"/>
      <c r="I1" s="225"/>
      <c r="J1" s="225"/>
      <c r="K1" s="225"/>
      <c r="L1" s="225"/>
      <c r="M1" s="225"/>
      <c r="N1" s="225"/>
      <c r="O1" s="225"/>
      <c r="P1" s="225"/>
      <c r="R1" s="225" t="s">
        <v>7</v>
      </c>
      <c r="S1" s="225"/>
      <c r="T1" s="225"/>
      <c r="U1" s="225"/>
      <c r="V1" s="225"/>
      <c r="W1" s="225"/>
      <c r="X1" s="225"/>
      <c r="Y1" s="225"/>
      <c r="Z1" s="225"/>
      <c r="AA1" s="225"/>
      <c r="AB1" s="5"/>
      <c r="AC1" s="5"/>
      <c r="AD1" s="57"/>
      <c r="AE1" s="57"/>
      <c r="AF1" s="290" t="s">
        <v>120</v>
      </c>
      <c r="AG1" s="291"/>
      <c r="AH1" s="291"/>
      <c r="AI1" s="291"/>
      <c r="AJ1" s="291"/>
      <c r="AK1" s="291"/>
      <c r="AL1" s="291"/>
      <c r="AM1" s="291"/>
      <c r="AN1" s="291"/>
      <c r="AO1" s="291"/>
      <c r="AP1" s="292"/>
    </row>
    <row r="2" spans="1:42" ht="17.100000000000001" customHeight="1" thickBot="1" x14ac:dyDescent="0.3">
      <c r="G2" s="54" t="s">
        <v>119</v>
      </c>
      <c r="H2" s="251" t="s">
        <v>3</v>
      </c>
      <c r="I2" s="251"/>
      <c r="J2" s="251"/>
      <c r="K2" s="55" t="s">
        <v>117</v>
      </c>
      <c r="L2" s="55" t="s">
        <v>118</v>
      </c>
      <c r="M2" s="55" t="s">
        <v>0</v>
      </c>
      <c r="N2" s="55" t="s">
        <v>10</v>
      </c>
      <c r="O2" s="55" t="s">
        <v>11</v>
      </c>
      <c r="P2" s="56" t="s">
        <v>12</v>
      </c>
      <c r="R2" s="54" t="s">
        <v>119</v>
      </c>
      <c r="S2" s="251" t="s">
        <v>3</v>
      </c>
      <c r="T2" s="251"/>
      <c r="U2" s="251"/>
      <c r="V2" s="55" t="s">
        <v>117</v>
      </c>
      <c r="W2" s="55" t="s">
        <v>118</v>
      </c>
      <c r="X2" s="55" t="s">
        <v>0</v>
      </c>
      <c r="Y2" s="55" t="s">
        <v>10</v>
      </c>
      <c r="Z2" s="55" t="s">
        <v>11</v>
      </c>
      <c r="AA2" s="56" t="s">
        <v>12</v>
      </c>
      <c r="AB2" s="5"/>
      <c r="AC2" s="5"/>
      <c r="AD2" s="57"/>
      <c r="AE2" s="57"/>
      <c r="AF2" s="293" t="s">
        <v>3</v>
      </c>
      <c r="AG2" s="255"/>
      <c r="AH2" s="255"/>
      <c r="AI2" s="255"/>
      <c r="AJ2" s="255"/>
      <c r="AK2" s="255" t="s">
        <v>1</v>
      </c>
      <c r="AL2" s="255"/>
      <c r="AM2" s="255" t="s">
        <v>116</v>
      </c>
      <c r="AN2" s="255"/>
      <c r="AO2" s="255" t="s">
        <v>0</v>
      </c>
      <c r="AP2" s="270"/>
    </row>
    <row r="3" spans="1:42" ht="17.100000000000001" customHeight="1" thickBot="1" x14ac:dyDescent="0.3">
      <c r="A3" s="22"/>
      <c r="B3" s="17" t="s">
        <v>113</v>
      </c>
      <c r="C3" s="17" t="s">
        <v>114</v>
      </c>
      <c r="D3" s="79" t="s">
        <v>19</v>
      </c>
      <c r="E3" s="17" t="s">
        <v>112</v>
      </c>
      <c r="F3" s="80" t="s">
        <v>8</v>
      </c>
      <c r="G3" s="186" t="s">
        <v>9</v>
      </c>
      <c r="H3" s="187" t="s">
        <v>15</v>
      </c>
      <c r="I3" s="187" t="s">
        <v>16</v>
      </c>
      <c r="J3" s="187" t="s">
        <v>17</v>
      </c>
      <c r="K3" s="187" t="s">
        <v>15</v>
      </c>
      <c r="L3" s="187" t="s">
        <v>15</v>
      </c>
      <c r="M3" s="187" t="s">
        <v>15</v>
      </c>
      <c r="N3" s="187"/>
      <c r="O3" s="187"/>
      <c r="P3" s="188"/>
      <c r="Q3" s="79"/>
      <c r="R3" s="81" t="s">
        <v>9</v>
      </c>
      <c r="S3" s="79" t="s">
        <v>15</v>
      </c>
      <c r="T3" s="79" t="s">
        <v>16</v>
      </c>
      <c r="U3" s="79" t="s">
        <v>17</v>
      </c>
      <c r="V3" s="79" t="s">
        <v>15</v>
      </c>
      <c r="W3" s="79" t="s">
        <v>15</v>
      </c>
      <c r="X3" s="79" t="s">
        <v>15</v>
      </c>
      <c r="Y3" s="79"/>
      <c r="Z3" s="79"/>
      <c r="AA3" s="80"/>
      <c r="AB3" s="46" t="s">
        <v>13</v>
      </c>
      <c r="AC3" s="47" t="s">
        <v>14</v>
      </c>
      <c r="AD3" s="57"/>
      <c r="AE3" s="57"/>
      <c r="AF3" s="294" t="s">
        <v>98</v>
      </c>
      <c r="AG3" s="295"/>
      <c r="AH3" s="61" t="s">
        <v>15</v>
      </c>
      <c r="AI3" s="61" t="s">
        <v>16</v>
      </c>
      <c r="AJ3" s="61" t="s">
        <v>17</v>
      </c>
      <c r="AK3" s="61" t="s">
        <v>98</v>
      </c>
      <c r="AL3" s="61" t="s">
        <v>15</v>
      </c>
      <c r="AM3" s="61" t="s">
        <v>98</v>
      </c>
      <c r="AN3" s="61" t="s">
        <v>15</v>
      </c>
      <c r="AO3" s="61" t="s">
        <v>98</v>
      </c>
      <c r="AP3" s="62" t="s">
        <v>15</v>
      </c>
    </row>
    <row r="4" spans="1:42" ht="17.100000000000001" customHeight="1" outlineLevel="4" x14ac:dyDescent="0.25">
      <c r="A4" s="226" t="s">
        <v>21</v>
      </c>
      <c r="B4" s="218" t="s">
        <v>2</v>
      </c>
      <c r="C4" s="228" t="s">
        <v>37</v>
      </c>
      <c r="D4" s="231">
        <v>59.94</v>
      </c>
      <c r="E4" s="234">
        <v>10</v>
      </c>
      <c r="F4" s="7">
        <v>23</v>
      </c>
      <c r="G4" s="31"/>
      <c r="H4" s="32"/>
      <c r="I4" s="32"/>
      <c r="J4" s="32"/>
      <c r="K4" s="32"/>
      <c r="L4" s="32"/>
      <c r="M4" s="32"/>
      <c r="N4" s="32"/>
      <c r="O4" s="32"/>
      <c r="P4" s="33"/>
      <c r="Q4" s="18"/>
      <c r="R4" s="31"/>
      <c r="S4" s="32"/>
      <c r="T4" s="32"/>
      <c r="U4" s="32"/>
      <c r="V4" s="32"/>
      <c r="W4" s="32"/>
      <c r="X4" s="32"/>
      <c r="Y4" s="32"/>
      <c r="Z4" s="32"/>
      <c r="AA4" s="33"/>
      <c r="AB4" s="48" t="e">
        <f t="shared" ref="AB4:AC25" si="0">Y4/N4</f>
        <v>#DIV/0!</v>
      </c>
      <c r="AC4" s="49" t="e">
        <f t="shared" si="0"/>
        <v>#DIV/0!</v>
      </c>
      <c r="AD4" s="19"/>
      <c r="AE4" s="19"/>
      <c r="AF4" s="284" t="s">
        <v>126</v>
      </c>
      <c r="AG4" s="239" t="e" cm="1">
        <f t="array" ref="AG4">bdRateExtend($G4:$G7,G4:G7,$R4:$R7,R4:R7)</f>
        <v>#VALUE!</v>
      </c>
      <c r="AH4" s="241" t="e" cm="1">
        <f t="array" ref="AH4">bdRateExtend($G4:$G9,H4:H9,$R4:$R9,S4:S9)</f>
        <v>#VALUE!</v>
      </c>
      <c r="AI4" s="241" t="e" cm="1">
        <f t="array" ref="AI4">bdRateExtend($G4:$G9,I4:I9,$R4:$R9,T4:T9)</f>
        <v>#VALUE!</v>
      </c>
      <c r="AJ4" s="244" t="e" cm="1">
        <f t="array" ref="AJ4">bdRateExtend($G4:$G9,J4:J9,$R4:$R9,U4:U9)</f>
        <v>#VALUE!</v>
      </c>
      <c r="AK4" s="239" t="e" cm="1">
        <f t="array" ref="AK4">bdRateExtend($G4:$G7,K4:K7,$R4:$R7,V4:V7)</f>
        <v>#VALUE!</v>
      </c>
      <c r="AL4" s="248" t="e" cm="1">
        <f t="array" ref="AL4">bdRateExtend($G4:$G9,K4:K9,$R4:$R9,V4:V9)</f>
        <v>#VALUE!</v>
      </c>
      <c r="AM4" s="239" t="e" cm="1">
        <f t="array" ref="AM4">bdRateExtend($G4:$G7,L4:L7,$R4:$R7,W4:W7)</f>
        <v>#VALUE!</v>
      </c>
      <c r="AN4" s="248" t="e" cm="1">
        <f t="array" ref="AN4">bdRateExtend($G4:$G9,L4:L9,$R4:$R9,W4:W9)</f>
        <v>#VALUE!</v>
      </c>
      <c r="AO4" s="254" t="e" cm="1">
        <f t="array" ref="AO4">bdRateExtend($G4:$G7,M4:M7,$R4:$R7,X4:X7)</f>
        <v>#VALUE!</v>
      </c>
      <c r="AP4" s="248" t="e" cm="1">
        <f t="array" ref="AP4">bdRateExtend($G4:$G9,M4:M9,$R4:$R9,X4:X9)</f>
        <v>#VALUE!</v>
      </c>
    </row>
    <row r="5" spans="1:42" ht="17.100000000000001" customHeight="1" outlineLevel="4" x14ac:dyDescent="0.25">
      <c r="A5" s="222"/>
      <c r="B5" s="219"/>
      <c r="C5" s="229"/>
      <c r="D5" s="232"/>
      <c r="E5" s="235"/>
      <c r="F5" s="16">
        <v>31</v>
      </c>
      <c r="G5" s="34"/>
      <c r="H5" s="39"/>
      <c r="I5" s="39"/>
      <c r="J5" s="39"/>
      <c r="K5" s="39"/>
      <c r="L5" s="39"/>
      <c r="M5" s="39"/>
      <c r="N5" s="39"/>
      <c r="O5" s="39"/>
      <c r="P5" s="35"/>
      <c r="Q5" s="18"/>
      <c r="R5" s="34"/>
      <c r="S5" s="39"/>
      <c r="T5" s="39"/>
      <c r="U5" s="39"/>
      <c r="V5" s="39"/>
      <c r="W5" s="39"/>
      <c r="X5" s="39"/>
      <c r="Y5" s="39"/>
      <c r="Z5" s="39"/>
      <c r="AA5" s="35"/>
      <c r="AB5" s="50" t="e">
        <f t="shared" si="0"/>
        <v>#DIV/0!</v>
      </c>
      <c r="AC5" s="51" t="e">
        <f t="shared" si="0"/>
        <v>#DIV/0!</v>
      </c>
      <c r="AD5" s="19"/>
      <c r="AE5" s="19"/>
      <c r="AF5" s="285"/>
      <c r="AG5" s="240"/>
      <c r="AH5" s="242"/>
      <c r="AI5" s="242"/>
      <c r="AJ5" s="245"/>
      <c r="AK5" s="240"/>
      <c r="AL5" s="249"/>
      <c r="AM5" s="240"/>
      <c r="AN5" s="249"/>
      <c r="AO5" s="252"/>
      <c r="AP5" s="249"/>
    </row>
    <row r="6" spans="1:42" ht="17.100000000000001" customHeight="1" outlineLevel="4" x14ac:dyDescent="0.25">
      <c r="A6" s="222"/>
      <c r="B6" s="219"/>
      <c r="C6" s="229"/>
      <c r="D6" s="232"/>
      <c r="E6" s="235"/>
      <c r="F6" s="16">
        <v>39</v>
      </c>
      <c r="G6" s="34"/>
      <c r="H6" s="39"/>
      <c r="I6" s="39"/>
      <c r="J6" s="39"/>
      <c r="K6" s="39"/>
      <c r="L6" s="39"/>
      <c r="M6" s="39"/>
      <c r="N6" s="39"/>
      <c r="O6" s="39"/>
      <c r="P6" s="35"/>
      <c r="Q6" s="18"/>
      <c r="R6" s="34"/>
      <c r="S6" s="39"/>
      <c r="T6" s="39"/>
      <c r="U6" s="39"/>
      <c r="V6" s="39"/>
      <c r="W6" s="39"/>
      <c r="X6" s="39"/>
      <c r="Y6" s="39"/>
      <c r="Z6" s="39"/>
      <c r="AA6" s="35"/>
      <c r="AB6" s="50" t="e">
        <f t="shared" si="0"/>
        <v>#DIV/0!</v>
      </c>
      <c r="AC6" s="51" t="e">
        <f t="shared" si="0"/>
        <v>#DIV/0!</v>
      </c>
      <c r="AD6" s="19"/>
      <c r="AE6" s="19"/>
      <c r="AF6" s="285" t="s">
        <v>127</v>
      </c>
      <c r="AG6" s="240" t="e" cm="1">
        <f t="array" ref="AG6">bdRateExtend($G5:$G8,G5:G8,$R5:$R8,R5:R8)</f>
        <v>#VALUE!</v>
      </c>
      <c r="AH6" s="242"/>
      <c r="AI6" s="242"/>
      <c r="AJ6" s="245"/>
      <c r="AK6" s="240" t="e" cm="1">
        <f t="array" ref="AK6">bdRateExtend($G5:$G8,K5:K8,$R5:$R8,V5:V8)</f>
        <v>#VALUE!</v>
      </c>
      <c r="AL6" s="249"/>
      <c r="AM6" s="240" t="e" cm="1">
        <f t="array" ref="AM6">bdRateExtend($G5:$G8,L5:L8,$R5:$R8,W5:W8)</f>
        <v>#VALUE!</v>
      </c>
      <c r="AN6" s="249"/>
      <c r="AO6" s="252" t="e" cm="1">
        <f t="array" ref="AO6">bdRateExtend($G5:$G8,M5:M8,$R5:$R8,X5:X8)</f>
        <v>#VALUE!</v>
      </c>
      <c r="AP6" s="249"/>
    </row>
    <row r="7" spans="1:42" ht="17.100000000000001" customHeight="1" outlineLevel="4" x14ac:dyDescent="0.25">
      <c r="A7" s="222"/>
      <c r="B7" s="219"/>
      <c r="C7" s="229"/>
      <c r="D7" s="232"/>
      <c r="E7" s="235"/>
      <c r="F7" s="16">
        <v>47</v>
      </c>
      <c r="G7" s="34"/>
      <c r="H7" s="39"/>
      <c r="I7" s="39"/>
      <c r="J7" s="39"/>
      <c r="K7" s="39"/>
      <c r="L7" s="39"/>
      <c r="M7" s="39"/>
      <c r="N7" s="39"/>
      <c r="O7" s="39"/>
      <c r="P7" s="35"/>
      <c r="Q7" s="18"/>
      <c r="R7" s="34"/>
      <c r="S7" s="39"/>
      <c r="T7" s="39"/>
      <c r="U7" s="39"/>
      <c r="V7" s="39"/>
      <c r="W7" s="39"/>
      <c r="X7" s="39"/>
      <c r="Y7" s="39"/>
      <c r="Z7" s="39"/>
      <c r="AA7" s="35"/>
      <c r="AB7" s="50" t="e">
        <f t="shared" si="0"/>
        <v>#DIV/0!</v>
      </c>
      <c r="AC7" s="51" t="e">
        <f t="shared" si="0"/>
        <v>#DIV/0!</v>
      </c>
      <c r="AD7" s="19"/>
      <c r="AE7" s="19"/>
      <c r="AF7" s="285"/>
      <c r="AG7" s="240"/>
      <c r="AH7" s="242"/>
      <c r="AI7" s="242"/>
      <c r="AJ7" s="245"/>
      <c r="AK7" s="240"/>
      <c r="AL7" s="249"/>
      <c r="AM7" s="240"/>
      <c r="AN7" s="249"/>
      <c r="AO7" s="252"/>
      <c r="AP7" s="249"/>
    </row>
    <row r="8" spans="1:42" ht="17.100000000000001" customHeight="1" outlineLevel="4" x14ac:dyDescent="0.25">
      <c r="A8" s="222"/>
      <c r="B8" s="219"/>
      <c r="C8" s="229"/>
      <c r="D8" s="232"/>
      <c r="E8" s="235"/>
      <c r="F8" s="16">
        <v>55</v>
      </c>
      <c r="G8" s="34"/>
      <c r="H8" s="39"/>
      <c r="I8" s="39"/>
      <c r="J8" s="39"/>
      <c r="K8" s="39"/>
      <c r="L8" s="39"/>
      <c r="M8" s="39"/>
      <c r="N8" s="39"/>
      <c r="O8" s="39"/>
      <c r="P8" s="35"/>
      <c r="Q8" s="18"/>
      <c r="R8" s="34"/>
      <c r="S8" s="39"/>
      <c r="T8" s="39"/>
      <c r="U8" s="39"/>
      <c r="V8" s="39"/>
      <c r="W8" s="39"/>
      <c r="X8" s="39"/>
      <c r="Y8" s="39"/>
      <c r="Z8" s="39"/>
      <c r="AA8" s="35"/>
      <c r="AB8" s="50" t="e">
        <f t="shared" si="0"/>
        <v>#DIV/0!</v>
      </c>
      <c r="AC8" s="51" t="e">
        <f t="shared" si="0"/>
        <v>#DIV/0!</v>
      </c>
      <c r="AD8" s="19"/>
      <c r="AE8" s="19"/>
      <c r="AF8" s="285" t="s">
        <v>128</v>
      </c>
      <c r="AG8" s="240" t="e" cm="1">
        <f t="array" ref="AG8">bdRateExtend($G6:$G9,G6:G9,$R6:$R9,R6:R9)</f>
        <v>#VALUE!</v>
      </c>
      <c r="AH8" s="242"/>
      <c r="AI8" s="242"/>
      <c r="AJ8" s="245"/>
      <c r="AK8" s="240" t="e" cm="1">
        <f t="array" ref="AK8">bdRateExtend($G6:$G9,K6:K9,$R6:$R9,V6:V9)</f>
        <v>#VALUE!</v>
      </c>
      <c r="AL8" s="249"/>
      <c r="AM8" s="240" t="e" cm="1">
        <f t="array" ref="AM8">bdRateExtend($G6:$G9,L6:L9,$R6:$R9,W6:W9)</f>
        <v>#VALUE!</v>
      </c>
      <c r="AN8" s="249"/>
      <c r="AO8" s="252" t="e" cm="1">
        <f t="array" ref="AO8">bdRateExtend($G6:$G9,M6:M9,$R6:$R9,X6:X9)</f>
        <v>#VALUE!</v>
      </c>
      <c r="AP8" s="249"/>
    </row>
    <row r="9" spans="1:42" ht="17.100000000000001" customHeight="1" outlineLevel="4" thickBot="1" x14ac:dyDescent="0.3">
      <c r="A9" s="222"/>
      <c r="B9" s="220"/>
      <c r="C9" s="230"/>
      <c r="D9" s="233"/>
      <c r="E9" s="236"/>
      <c r="F9" s="9">
        <v>63</v>
      </c>
      <c r="G9" s="36"/>
      <c r="H9" s="37"/>
      <c r="I9" s="37"/>
      <c r="J9" s="37"/>
      <c r="K9" s="37"/>
      <c r="L9" s="37"/>
      <c r="M9" s="37"/>
      <c r="N9" s="37"/>
      <c r="O9" s="37"/>
      <c r="P9" s="38"/>
      <c r="Q9" s="18"/>
      <c r="R9" s="36"/>
      <c r="S9" s="37"/>
      <c r="T9" s="37"/>
      <c r="U9" s="37"/>
      <c r="V9" s="37"/>
      <c r="W9" s="37"/>
      <c r="X9" s="37"/>
      <c r="Y9" s="37"/>
      <c r="Z9" s="37"/>
      <c r="AA9" s="38"/>
      <c r="AB9" s="52" t="e">
        <f t="shared" si="0"/>
        <v>#DIV/0!</v>
      </c>
      <c r="AC9" s="53" t="e">
        <f t="shared" si="0"/>
        <v>#DIV/0!</v>
      </c>
      <c r="AD9" s="19"/>
      <c r="AE9" s="19"/>
      <c r="AF9" s="286"/>
      <c r="AG9" s="247"/>
      <c r="AH9" s="243"/>
      <c r="AI9" s="243"/>
      <c r="AJ9" s="246"/>
      <c r="AK9" s="247"/>
      <c r="AL9" s="250"/>
      <c r="AM9" s="247"/>
      <c r="AN9" s="250"/>
      <c r="AO9" s="253"/>
      <c r="AP9" s="250"/>
    </row>
    <row r="10" spans="1:42" ht="17.100000000000001" customHeight="1" outlineLevel="4" x14ac:dyDescent="0.25">
      <c r="A10" s="222"/>
      <c r="B10" s="218" t="s">
        <v>2</v>
      </c>
      <c r="C10" s="228" t="s">
        <v>38</v>
      </c>
      <c r="D10" s="231">
        <v>59.94</v>
      </c>
      <c r="E10" s="234">
        <v>10</v>
      </c>
      <c r="F10" s="7">
        <v>23</v>
      </c>
      <c r="G10" s="31"/>
      <c r="H10" s="32"/>
      <c r="I10" s="32"/>
      <c r="J10" s="32"/>
      <c r="K10" s="32"/>
      <c r="L10" s="32"/>
      <c r="M10" s="32"/>
      <c r="N10" s="32"/>
      <c r="O10" s="32"/>
      <c r="P10" s="33"/>
      <c r="Q10" s="18"/>
      <c r="R10" s="31"/>
      <c r="S10" s="32"/>
      <c r="T10" s="32"/>
      <c r="U10" s="32"/>
      <c r="V10" s="32"/>
      <c r="W10" s="32"/>
      <c r="X10" s="32"/>
      <c r="Y10" s="32"/>
      <c r="Z10" s="32"/>
      <c r="AA10" s="33"/>
      <c r="AB10" s="48" t="e">
        <f t="shared" si="0"/>
        <v>#DIV/0!</v>
      </c>
      <c r="AC10" s="49" t="e">
        <f t="shared" si="0"/>
        <v>#DIV/0!</v>
      </c>
      <c r="AD10" s="19"/>
      <c r="AE10" s="19"/>
      <c r="AF10" s="284" t="s">
        <v>126</v>
      </c>
      <c r="AG10" s="239" t="e" cm="1">
        <f t="array" ref="AG10">bdRateExtend($G10:$G13,G10:G13,$R10:$R13,R10:R13)</f>
        <v>#VALUE!</v>
      </c>
      <c r="AH10" s="241" t="e" cm="1">
        <f t="array" ref="AH10">bdRateExtend($G10:$G15,H10:H15,$R10:$R15,S10:S15)</f>
        <v>#VALUE!</v>
      </c>
      <c r="AI10" s="241" t="e" cm="1">
        <f t="array" ref="AI10">bdRateExtend($G10:$G15,I10:I15,$R10:$R15,T10:T15)</f>
        <v>#VALUE!</v>
      </c>
      <c r="AJ10" s="244" t="e" cm="1">
        <f t="array" ref="AJ10">bdRateExtend($G10:$G15,J10:J15,$R10:$R15,U10:U15)</f>
        <v>#VALUE!</v>
      </c>
      <c r="AK10" s="239" t="e" cm="1">
        <f t="array" ref="AK10">bdRateExtend($G10:$G13,K10:K13,$R10:$R13,V10:V13)</f>
        <v>#VALUE!</v>
      </c>
      <c r="AL10" s="248" t="e" cm="1">
        <f t="array" ref="AL10">bdRateExtend($G10:$G15,K10:K15,$R10:$R15,V10:V15)</f>
        <v>#VALUE!</v>
      </c>
      <c r="AM10" s="239" t="e" cm="1">
        <f t="array" ref="AM10">bdRateExtend($G10:$G13,L10:L13,$R10:$R13,W10:W13)</f>
        <v>#VALUE!</v>
      </c>
      <c r="AN10" s="248" t="e" cm="1">
        <f t="array" ref="AN10">bdRateExtend($G10:$G15,L10:L15,$R10:$R15,W10:W15)</f>
        <v>#VALUE!</v>
      </c>
      <c r="AO10" s="254" t="e" cm="1">
        <f t="array" ref="AO10">bdRateExtend($G10:$G13,M10:M13,$R10:$R13,X10:X13)</f>
        <v>#VALUE!</v>
      </c>
      <c r="AP10" s="248" t="e" cm="1">
        <f t="array" ref="AP10">bdRateExtend($G10:$G15,M10:M15,$R10:$R15,X10:X15)</f>
        <v>#VALUE!</v>
      </c>
    </row>
    <row r="11" spans="1:42" ht="17.100000000000001" customHeight="1" outlineLevel="4" x14ac:dyDescent="0.25">
      <c r="A11" s="222"/>
      <c r="B11" s="219"/>
      <c r="C11" s="229"/>
      <c r="D11" s="232"/>
      <c r="E11" s="235"/>
      <c r="F11" s="16">
        <v>31</v>
      </c>
      <c r="G11" s="34"/>
      <c r="H11" s="39"/>
      <c r="I11" s="39"/>
      <c r="J11" s="39"/>
      <c r="K11" s="39"/>
      <c r="L11" s="39"/>
      <c r="M11" s="39"/>
      <c r="N11" s="39"/>
      <c r="O11" s="39"/>
      <c r="P11" s="35"/>
      <c r="Q11" s="18"/>
      <c r="R11" s="34"/>
      <c r="S11" s="39"/>
      <c r="T11" s="39"/>
      <c r="U11" s="39"/>
      <c r="V11" s="39"/>
      <c r="W11" s="39"/>
      <c r="X11" s="39"/>
      <c r="Y11" s="39"/>
      <c r="Z11" s="39"/>
      <c r="AA11" s="35"/>
      <c r="AB11" s="50" t="e">
        <f t="shared" si="0"/>
        <v>#DIV/0!</v>
      </c>
      <c r="AC11" s="51" t="e">
        <f t="shared" si="0"/>
        <v>#DIV/0!</v>
      </c>
      <c r="AD11" s="19"/>
      <c r="AE11" s="19"/>
      <c r="AF11" s="285"/>
      <c r="AG11" s="240"/>
      <c r="AH11" s="242"/>
      <c r="AI11" s="242"/>
      <c r="AJ11" s="245"/>
      <c r="AK11" s="240"/>
      <c r="AL11" s="249"/>
      <c r="AM11" s="240"/>
      <c r="AN11" s="249"/>
      <c r="AO11" s="252"/>
      <c r="AP11" s="249"/>
    </row>
    <row r="12" spans="1:42" ht="17.100000000000001" customHeight="1" outlineLevel="4" x14ac:dyDescent="0.25">
      <c r="A12" s="222"/>
      <c r="B12" s="219"/>
      <c r="C12" s="229"/>
      <c r="D12" s="232"/>
      <c r="E12" s="235"/>
      <c r="F12" s="16">
        <v>39</v>
      </c>
      <c r="G12" s="34"/>
      <c r="H12" s="39"/>
      <c r="I12" s="39"/>
      <c r="J12" s="39"/>
      <c r="K12" s="39"/>
      <c r="L12" s="39"/>
      <c r="M12" s="39"/>
      <c r="N12" s="39"/>
      <c r="O12" s="39"/>
      <c r="P12" s="35"/>
      <c r="Q12" s="18"/>
      <c r="R12" s="34"/>
      <c r="S12" s="39"/>
      <c r="T12" s="39"/>
      <c r="U12" s="39"/>
      <c r="V12" s="39"/>
      <c r="W12" s="39"/>
      <c r="X12" s="39"/>
      <c r="Y12" s="39"/>
      <c r="Z12" s="39"/>
      <c r="AA12" s="35"/>
      <c r="AB12" s="50" t="e">
        <f t="shared" si="0"/>
        <v>#DIV/0!</v>
      </c>
      <c r="AC12" s="51" t="e">
        <f t="shared" si="0"/>
        <v>#DIV/0!</v>
      </c>
      <c r="AD12" s="19"/>
      <c r="AE12" s="19"/>
      <c r="AF12" s="285" t="s">
        <v>127</v>
      </c>
      <c r="AG12" s="240" t="e" cm="1">
        <f t="array" ref="AG12">bdRateExtend($G11:$G14,G11:G14,$R11:$R14,R11:R14)</f>
        <v>#VALUE!</v>
      </c>
      <c r="AH12" s="242"/>
      <c r="AI12" s="242"/>
      <c r="AJ12" s="245"/>
      <c r="AK12" s="240" t="e" cm="1">
        <f t="array" ref="AK12">bdRateExtend($G11:$G14,K11:K14,$R11:$R14,V11:V14)</f>
        <v>#VALUE!</v>
      </c>
      <c r="AL12" s="249"/>
      <c r="AM12" s="240" t="e" cm="1">
        <f t="array" ref="AM12">bdRateExtend($G11:$G14,L11:L14,$R11:$R14,W11:W14)</f>
        <v>#VALUE!</v>
      </c>
      <c r="AN12" s="249"/>
      <c r="AO12" s="252" t="e" cm="1">
        <f t="array" ref="AO12">bdRateExtend($G11:$G14,M11:M14,$R11:$R14,X11:X14)</f>
        <v>#VALUE!</v>
      </c>
      <c r="AP12" s="249"/>
    </row>
    <row r="13" spans="1:42" ht="17.100000000000001" customHeight="1" outlineLevel="4" x14ac:dyDescent="0.25">
      <c r="A13" s="222"/>
      <c r="B13" s="219"/>
      <c r="C13" s="229"/>
      <c r="D13" s="232"/>
      <c r="E13" s="235"/>
      <c r="F13" s="16">
        <v>47</v>
      </c>
      <c r="G13" s="34"/>
      <c r="H13" s="39"/>
      <c r="I13" s="39"/>
      <c r="J13" s="39"/>
      <c r="K13" s="39"/>
      <c r="L13" s="39"/>
      <c r="M13" s="39"/>
      <c r="N13" s="39"/>
      <c r="O13" s="39"/>
      <c r="P13" s="35"/>
      <c r="Q13" s="18"/>
      <c r="R13" s="34"/>
      <c r="S13" s="39"/>
      <c r="T13" s="39"/>
      <c r="U13" s="39"/>
      <c r="V13" s="39"/>
      <c r="W13" s="39"/>
      <c r="X13" s="39"/>
      <c r="Y13" s="39"/>
      <c r="Z13" s="39"/>
      <c r="AA13" s="35"/>
      <c r="AB13" s="50" t="e">
        <f t="shared" si="0"/>
        <v>#DIV/0!</v>
      </c>
      <c r="AC13" s="51" t="e">
        <f t="shared" si="0"/>
        <v>#DIV/0!</v>
      </c>
      <c r="AD13" s="19"/>
      <c r="AE13" s="19"/>
      <c r="AF13" s="285"/>
      <c r="AG13" s="240"/>
      <c r="AH13" s="242"/>
      <c r="AI13" s="242"/>
      <c r="AJ13" s="245"/>
      <c r="AK13" s="240"/>
      <c r="AL13" s="249"/>
      <c r="AM13" s="240"/>
      <c r="AN13" s="249"/>
      <c r="AO13" s="252"/>
      <c r="AP13" s="249"/>
    </row>
    <row r="14" spans="1:42" ht="17.100000000000001" customHeight="1" outlineLevel="4" x14ac:dyDescent="0.25">
      <c r="A14" s="222"/>
      <c r="B14" s="219"/>
      <c r="C14" s="229"/>
      <c r="D14" s="232"/>
      <c r="E14" s="235"/>
      <c r="F14" s="16">
        <v>55</v>
      </c>
      <c r="G14" s="34"/>
      <c r="H14" s="39"/>
      <c r="I14" s="39"/>
      <c r="J14" s="39"/>
      <c r="K14" s="39"/>
      <c r="L14" s="39"/>
      <c r="M14" s="39"/>
      <c r="N14" s="39"/>
      <c r="O14" s="39"/>
      <c r="P14" s="35"/>
      <c r="Q14" s="18"/>
      <c r="R14" s="34"/>
      <c r="S14" s="39"/>
      <c r="T14" s="39"/>
      <c r="U14" s="39"/>
      <c r="V14" s="39"/>
      <c r="W14" s="39"/>
      <c r="X14" s="39"/>
      <c r="Y14" s="39"/>
      <c r="Z14" s="39"/>
      <c r="AA14" s="35"/>
      <c r="AB14" s="50" t="e">
        <f t="shared" si="0"/>
        <v>#DIV/0!</v>
      </c>
      <c r="AC14" s="51" t="e">
        <f t="shared" si="0"/>
        <v>#DIV/0!</v>
      </c>
      <c r="AD14" s="19"/>
      <c r="AE14" s="19"/>
      <c r="AF14" s="285" t="s">
        <v>128</v>
      </c>
      <c r="AG14" s="240" t="e" cm="1">
        <f t="array" ref="AG14">bdRateExtend($G12:$G15,G12:G15,$R12:$R15,R12:R15)</f>
        <v>#VALUE!</v>
      </c>
      <c r="AH14" s="242"/>
      <c r="AI14" s="242"/>
      <c r="AJ14" s="245"/>
      <c r="AK14" s="240" t="e" cm="1">
        <f t="array" ref="AK14">bdRateExtend($G12:$G15,K12:K15,$R12:$R15,V12:V15)</f>
        <v>#VALUE!</v>
      </c>
      <c r="AL14" s="249"/>
      <c r="AM14" s="240" t="e" cm="1">
        <f t="array" ref="AM14">bdRateExtend($G12:$G15,L12:L15,$R12:$R15,W12:W15)</f>
        <v>#VALUE!</v>
      </c>
      <c r="AN14" s="249"/>
      <c r="AO14" s="252" t="e" cm="1">
        <f t="array" ref="AO14">bdRateExtend($G12:$G15,M12:M15,$R12:$R15,X12:X15)</f>
        <v>#VALUE!</v>
      </c>
      <c r="AP14" s="249"/>
    </row>
    <row r="15" spans="1:42" ht="17.100000000000001" customHeight="1" outlineLevel="4" thickBot="1" x14ac:dyDescent="0.3">
      <c r="A15" s="222"/>
      <c r="B15" s="220"/>
      <c r="C15" s="230"/>
      <c r="D15" s="233"/>
      <c r="E15" s="236"/>
      <c r="F15" s="9">
        <v>63</v>
      </c>
      <c r="G15" s="36"/>
      <c r="H15" s="37"/>
      <c r="I15" s="37"/>
      <c r="J15" s="37"/>
      <c r="K15" s="37"/>
      <c r="L15" s="37"/>
      <c r="M15" s="37"/>
      <c r="N15" s="37"/>
      <c r="O15" s="37"/>
      <c r="P15" s="38"/>
      <c r="Q15" s="18"/>
      <c r="R15" s="36"/>
      <c r="S15" s="37"/>
      <c r="T15" s="37"/>
      <c r="U15" s="37"/>
      <c r="V15" s="37"/>
      <c r="W15" s="37"/>
      <c r="X15" s="37"/>
      <c r="Y15" s="37"/>
      <c r="Z15" s="37"/>
      <c r="AA15" s="38"/>
      <c r="AB15" s="52" t="e">
        <f t="shared" si="0"/>
        <v>#DIV/0!</v>
      </c>
      <c r="AC15" s="53" t="e">
        <f t="shared" si="0"/>
        <v>#DIV/0!</v>
      </c>
      <c r="AD15" s="19"/>
      <c r="AE15" s="19"/>
      <c r="AF15" s="286"/>
      <c r="AG15" s="247"/>
      <c r="AH15" s="243"/>
      <c r="AI15" s="243"/>
      <c r="AJ15" s="246"/>
      <c r="AK15" s="247"/>
      <c r="AL15" s="250"/>
      <c r="AM15" s="247"/>
      <c r="AN15" s="250"/>
      <c r="AO15" s="253"/>
      <c r="AP15" s="250"/>
    </row>
    <row r="16" spans="1:42" ht="17.100000000000001" customHeight="1" outlineLevel="4" x14ac:dyDescent="0.25">
      <c r="A16" s="222"/>
      <c r="B16" s="218" t="s">
        <v>2</v>
      </c>
      <c r="C16" s="228" t="s">
        <v>39</v>
      </c>
      <c r="D16" s="231">
        <v>50</v>
      </c>
      <c r="E16" s="234" t="s">
        <v>22</v>
      </c>
      <c r="F16" s="7">
        <v>23</v>
      </c>
      <c r="G16" s="31"/>
      <c r="H16" s="32"/>
      <c r="I16" s="32"/>
      <c r="J16" s="32"/>
      <c r="K16" s="32"/>
      <c r="L16" s="32"/>
      <c r="M16" s="32"/>
      <c r="N16" s="32"/>
      <c r="O16" s="32"/>
      <c r="P16" s="33"/>
      <c r="Q16" s="18"/>
      <c r="R16" s="31"/>
      <c r="S16" s="32"/>
      <c r="T16" s="32"/>
      <c r="U16" s="32"/>
      <c r="V16" s="32"/>
      <c r="W16" s="32"/>
      <c r="X16" s="32"/>
      <c r="Y16" s="32"/>
      <c r="Z16" s="32"/>
      <c r="AA16" s="33"/>
      <c r="AB16" s="48" t="e">
        <f t="shared" si="0"/>
        <v>#DIV/0!</v>
      </c>
      <c r="AC16" s="49" t="e">
        <f t="shared" si="0"/>
        <v>#DIV/0!</v>
      </c>
      <c r="AD16" s="19"/>
      <c r="AE16" s="19"/>
      <c r="AF16" s="284" t="s">
        <v>126</v>
      </c>
      <c r="AG16" s="239" t="e" cm="1">
        <f t="array" ref="AG16">bdRateExtend($G16:$G19,G16:G19,$R16:$R19,R16:R19)</f>
        <v>#VALUE!</v>
      </c>
      <c r="AH16" s="241" t="e" cm="1">
        <f t="array" ref="AH16">bdRateExtend($G16:$G21,H16:H21,$R16:$R21,S16:S21)</f>
        <v>#VALUE!</v>
      </c>
      <c r="AI16" s="241" t="e" cm="1">
        <f t="array" ref="AI16">bdRateExtend($G16:$G21,I16:I21,$R16:$R21,T16:T21)</f>
        <v>#VALUE!</v>
      </c>
      <c r="AJ16" s="244" t="e" cm="1">
        <f t="array" ref="AJ16">bdRateExtend($G16:$G21,J16:J21,$R16:$R21,U16:U21)</f>
        <v>#VALUE!</v>
      </c>
      <c r="AK16" s="239" t="e" cm="1">
        <f t="array" ref="AK16">bdRateExtend($G16:$G19,K16:K19,$R16:$R19,V16:V19)</f>
        <v>#VALUE!</v>
      </c>
      <c r="AL16" s="248" t="e" cm="1">
        <f t="array" ref="AL16">bdRateExtend($G16:$G21,K16:K21,$R16:$R21,V16:V21)</f>
        <v>#VALUE!</v>
      </c>
      <c r="AM16" s="239" t="e" cm="1">
        <f t="array" ref="AM16">bdRateExtend($G16:$G19,L16:L19,$R16:$R19,W16:W19)</f>
        <v>#VALUE!</v>
      </c>
      <c r="AN16" s="248" t="e" cm="1">
        <f t="array" ref="AN16">bdRateExtend($G16:$G21,L16:L21,$R16:$R21,W16:W21)</f>
        <v>#VALUE!</v>
      </c>
      <c r="AO16" s="254" t="e" cm="1">
        <f t="array" ref="AO16">bdRateExtend($G16:$G19,M16:M19,$R16:$R19,X16:X19)</f>
        <v>#VALUE!</v>
      </c>
      <c r="AP16" s="248" t="e" cm="1">
        <f t="array" ref="AP16">bdRateExtend($G16:$G21,M16:M21,$R16:$R21,X16:X21)</f>
        <v>#VALUE!</v>
      </c>
    </row>
    <row r="17" spans="1:42" ht="17.100000000000001" customHeight="1" outlineLevel="4" x14ac:dyDescent="0.25">
      <c r="A17" s="222"/>
      <c r="B17" s="219"/>
      <c r="C17" s="229"/>
      <c r="D17" s="232"/>
      <c r="E17" s="235"/>
      <c r="F17" s="16">
        <v>31</v>
      </c>
      <c r="G17" s="34"/>
      <c r="H17" s="39"/>
      <c r="I17" s="39"/>
      <c r="J17" s="39"/>
      <c r="K17" s="39"/>
      <c r="L17" s="39"/>
      <c r="M17" s="39"/>
      <c r="N17" s="39"/>
      <c r="O17" s="39"/>
      <c r="P17" s="35"/>
      <c r="Q17" s="18"/>
      <c r="R17" s="34"/>
      <c r="S17" s="39"/>
      <c r="T17" s="39"/>
      <c r="U17" s="39"/>
      <c r="V17" s="39"/>
      <c r="W17" s="39"/>
      <c r="X17" s="39"/>
      <c r="Y17" s="39"/>
      <c r="Z17" s="39"/>
      <c r="AA17" s="35"/>
      <c r="AB17" s="50" t="e">
        <f t="shared" si="0"/>
        <v>#DIV/0!</v>
      </c>
      <c r="AC17" s="51" t="e">
        <f t="shared" si="0"/>
        <v>#DIV/0!</v>
      </c>
      <c r="AD17" s="19"/>
      <c r="AE17" s="19"/>
      <c r="AF17" s="285"/>
      <c r="AG17" s="240"/>
      <c r="AH17" s="242"/>
      <c r="AI17" s="242"/>
      <c r="AJ17" s="245"/>
      <c r="AK17" s="240"/>
      <c r="AL17" s="249"/>
      <c r="AM17" s="240"/>
      <c r="AN17" s="249"/>
      <c r="AO17" s="252"/>
      <c r="AP17" s="249"/>
    </row>
    <row r="18" spans="1:42" ht="17.100000000000001" customHeight="1" outlineLevel="4" x14ac:dyDescent="0.25">
      <c r="A18" s="222"/>
      <c r="B18" s="219"/>
      <c r="C18" s="229"/>
      <c r="D18" s="232"/>
      <c r="E18" s="235"/>
      <c r="F18" s="16">
        <v>39</v>
      </c>
      <c r="G18" s="34"/>
      <c r="H18" s="39"/>
      <c r="I18" s="39"/>
      <c r="J18" s="39"/>
      <c r="K18" s="39"/>
      <c r="L18" s="39"/>
      <c r="M18" s="39"/>
      <c r="N18" s="39"/>
      <c r="O18" s="39"/>
      <c r="P18" s="35"/>
      <c r="Q18" s="18"/>
      <c r="R18" s="34"/>
      <c r="S18" s="39"/>
      <c r="T18" s="39"/>
      <c r="U18" s="39"/>
      <c r="V18" s="39"/>
      <c r="W18" s="39"/>
      <c r="X18" s="39"/>
      <c r="Y18" s="39"/>
      <c r="Z18" s="39"/>
      <c r="AA18" s="35"/>
      <c r="AB18" s="50" t="e">
        <f t="shared" si="0"/>
        <v>#DIV/0!</v>
      </c>
      <c r="AC18" s="51" t="e">
        <f t="shared" si="0"/>
        <v>#DIV/0!</v>
      </c>
      <c r="AD18" s="19"/>
      <c r="AE18" s="19"/>
      <c r="AF18" s="285" t="s">
        <v>127</v>
      </c>
      <c r="AG18" s="240" t="e" cm="1">
        <f t="array" ref="AG18">bdRateExtend($G17:$G20,G17:G20,$R17:$R20,R17:R20)</f>
        <v>#VALUE!</v>
      </c>
      <c r="AH18" s="242"/>
      <c r="AI18" s="242"/>
      <c r="AJ18" s="245"/>
      <c r="AK18" s="240" t="e" cm="1">
        <f t="array" ref="AK18">bdRateExtend($G17:$G20,K17:K20,$R17:$R20,V17:V20)</f>
        <v>#VALUE!</v>
      </c>
      <c r="AL18" s="249"/>
      <c r="AM18" s="240" t="e" cm="1">
        <f t="array" ref="AM18">bdRateExtend($G17:$G20,L17:L20,$R17:$R20,W17:W20)</f>
        <v>#VALUE!</v>
      </c>
      <c r="AN18" s="249"/>
      <c r="AO18" s="252" t="e" cm="1">
        <f t="array" ref="AO18">bdRateExtend($G17:$G20,M17:M20,$R17:$R20,X17:X20)</f>
        <v>#VALUE!</v>
      </c>
      <c r="AP18" s="249"/>
    </row>
    <row r="19" spans="1:42" ht="17.100000000000001" customHeight="1" outlineLevel="4" x14ac:dyDescent="0.25">
      <c r="A19" s="222"/>
      <c r="B19" s="219"/>
      <c r="C19" s="229"/>
      <c r="D19" s="232"/>
      <c r="E19" s="235"/>
      <c r="F19" s="16">
        <v>47</v>
      </c>
      <c r="G19" s="34"/>
      <c r="H19" s="39"/>
      <c r="I19" s="39"/>
      <c r="J19" s="39"/>
      <c r="K19" s="39"/>
      <c r="L19" s="39"/>
      <c r="M19" s="39"/>
      <c r="N19" s="39"/>
      <c r="O19" s="39"/>
      <c r="P19" s="35"/>
      <c r="Q19" s="18"/>
      <c r="R19" s="34"/>
      <c r="S19" s="39"/>
      <c r="T19" s="39"/>
      <c r="U19" s="39"/>
      <c r="V19" s="39"/>
      <c r="W19" s="39"/>
      <c r="X19" s="39"/>
      <c r="Y19" s="39"/>
      <c r="Z19" s="39"/>
      <c r="AA19" s="35"/>
      <c r="AB19" s="50" t="e">
        <f t="shared" si="0"/>
        <v>#DIV/0!</v>
      </c>
      <c r="AC19" s="51" t="e">
        <f t="shared" si="0"/>
        <v>#DIV/0!</v>
      </c>
      <c r="AD19" s="19"/>
      <c r="AE19" s="19"/>
      <c r="AF19" s="285"/>
      <c r="AG19" s="240"/>
      <c r="AH19" s="242"/>
      <c r="AI19" s="242"/>
      <c r="AJ19" s="245"/>
      <c r="AK19" s="240"/>
      <c r="AL19" s="249"/>
      <c r="AM19" s="240"/>
      <c r="AN19" s="249"/>
      <c r="AO19" s="252"/>
      <c r="AP19" s="249"/>
    </row>
    <row r="20" spans="1:42" ht="17.100000000000001" customHeight="1" outlineLevel="4" x14ac:dyDescent="0.25">
      <c r="A20" s="222"/>
      <c r="B20" s="219"/>
      <c r="C20" s="229"/>
      <c r="D20" s="232"/>
      <c r="E20" s="235"/>
      <c r="F20" s="16">
        <v>55</v>
      </c>
      <c r="G20" s="34"/>
      <c r="H20" s="39"/>
      <c r="I20" s="39"/>
      <c r="J20" s="39"/>
      <c r="K20" s="39"/>
      <c r="L20" s="39"/>
      <c r="M20" s="39"/>
      <c r="N20" s="39"/>
      <c r="O20" s="39"/>
      <c r="P20" s="35"/>
      <c r="Q20" s="18"/>
      <c r="R20" s="34"/>
      <c r="S20" s="39"/>
      <c r="T20" s="39"/>
      <c r="U20" s="39"/>
      <c r="V20" s="39"/>
      <c r="W20" s="39"/>
      <c r="X20" s="39"/>
      <c r="Y20" s="39"/>
      <c r="Z20" s="39"/>
      <c r="AA20" s="35"/>
      <c r="AB20" s="50" t="e">
        <f t="shared" si="0"/>
        <v>#DIV/0!</v>
      </c>
      <c r="AC20" s="51" t="e">
        <f t="shared" si="0"/>
        <v>#DIV/0!</v>
      </c>
      <c r="AD20" s="19"/>
      <c r="AE20" s="19"/>
      <c r="AF20" s="285" t="s">
        <v>128</v>
      </c>
      <c r="AG20" s="240" t="e" cm="1">
        <f t="array" ref="AG20">bdRateExtend($G18:$G21,G18:G21,$R18:$R21,R18:R21)</f>
        <v>#VALUE!</v>
      </c>
      <c r="AH20" s="242"/>
      <c r="AI20" s="242"/>
      <c r="AJ20" s="245"/>
      <c r="AK20" s="240" t="e" cm="1">
        <f t="array" ref="AK20">bdRateExtend($G18:$G21,K18:K21,$R18:$R21,V18:V21)</f>
        <v>#VALUE!</v>
      </c>
      <c r="AL20" s="249"/>
      <c r="AM20" s="240" t="e" cm="1">
        <f t="array" ref="AM20">bdRateExtend($G18:$G21,L18:L21,$R18:$R21,W18:W21)</f>
        <v>#VALUE!</v>
      </c>
      <c r="AN20" s="249"/>
      <c r="AO20" s="252" t="e" cm="1">
        <f t="array" ref="AO20">bdRateExtend($G18:$G21,M18:M21,$R18:$R21,X18:X21)</f>
        <v>#VALUE!</v>
      </c>
      <c r="AP20" s="249"/>
    </row>
    <row r="21" spans="1:42" ht="17.100000000000001" customHeight="1" outlineLevel="4" thickBot="1" x14ac:dyDescent="0.3">
      <c r="A21" s="222"/>
      <c r="B21" s="220"/>
      <c r="C21" s="230"/>
      <c r="D21" s="233"/>
      <c r="E21" s="236"/>
      <c r="F21" s="9">
        <v>63</v>
      </c>
      <c r="G21" s="36"/>
      <c r="H21" s="37"/>
      <c r="I21" s="37"/>
      <c r="J21" s="37"/>
      <c r="K21" s="37"/>
      <c r="L21" s="37"/>
      <c r="M21" s="37"/>
      <c r="N21" s="37"/>
      <c r="O21" s="37"/>
      <c r="P21" s="38"/>
      <c r="Q21" s="18"/>
      <c r="R21" s="36"/>
      <c r="S21" s="37"/>
      <c r="T21" s="37"/>
      <c r="U21" s="37"/>
      <c r="V21" s="37"/>
      <c r="W21" s="37"/>
      <c r="X21" s="37"/>
      <c r="Y21" s="37"/>
      <c r="Z21" s="37"/>
      <c r="AA21" s="38"/>
      <c r="AB21" s="52" t="e">
        <f t="shared" si="0"/>
        <v>#DIV/0!</v>
      </c>
      <c r="AC21" s="53" t="e">
        <f t="shared" si="0"/>
        <v>#DIV/0!</v>
      </c>
      <c r="AD21" s="19"/>
      <c r="AE21" s="19"/>
      <c r="AF21" s="286"/>
      <c r="AG21" s="247"/>
      <c r="AH21" s="243"/>
      <c r="AI21" s="243"/>
      <c r="AJ21" s="246"/>
      <c r="AK21" s="247"/>
      <c r="AL21" s="250"/>
      <c r="AM21" s="247"/>
      <c r="AN21" s="250"/>
      <c r="AO21" s="253"/>
      <c r="AP21" s="250"/>
    </row>
    <row r="22" spans="1:42" ht="17.100000000000001" customHeight="1" outlineLevel="4" x14ac:dyDescent="0.25">
      <c r="A22" s="222"/>
      <c r="B22" s="218" t="s">
        <v>2</v>
      </c>
      <c r="C22" s="228" t="s">
        <v>40</v>
      </c>
      <c r="D22" s="231">
        <v>29.97</v>
      </c>
      <c r="E22" s="234">
        <v>10</v>
      </c>
      <c r="F22" s="7">
        <v>23</v>
      </c>
      <c r="G22" s="31"/>
      <c r="H22" s="32"/>
      <c r="I22" s="32"/>
      <c r="J22" s="32"/>
      <c r="K22" s="32"/>
      <c r="L22" s="32"/>
      <c r="M22" s="32"/>
      <c r="N22" s="32"/>
      <c r="O22" s="32"/>
      <c r="P22" s="33"/>
      <c r="Q22" s="18"/>
      <c r="R22" s="31"/>
      <c r="S22" s="32"/>
      <c r="T22" s="32"/>
      <c r="U22" s="32"/>
      <c r="V22" s="32"/>
      <c r="W22" s="32"/>
      <c r="X22" s="32"/>
      <c r="Y22" s="32"/>
      <c r="Z22" s="32"/>
      <c r="AA22" s="33"/>
      <c r="AB22" s="48" t="e">
        <f t="shared" si="0"/>
        <v>#DIV/0!</v>
      </c>
      <c r="AC22" s="49" t="e">
        <f t="shared" si="0"/>
        <v>#DIV/0!</v>
      </c>
      <c r="AD22" s="19"/>
      <c r="AE22" s="19"/>
      <c r="AF22" s="284" t="s">
        <v>126</v>
      </c>
      <c r="AG22" s="239" t="e" cm="1">
        <f t="array" ref="AG22">bdRateExtend($G22:$G25,G22:G25,$R22:$R25,R22:R25)</f>
        <v>#VALUE!</v>
      </c>
      <c r="AH22" s="241" t="e" cm="1">
        <f t="array" ref="AH22">bdRateExtend($G22:$G27,H22:H27,$R22:$R27,S22:S27)</f>
        <v>#VALUE!</v>
      </c>
      <c r="AI22" s="241" t="e" cm="1">
        <f t="array" ref="AI22">bdRateExtend($G22:$G27,I22:I27,$R22:$R27,T22:T27)</f>
        <v>#VALUE!</v>
      </c>
      <c r="AJ22" s="244" t="e" cm="1">
        <f t="array" ref="AJ22">bdRateExtend($G22:$G27,J22:J27,$R22:$R27,U22:U27)</f>
        <v>#VALUE!</v>
      </c>
      <c r="AK22" s="239" t="e" cm="1">
        <f t="array" ref="AK22">bdRateExtend($G22:$G25,K22:K25,$R22:$R25,V22:V25)</f>
        <v>#VALUE!</v>
      </c>
      <c r="AL22" s="248" t="e" cm="1">
        <f t="array" ref="AL22">bdRateExtend($G22:$G27,K22:K27,$R22:$R27,V22:V27)</f>
        <v>#VALUE!</v>
      </c>
      <c r="AM22" s="239" t="e" cm="1">
        <f t="array" ref="AM22">bdRateExtend($G22:$G25,L22:L25,$R22:$R25,W22:W25)</f>
        <v>#VALUE!</v>
      </c>
      <c r="AN22" s="248" t="e" cm="1">
        <f t="array" ref="AN22">bdRateExtend($G22:$G27,L22:L27,$R22:$R27,W22:W27)</f>
        <v>#VALUE!</v>
      </c>
      <c r="AO22" s="254" t="e" cm="1">
        <f t="array" ref="AO22">bdRateExtend($G22:$G25,M22:M25,$R22:$R25,X22:X25)</f>
        <v>#VALUE!</v>
      </c>
      <c r="AP22" s="248" t="e" cm="1">
        <f t="array" ref="AP22">bdRateExtend($G22:$G27,M22:M27,$R22:$R27,X22:X27)</f>
        <v>#VALUE!</v>
      </c>
    </row>
    <row r="23" spans="1:42" ht="17.100000000000001" customHeight="1" outlineLevel="4" x14ac:dyDescent="0.25">
      <c r="A23" s="222"/>
      <c r="B23" s="219"/>
      <c r="C23" s="229"/>
      <c r="D23" s="232"/>
      <c r="E23" s="235"/>
      <c r="F23" s="16">
        <v>31</v>
      </c>
      <c r="G23" s="34"/>
      <c r="H23" s="39"/>
      <c r="I23" s="39"/>
      <c r="J23" s="39"/>
      <c r="K23" s="39"/>
      <c r="L23" s="39"/>
      <c r="M23" s="39"/>
      <c r="N23" s="39"/>
      <c r="O23" s="39"/>
      <c r="P23" s="35"/>
      <c r="Q23" s="18"/>
      <c r="R23" s="34"/>
      <c r="S23" s="39"/>
      <c r="T23" s="39"/>
      <c r="U23" s="39"/>
      <c r="V23" s="39"/>
      <c r="W23" s="39"/>
      <c r="X23" s="39"/>
      <c r="Y23" s="39"/>
      <c r="Z23" s="39"/>
      <c r="AA23" s="35"/>
      <c r="AB23" s="50" t="e">
        <f t="shared" si="0"/>
        <v>#DIV/0!</v>
      </c>
      <c r="AC23" s="51" t="e">
        <f t="shared" si="0"/>
        <v>#DIV/0!</v>
      </c>
      <c r="AD23" s="19"/>
      <c r="AE23" s="19"/>
      <c r="AF23" s="285"/>
      <c r="AG23" s="240"/>
      <c r="AH23" s="242"/>
      <c r="AI23" s="242"/>
      <c r="AJ23" s="245"/>
      <c r="AK23" s="240"/>
      <c r="AL23" s="249"/>
      <c r="AM23" s="240"/>
      <c r="AN23" s="249"/>
      <c r="AO23" s="252"/>
      <c r="AP23" s="249"/>
    </row>
    <row r="24" spans="1:42" ht="17.100000000000001" customHeight="1" outlineLevel="4" x14ac:dyDescent="0.25">
      <c r="A24" s="222"/>
      <c r="B24" s="219"/>
      <c r="C24" s="229"/>
      <c r="D24" s="232"/>
      <c r="E24" s="235"/>
      <c r="F24" s="16">
        <v>39</v>
      </c>
      <c r="G24" s="34"/>
      <c r="H24" s="39"/>
      <c r="I24" s="39"/>
      <c r="J24" s="39"/>
      <c r="K24" s="39"/>
      <c r="L24" s="39"/>
      <c r="M24" s="39"/>
      <c r="N24" s="39"/>
      <c r="O24" s="39"/>
      <c r="P24" s="35"/>
      <c r="Q24" s="18"/>
      <c r="R24" s="34"/>
      <c r="S24" s="39"/>
      <c r="T24" s="39"/>
      <c r="U24" s="39"/>
      <c r="V24" s="39"/>
      <c r="W24" s="39"/>
      <c r="X24" s="39"/>
      <c r="Y24" s="39"/>
      <c r="Z24" s="39"/>
      <c r="AA24" s="35"/>
      <c r="AB24" s="50" t="e">
        <f t="shared" si="0"/>
        <v>#DIV/0!</v>
      </c>
      <c r="AC24" s="51" t="e">
        <f t="shared" si="0"/>
        <v>#DIV/0!</v>
      </c>
      <c r="AD24" s="19"/>
      <c r="AE24" s="19"/>
      <c r="AF24" s="285" t="s">
        <v>127</v>
      </c>
      <c r="AG24" s="240" t="e" cm="1">
        <f t="array" ref="AG24">bdRateExtend($G23:$G26,G23:G26,$R23:$R26,R23:R26)</f>
        <v>#VALUE!</v>
      </c>
      <c r="AH24" s="242"/>
      <c r="AI24" s="242"/>
      <c r="AJ24" s="245"/>
      <c r="AK24" s="240" t="e" cm="1">
        <f t="array" ref="AK24">bdRateExtend($G23:$G26,K23:K26,$R23:$R26,V23:V26)</f>
        <v>#VALUE!</v>
      </c>
      <c r="AL24" s="249"/>
      <c r="AM24" s="240" t="e" cm="1">
        <f t="array" ref="AM24">bdRateExtend($G23:$G26,L23:L26,$R23:$R26,W23:W26)</f>
        <v>#VALUE!</v>
      </c>
      <c r="AN24" s="249"/>
      <c r="AO24" s="252" t="e" cm="1">
        <f t="array" ref="AO24">bdRateExtend($G23:$G26,M23:M26,$R23:$R26,X23:X26)</f>
        <v>#VALUE!</v>
      </c>
      <c r="AP24" s="249"/>
    </row>
    <row r="25" spans="1:42" ht="17.100000000000001" customHeight="1" outlineLevel="4" x14ac:dyDescent="0.25">
      <c r="A25" s="222"/>
      <c r="B25" s="219"/>
      <c r="C25" s="229"/>
      <c r="D25" s="232"/>
      <c r="E25" s="235"/>
      <c r="F25" s="16">
        <v>47</v>
      </c>
      <c r="G25" s="34"/>
      <c r="H25" s="39"/>
      <c r="I25" s="39"/>
      <c r="J25" s="39"/>
      <c r="K25" s="39"/>
      <c r="L25" s="39"/>
      <c r="M25" s="39"/>
      <c r="N25" s="39"/>
      <c r="O25" s="39"/>
      <c r="P25" s="35"/>
      <c r="Q25" s="18"/>
      <c r="R25" s="34"/>
      <c r="S25" s="39"/>
      <c r="T25" s="39"/>
      <c r="U25" s="39"/>
      <c r="V25" s="39"/>
      <c r="W25" s="39"/>
      <c r="X25" s="39"/>
      <c r="Y25" s="39"/>
      <c r="Z25" s="39"/>
      <c r="AA25" s="35"/>
      <c r="AB25" s="50" t="e">
        <f t="shared" si="0"/>
        <v>#DIV/0!</v>
      </c>
      <c r="AC25" s="51" t="e">
        <f t="shared" si="0"/>
        <v>#DIV/0!</v>
      </c>
      <c r="AD25" s="19"/>
      <c r="AE25" s="19"/>
      <c r="AF25" s="285"/>
      <c r="AG25" s="240"/>
      <c r="AH25" s="242"/>
      <c r="AI25" s="242"/>
      <c r="AJ25" s="245"/>
      <c r="AK25" s="240"/>
      <c r="AL25" s="249"/>
      <c r="AM25" s="240"/>
      <c r="AN25" s="249"/>
      <c r="AO25" s="252"/>
      <c r="AP25" s="249"/>
    </row>
    <row r="26" spans="1:42" ht="17.100000000000001" customHeight="1" outlineLevel="4" x14ac:dyDescent="0.25">
      <c r="A26" s="222"/>
      <c r="B26" s="219"/>
      <c r="C26" s="229"/>
      <c r="D26" s="232"/>
      <c r="E26" s="235"/>
      <c r="F26" s="16">
        <v>55</v>
      </c>
      <c r="G26" s="34"/>
      <c r="H26" s="39"/>
      <c r="I26" s="39"/>
      <c r="J26" s="39"/>
      <c r="K26" s="39"/>
      <c r="L26" s="39"/>
      <c r="M26" s="39"/>
      <c r="N26" s="39"/>
      <c r="O26" s="39"/>
      <c r="P26" s="35"/>
      <c r="Q26" s="18"/>
      <c r="R26" s="34"/>
      <c r="S26" s="39"/>
      <c r="T26" s="39"/>
      <c r="U26" s="39"/>
      <c r="V26" s="39"/>
      <c r="W26" s="39"/>
      <c r="X26" s="39"/>
      <c r="Y26" s="39"/>
      <c r="Z26" s="39"/>
      <c r="AA26" s="35"/>
      <c r="AB26" s="50" t="e">
        <f t="shared" ref="AB26:AB57" si="1">Y26/N26</f>
        <v>#DIV/0!</v>
      </c>
      <c r="AC26" s="51" t="e">
        <f t="shared" ref="AC26:AC57" si="2">Z26/O26</f>
        <v>#DIV/0!</v>
      </c>
      <c r="AD26" s="19"/>
      <c r="AE26" s="19"/>
      <c r="AF26" s="285" t="s">
        <v>128</v>
      </c>
      <c r="AG26" s="240" t="e" cm="1">
        <f t="array" ref="AG26">bdRateExtend($G24:$G27,G24:G27,$R24:$R27,R24:R27)</f>
        <v>#VALUE!</v>
      </c>
      <c r="AH26" s="242"/>
      <c r="AI26" s="242"/>
      <c r="AJ26" s="245"/>
      <c r="AK26" s="240" t="e" cm="1">
        <f t="array" ref="AK26">bdRateExtend($G24:$G27,K24:K27,$R24:$R27,V24:V27)</f>
        <v>#VALUE!</v>
      </c>
      <c r="AL26" s="249"/>
      <c r="AM26" s="240" t="e" cm="1">
        <f t="array" ref="AM26">bdRateExtend($G24:$G27,L24:L27,$R24:$R27,W24:W27)</f>
        <v>#VALUE!</v>
      </c>
      <c r="AN26" s="249"/>
      <c r="AO26" s="252" t="e" cm="1">
        <f t="array" ref="AO26">bdRateExtend($G24:$G27,M24:M27,$R24:$R27,X24:X27)</f>
        <v>#VALUE!</v>
      </c>
      <c r="AP26" s="249"/>
    </row>
    <row r="27" spans="1:42" ht="17.100000000000001" customHeight="1" outlineLevel="4" thickBot="1" x14ac:dyDescent="0.3">
      <c r="A27" s="222"/>
      <c r="B27" s="220"/>
      <c r="C27" s="230"/>
      <c r="D27" s="233"/>
      <c r="E27" s="236"/>
      <c r="F27" s="9">
        <v>63</v>
      </c>
      <c r="G27" s="36"/>
      <c r="H27" s="37"/>
      <c r="I27" s="37"/>
      <c r="J27" s="37"/>
      <c r="K27" s="37"/>
      <c r="L27" s="37"/>
      <c r="M27" s="37"/>
      <c r="N27" s="37"/>
      <c r="O27" s="37"/>
      <c r="P27" s="38"/>
      <c r="Q27" s="18"/>
      <c r="R27" s="36"/>
      <c r="S27" s="37"/>
      <c r="T27" s="37"/>
      <c r="U27" s="37"/>
      <c r="V27" s="37"/>
      <c r="W27" s="37"/>
      <c r="X27" s="37"/>
      <c r="Y27" s="37"/>
      <c r="Z27" s="37"/>
      <c r="AA27" s="38"/>
      <c r="AB27" s="52" t="e">
        <f t="shared" si="1"/>
        <v>#DIV/0!</v>
      </c>
      <c r="AC27" s="53" t="e">
        <f t="shared" si="2"/>
        <v>#DIV/0!</v>
      </c>
      <c r="AD27" s="19"/>
      <c r="AE27" s="19"/>
      <c r="AF27" s="286"/>
      <c r="AG27" s="247"/>
      <c r="AH27" s="243"/>
      <c r="AI27" s="243"/>
      <c r="AJ27" s="246"/>
      <c r="AK27" s="247"/>
      <c r="AL27" s="250"/>
      <c r="AM27" s="247"/>
      <c r="AN27" s="250"/>
      <c r="AO27" s="253"/>
      <c r="AP27" s="250"/>
    </row>
    <row r="28" spans="1:42" ht="17.100000000000001" customHeight="1" outlineLevel="4" x14ac:dyDescent="0.25">
      <c r="A28" s="222"/>
      <c r="B28" s="218" t="s">
        <v>2</v>
      </c>
      <c r="C28" s="228" t="s">
        <v>41</v>
      </c>
      <c r="D28" s="231">
        <v>59.94</v>
      </c>
      <c r="E28" s="234">
        <v>10</v>
      </c>
      <c r="F28" s="7">
        <v>23</v>
      </c>
      <c r="G28" s="31"/>
      <c r="H28" s="32"/>
      <c r="I28" s="32"/>
      <c r="J28" s="32"/>
      <c r="K28" s="32"/>
      <c r="L28" s="32"/>
      <c r="M28" s="32"/>
      <c r="N28" s="32"/>
      <c r="O28" s="32"/>
      <c r="P28" s="33"/>
      <c r="Q28" s="18"/>
      <c r="R28" s="31"/>
      <c r="S28" s="32"/>
      <c r="T28" s="32"/>
      <c r="U28" s="32"/>
      <c r="V28" s="32"/>
      <c r="W28" s="32"/>
      <c r="X28" s="32"/>
      <c r="Y28" s="32"/>
      <c r="Z28" s="32"/>
      <c r="AA28" s="33"/>
      <c r="AB28" s="48" t="e">
        <f t="shared" si="1"/>
        <v>#DIV/0!</v>
      </c>
      <c r="AC28" s="49" t="e">
        <f t="shared" si="2"/>
        <v>#DIV/0!</v>
      </c>
      <c r="AD28" s="19"/>
      <c r="AE28" s="19"/>
      <c r="AF28" s="284" t="s">
        <v>126</v>
      </c>
      <c r="AG28" s="239" t="e" cm="1">
        <f t="array" ref="AG28">bdRateExtend($G28:$G31,G28:G31,$R28:$R31,R28:R31)</f>
        <v>#VALUE!</v>
      </c>
      <c r="AH28" s="241" t="e" cm="1">
        <f t="array" ref="AH28">bdRateExtend($G28:$G33,H28:H33,$R28:$R33,S28:S33)</f>
        <v>#VALUE!</v>
      </c>
      <c r="AI28" s="241" t="e" cm="1">
        <f t="array" ref="AI28">bdRateExtend($G28:$G33,I28:I33,$R28:$R33,T28:T33)</f>
        <v>#VALUE!</v>
      </c>
      <c r="AJ28" s="244" t="e" cm="1">
        <f t="array" ref="AJ28">bdRateExtend($G28:$G33,J28:J33,$R28:$R33,U28:U33)</f>
        <v>#VALUE!</v>
      </c>
      <c r="AK28" s="239" t="e" cm="1">
        <f t="array" ref="AK28">bdRateExtend($G28:$G31,K28:K31,$R28:$R31,V28:V31)</f>
        <v>#VALUE!</v>
      </c>
      <c r="AL28" s="248" t="e" cm="1">
        <f t="array" ref="AL28">bdRateExtend($G28:$G33,K28:K33,$R28:$R33,V28:V33)</f>
        <v>#VALUE!</v>
      </c>
      <c r="AM28" s="239" t="e" cm="1">
        <f t="array" ref="AM28">bdRateExtend($G28:$G31,L28:L31,$R28:$R31,W28:W31)</f>
        <v>#VALUE!</v>
      </c>
      <c r="AN28" s="248" t="e" cm="1">
        <f t="array" ref="AN28">bdRateExtend($G28:$G33,L28:L33,$R28:$R33,W28:W33)</f>
        <v>#VALUE!</v>
      </c>
      <c r="AO28" s="254" t="e" cm="1">
        <f t="array" ref="AO28">bdRateExtend($G28:$G31,M28:M31,$R28:$R31,X28:X31)</f>
        <v>#VALUE!</v>
      </c>
      <c r="AP28" s="248" t="e" cm="1">
        <f t="array" ref="AP28">bdRateExtend($G28:$G33,M28:M33,$R28:$R33,X28:X33)</f>
        <v>#VALUE!</v>
      </c>
    </row>
    <row r="29" spans="1:42" ht="17.100000000000001" customHeight="1" outlineLevel="4" x14ac:dyDescent="0.25">
      <c r="A29" s="222"/>
      <c r="B29" s="219"/>
      <c r="C29" s="229"/>
      <c r="D29" s="232"/>
      <c r="E29" s="235"/>
      <c r="F29" s="16">
        <v>31</v>
      </c>
      <c r="G29" s="34"/>
      <c r="H29" s="39"/>
      <c r="I29" s="39"/>
      <c r="J29" s="39"/>
      <c r="K29" s="39"/>
      <c r="L29" s="39"/>
      <c r="M29" s="39"/>
      <c r="N29" s="39"/>
      <c r="O29" s="39"/>
      <c r="P29" s="35"/>
      <c r="Q29" s="18"/>
      <c r="R29" s="34"/>
      <c r="S29" s="39"/>
      <c r="T29" s="39"/>
      <c r="U29" s="39"/>
      <c r="V29" s="39"/>
      <c r="W29" s="39"/>
      <c r="X29" s="39"/>
      <c r="Y29" s="39"/>
      <c r="Z29" s="39"/>
      <c r="AA29" s="35"/>
      <c r="AB29" s="50" t="e">
        <f t="shared" si="1"/>
        <v>#DIV/0!</v>
      </c>
      <c r="AC29" s="51" t="e">
        <f t="shared" si="2"/>
        <v>#DIV/0!</v>
      </c>
      <c r="AD29" s="19"/>
      <c r="AE29" s="19"/>
      <c r="AF29" s="285"/>
      <c r="AG29" s="240"/>
      <c r="AH29" s="242"/>
      <c r="AI29" s="242"/>
      <c r="AJ29" s="245"/>
      <c r="AK29" s="240"/>
      <c r="AL29" s="249"/>
      <c r="AM29" s="240"/>
      <c r="AN29" s="249"/>
      <c r="AO29" s="252"/>
      <c r="AP29" s="249"/>
    </row>
    <row r="30" spans="1:42" ht="17.100000000000001" customHeight="1" outlineLevel="4" x14ac:dyDescent="0.25">
      <c r="A30" s="222"/>
      <c r="B30" s="219"/>
      <c r="C30" s="229"/>
      <c r="D30" s="232"/>
      <c r="E30" s="235"/>
      <c r="F30" s="16">
        <v>39</v>
      </c>
      <c r="G30" s="34"/>
      <c r="H30" s="39"/>
      <c r="I30" s="39"/>
      <c r="J30" s="39"/>
      <c r="K30" s="39"/>
      <c r="L30" s="39"/>
      <c r="M30" s="39"/>
      <c r="N30" s="39"/>
      <c r="O30" s="39"/>
      <c r="P30" s="35"/>
      <c r="Q30" s="18"/>
      <c r="R30" s="34"/>
      <c r="S30" s="39"/>
      <c r="T30" s="39"/>
      <c r="U30" s="39"/>
      <c r="V30" s="39"/>
      <c r="W30" s="39"/>
      <c r="X30" s="39"/>
      <c r="Y30" s="39"/>
      <c r="Z30" s="39"/>
      <c r="AA30" s="35"/>
      <c r="AB30" s="50" t="e">
        <f t="shared" si="1"/>
        <v>#DIV/0!</v>
      </c>
      <c r="AC30" s="51" t="e">
        <f t="shared" si="2"/>
        <v>#DIV/0!</v>
      </c>
      <c r="AD30" s="19"/>
      <c r="AE30" s="19"/>
      <c r="AF30" s="285" t="s">
        <v>127</v>
      </c>
      <c r="AG30" s="240" t="e" cm="1">
        <f t="array" ref="AG30">bdRateExtend($G29:$G32,G29:G32,$R29:$R32,R29:R32)</f>
        <v>#VALUE!</v>
      </c>
      <c r="AH30" s="242"/>
      <c r="AI30" s="242"/>
      <c r="AJ30" s="245"/>
      <c r="AK30" s="240" t="e" cm="1">
        <f t="array" ref="AK30">bdRateExtend($G29:$G32,K29:K32,$R29:$R32,V29:V32)</f>
        <v>#VALUE!</v>
      </c>
      <c r="AL30" s="249"/>
      <c r="AM30" s="240" t="e" cm="1">
        <f t="array" ref="AM30">bdRateExtend($G29:$G32,L29:L32,$R29:$R32,W29:W32)</f>
        <v>#VALUE!</v>
      </c>
      <c r="AN30" s="249"/>
      <c r="AO30" s="252" t="e" cm="1">
        <f t="array" ref="AO30">bdRateExtend($G29:$G32,M29:M32,$R29:$R32,X29:X32)</f>
        <v>#VALUE!</v>
      </c>
      <c r="AP30" s="249"/>
    </row>
    <row r="31" spans="1:42" ht="17.100000000000001" customHeight="1" outlineLevel="4" x14ac:dyDescent="0.25">
      <c r="A31" s="222"/>
      <c r="B31" s="219"/>
      <c r="C31" s="229"/>
      <c r="D31" s="232"/>
      <c r="E31" s="235"/>
      <c r="F31" s="16">
        <v>47</v>
      </c>
      <c r="G31" s="34"/>
      <c r="H31" s="39"/>
      <c r="I31" s="39"/>
      <c r="J31" s="39"/>
      <c r="K31" s="39"/>
      <c r="L31" s="39"/>
      <c r="M31" s="39"/>
      <c r="N31" s="39"/>
      <c r="O31" s="39"/>
      <c r="P31" s="35"/>
      <c r="Q31" s="18"/>
      <c r="R31" s="34"/>
      <c r="S31" s="39"/>
      <c r="T31" s="39"/>
      <c r="U31" s="39"/>
      <c r="V31" s="39"/>
      <c r="W31" s="39"/>
      <c r="X31" s="39"/>
      <c r="Y31" s="39"/>
      <c r="Z31" s="39"/>
      <c r="AA31" s="35"/>
      <c r="AB31" s="50" t="e">
        <f t="shared" si="1"/>
        <v>#DIV/0!</v>
      </c>
      <c r="AC31" s="51" t="e">
        <f t="shared" si="2"/>
        <v>#DIV/0!</v>
      </c>
      <c r="AD31" s="19"/>
      <c r="AE31" s="19"/>
      <c r="AF31" s="285"/>
      <c r="AG31" s="240"/>
      <c r="AH31" s="242"/>
      <c r="AI31" s="242"/>
      <c r="AJ31" s="245"/>
      <c r="AK31" s="240"/>
      <c r="AL31" s="249"/>
      <c r="AM31" s="240"/>
      <c r="AN31" s="249"/>
      <c r="AO31" s="252"/>
      <c r="AP31" s="249"/>
    </row>
    <row r="32" spans="1:42" ht="17.100000000000001" customHeight="1" outlineLevel="4" x14ac:dyDescent="0.25">
      <c r="A32" s="222"/>
      <c r="B32" s="219"/>
      <c r="C32" s="229"/>
      <c r="D32" s="232"/>
      <c r="E32" s="235"/>
      <c r="F32" s="16">
        <v>55</v>
      </c>
      <c r="G32" s="34"/>
      <c r="H32" s="39"/>
      <c r="I32" s="39"/>
      <c r="J32" s="39"/>
      <c r="K32" s="39"/>
      <c r="L32" s="39"/>
      <c r="M32" s="39"/>
      <c r="N32" s="39"/>
      <c r="O32" s="39"/>
      <c r="P32" s="35"/>
      <c r="Q32" s="18"/>
      <c r="R32" s="34"/>
      <c r="S32" s="39"/>
      <c r="T32" s="39"/>
      <c r="U32" s="39"/>
      <c r="V32" s="39"/>
      <c r="W32" s="39"/>
      <c r="X32" s="39"/>
      <c r="Y32" s="39"/>
      <c r="Z32" s="39"/>
      <c r="AA32" s="35"/>
      <c r="AB32" s="50" t="e">
        <f t="shared" si="1"/>
        <v>#DIV/0!</v>
      </c>
      <c r="AC32" s="51" t="e">
        <f t="shared" si="2"/>
        <v>#DIV/0!</v>
      </c>
      <c r="AD32" s="19"/>
      <c r="AE32" s="19"/>
      <c r="AF32" s="285" t="s">
        <v>128</v>
      </c>
      <c r="AG32" s="240" t="e" cm="1">
        <f t="array" ref="AG32">bdRateExtend($G30:$G33,G30:G33,$R30:$R33,R30:R33)</f>
        <v>#VALUE!</v>
      </c>
      <c r="AH32" s="242"/>
      <c r="AI32" s="242"/>
      <c r="AJ32" s="245"/>
      <c r="AK32" s="240" t="e" cm="1">
        <f t="array" ref="AK32">bdRateExtend($G30:$G33,K30:K33,$R30:$R33,V30:V33)</f>
        <v>#VALUE!</v>
      </c>
      <c r="AL32" s="249"/>
      <c r="AM32" s="240" t="e" cm="1">
        <f t="array" ref="AM32">bdRateExtend($G30:$G33,L30:L33,$R30:$R33,W30:W33)</f>
        <v>#VALUE!</v>
      </c>
      <c r="AN32" s="249"/>
      <c r="AO32" s="252" t="e" cm="1">
        <f t="array" ref="AO32">bdRateExtend($G30:$G33,M30:M33,$R30:$R33,X30:X33)</f>
        <v>#VALUE!</v>
      </c>
      <c r="AP32" s="249"/>
    </row>
    <row r="33" spans="1:42" ht="17.100000000000001" customHeight="1" outlineLevel="4" thickBot="1" x14ac:dyDescent="0.3">
      <c r="A33" s="222"/>
      <c r="B33" s="220"/>
      <c r="C33" s="230"/>
      <c r="D33" s="233"/>
      <c r="E33" s="236"/>
      <c r="F33" s="9">
        <v>63</v>
      </c>
      <c r="G33" s="36"/>
      <c r="H33" s="37"/>
      <c r="I33" s="37"/>
      <c r="J33" s="37"/>
      <c r="K33" s="37"/>
      <c r="L33" s="37"/>
      <c r="M33" s="37"/>
      <c r="N33" s="37"/>
      <c r="O33" s="37"/>
      <c r="P33" s="38"/>
      <c r="Q33" s="18"/>
      <c r="R33" s="36"/>
      <c r="S33" s="37"/>
      <c r="T33" s="37"/>
      <c r="U33" s="37"/>
      <c r="V33" s="37"/>
      <c r="W33" s="37"/>
      <c r="X33" s="37"/>
      <c r="Y33" s="37"/>
      <c r="Z33" s="37"/>
      <c r="AA33" s="38"/>
      <c r="AB33" s="52" t="e">
        <f t="shared" si="1"/>
        <v>#DIV/0!</v>
      </c>
      <c r="AC33" s="53" t="e">
        <f t="shared" si="2"/>
        <v>#DIV/0!</v>
      </c>
      <c r="AD33" s="19"/>
      <c r="AE33" s="19"/>
      <c r="AF33" s="286"/>
      <c r="AG33" s="247"/>
      <c r="AH33" s="243"/>
      <c r="AI33" s="243"/>
      <c r="AJ33" s="246"/>
      <c r="AK33" s="247"/>
      <c r="AL33" s="250"/>
      <c r="AM33" s="247"/>
      <c r="AN33" s="250"/>
      <c r="AO33" s="253"/>
      <c r="AP33" s="250"/>
    </row>
    <row r="34" spans="1:42" ht="17.100000000000001" customHeight="1" outlineLevel="4" x14ac:dyDescent="0.25">
      <c r="A34" s="222"/>
      <c r="B34" s="218" t="s">
        <v>2</v>
      </c>
      <c r="C34" s="228" t="s">
        <v>42</v>
      </c>
      <c r="D34" s="231">
        <v>59.94</v>
      </c>
      <c r="E34" s="234">
        <v>10</v>
      </c>
      <c r="F34" s="7">
        <v>23</v>
      </c>
      <c r="G34" s="31"/>
      <c r="H34" s="32"/>
      <c r="I34" s="32"/>
      <c r="J34" s="32"/>
      <c r="K34" s="32"/>
      <c r="L34" s="32"/>
      <c r="M34" s="32"/>
      <c r="N34" s="32"/>
      <c r="O34" s="32"/>
      <c r="P34" s="33"/>
      <c r="Q34" s="18"/>
      <c r="R34" s="31"/>
      <c r="S34" s="32"/>
      <c r="T34" s="32"/>
      <c r="U34" s="32"/>
      <c r="V34" s="32"/>
      <c r="W34" s="32"/>
      <c r="X34" s="32"/>
      <c r="Y34" s="32"/>
      <c r="Z34" s="32"/>
      <c r="AA34" s="33"/>
      <c r="AB34" s="48" t="e">
        <f t="shared" si="1"/>
        <v>#DIV/0!</v>
      </c>
      <c r="AC34" s="49" t="e">
        <f t="shared" si="2"/>
        <v>#DIV/0!</v>
      </c>
      <c r="AD34" s="19"/>
      <c r="AE34" s="19"/>
      <c r="AF34" s="284" t="s">
        <v>126</v>
      </c>
      <c r="AG34" s="239" t="e" cm="1">
        <f t="array" ref="AG34">bdRateExtend($G34:$G37,G34:G37,$R34:$R37,R34:R37)</f>
        <v>#VALUE!</v>
      </c>
      <c r="AH34" s="241" t="e" cm="1">
        <f t="array" ref="AH34">bdRateExtend($G34:$G39,H34:H39,$R34:$R39,S34:S39)</f>
        <v>#VALUE!</v>
      </c>
      <c r="AI34" s="241" t="e" cm="1">
        <f t="array" ref="AI34">bdRateExtend($G34:$G39,I34:I39,$R34:$R39,T34:T39)</f>
        <v>#VALUE!</v>
      </c>
      <c r="AJ34" s="244" t="e" cm="1">
        <f t="array" ref="AJ34">bdRateExtend($G34:$G39,J34:J39,$R34:$R39,U34:U39)</f>
        <v>#VALUE!</v>
      </c>
      <c r="AK34" s="239" t="e" cm="1">
        <f t="array" ref="AK34">bdRateExtend($G34:$G37,K34:K37,$R34:$R37,V34:V37)</f>
        <v>#VALUE!</v>
      </c>
      <c r="AL34" s="248" t="e" cm="1">
        <f t="array" ref="AL34">bdRateExtend($G34:$G39,K34:K39,$R34:$R39,V34:V39)</f>
        <v>#VALUE!</v>
      </c>
      <c r="AM34" s="239" t="e" cm="1">
        <f t="array" ref="AM34">bdRateExtend($G34:$G37,L34:L37,$R34:$R37,W34:W37)</f>
        <v>#VALUE!</v>
      </c>
      <c r="AN34" s="248" t="e" cm="1">
        <f t="array" ref="AN34">bdRateExtend($G34:$G39,L34:L39,$R34:$R39,W34:W39)</f>
        <v>#VALUE!</v>
      </c>
      <c r="AO34" s="254" t="e" cm="1">
        <f t="array" ref="AO34">bdRateExtend($G34:$G37,M34:M37,$R34:$R37,X34:X37)</f>
        <v>#VALUE!</v>
      </c>
      <c r="AP34" s="248" t="e" cm="1">
        <f t="array" ref="AP34">bdRateExtend($G34:$G39,M34:M39,$R34:$R39,X34:X39)</f>
        <v>#VALUE!</v>
      </c>
    </row>
    <row r="35" spans="1:42" ht="17.100000000000001" customHeight="1" outlineLevel="4" x14ac:dyDescent="0.25">
      <c r="A35" s="222"/>
      <c r="B35" s="219"/>
      <c r="C35" s="229"/>
      <c r="D35" s="232"/>
      <c r="E35" s="235"/>
      <c r="F35" s="16">
        <v>31</v>
      </c>
      <c r="G35" s="34"/>
      <c r="H35" s="39"/>
      <c r="I35" s="39"/>
      <c r="J35" s="39"/>
      <c r="K35" s="39"/>
      <c r="L35" s="39"/>
      <c r="M35" s="39"/>
      <c r="N35" s="39"/>
      <c r="O35" s="39"/>
      <c r="P35" s="35"/>
      <c r="Q35" s="18"/>
      <c r="R35" s="34"/>
      <c r="S35" s="39"/>
      <c r="T35" s="39"/>
      <c r="U35" s="39"/>
      <c r="V35" s="39"/>
      <c r="W35" s="39"/>
      <c r="X35" s="39"/>
      <c r="Y35" s="39"/>
      <c r="Z35" s="39"/>
      <c r="AA35" s="35"/>
      <c r="AB35" s="50" t="e">
        <f t="shared" si="1"/>
        <v>#DIV/0!</v>
      </c>
      <c r="AC35" s="51" t="e">
        <f t="shared" si="2"/>
        <v>#DIV/0!</v>
      </c>
      <c r="AD35" s="19"/>
      <c r="AE35" s="19"/>
      <c r="AF35" s="285"/>
      <c r="AG35" s="240"/>
      <c r="AH35" s="242"/>
      <c r="AI35" s="242"/>
      <c r="AJ35" s="245"/>
      <c r="AK35" s="240"/>
      <c r="AL35" s="249"/>
      <c r="AM35" s="240"/>
      <c r="AN35" s="249"/>
      <c r="AO35" s="252"/>
      <c r="AP35" s="249"/>
    </row>
    <row r="36" spans="1:42" ht="17.100000000000001" customHeight="1" outlineLevel="4" x14ac:dyDescent="0.25">
      <c r="A36" s="222"/>
      <c r="B36" s="219"/>
      <c r="C36" s="229"/>
      <c r="D36" s="232"/>
      <c r="E36" s="235"/>
      <c r="F36" s="16">
        <v>39</v>
      </c>
      <c r="G36" s="34"/>
      <c r="H36" s="39"/>
      <c r="I36" s="39"/>
      <c r="J36" s="39"/>
      <c r="K36" s="39"/>
      <c r="L36" s="39"/>
      <c r="M36" s="39"/>
      <c r="N36" s="39"/>
      <c r="O36" s="39"/>
      <c r="P36" s="35"/>
      <c r="Q36" s="18"/>
      <c r="R36" s="34"/>
      <c r="S36" s="39"/>
      <c r="T36" s="39"/>
      <c r="U36" s="39"/>
      <c r="V36" s="39"/>
      <c r="W36" s="39"/>
      <c r="X36" s="39"/>
      <c r="Y36" s="39"/>
      <c r="Z36" s="39"/>
      <c r="AA36" s="35"/>
      <c r="AB36" s="50" t="e">
        <f t="shared" si="1"/>
        <v>#DIV/0!</v>
      </c>
      <c r="AC36" s="51" t="e">
        <f t="shared" si="2"/>
        <v>#DIV/0!</v>
      </c>
      <c r="AD36" s="19"/>
      <c r="AE36" s="19"/>
      <c r="AF36" s="285" t="s">
        <v>127</v>
      </c>
      <c r="AG36" s="240" t="e" cm="1">
        <f t="array" ref="AG36">bdRateExtend($G35:$G38,G35:G38,$R35:$R38,R35:R38)</f>
        <v>#VALUE!</v>
      </c>
      <c r="AH36" s="242"/>
      <c r="AI36" s="242"/>
      <c r="AJ36" s="245"/>
      <c r="AK36" s="240" t="e" cm="1">
        <f t="array" ref="AK36">bdRateExtend($G35:$G38,K35:K38,$R35:$R38,V35:V38)</f>
        <v>#VALUE!</v>
      </c>
      <c r="AL36" s="249"/>
      <c r="AM36" s="240" t="e" cm="1">
        <f t="array" ref="AM36">bdRateExtend($G35:$G38,L35:L38,$R35:$R38,W35:W38)</f>
        <v>#VALUE!</v>
      </c>
      <c r="AN36" s="249"/>
      <c r="AO36" s="252" t="e" cm="1">
        <f t="array" ref="AO36">bdRateExtend($G35:$G38,M35:M38,$R35:$R38,X35:X38)</f>
        <v>#VALUE!</v>
      </c>
      <c r="AP36" s="249"/>
    </row>
    <row r="37" spans="1:42" ht="17.100000000000001" customHeight="1" outlineLevel="4" x14ac:dyDescent="0.25">
      <c r="A37" s="222"/>
      <c r="B37" s="219"/>
      <c r="C37" s="229"/>
      <c r="D37" s="232"/>
      <c r="E37" s="235"/>
      <c r="F37" s="16">
        <v>47</v>
      </c>
      <c r="G37" s="34"/>
      <c r="H37" s="39"/>
      <c r="I37" s="39"/>
      <c r="J37" s="39"/>
      <c r="K37" s="39"/>
      <c r="L37" s="39"/>
      <c r="M37" s="39"/>
      <c r="N37" s="39"/>
      <c r="O37" s="39"/>
      <c r="P37" s="35"/>
      <c r="Q37" s="18"/>
      <c r="R37" s="34"/>
      <c r="S37" s="39"/>
      <c r="T37" s="39"/>
      <c r="U37" s="39"/>
      <c r="V37" s="39"/>
      <c r="W37" s="39"/>
      <c r="X37" s="39"/>
      <c r="Y37" s="39"/>
      <c r="Z37" s="39"/>
      <c r="AA37" s="35"/>
      <c r="AB37" s="50" t="e">
        <f t="shared" si="1"/>
        <v>#DIV/0!</v>
      </c>
      <c r="AC37" s="51" t="e">
        <f t="shared" si="2"/>
        <v>#DIV/0!</v>
      </c>
      <c r="AD37" s="19"/>
      <c r="AE37" s="19"/>
      <c r="AF37" s="285"/>
      <c r="AG37" s="240"/>
      <c r="AH37" s="242"/>
      <c r="AI37" s="242"/>
      <c r="AJ37" s="245"/>
      <c r="AK37" s="240"/>
      <c r="AL37" s="249"/>
      <c r="AM37" s="240"/>
      <c r="AN37" s="249"/>
      <c r="AO37" s="252"/>
      <c r="AP37" s="249"/>
    </row>
    <row r="38" spans="1:42" ht="17.100000000000001" customHeight="1" outlineLevel="4" x14ac:dyDescent="0.25">
      <c r="A38" s="222"/>
      <c r="B38" s="219"/>
      <c r="C38" s="229"/>
      <c r="D38" s="232"/>
      <c r="E38" s="235"/>
      <c r="F38" s="16">
        <v>55</v>
      </c>
      <c r="G38" s="34"/>
      <c r="H38" s="39"/>
      <c r="I38" s="39"/>
      <c r="J38" s="39"/>
      <c r="K38" s="39"/>
      <c r="L38" s="39"/>
      <c r="M38" s="39"/>
      <c r="N38" s="39"/>
      <c r="O38" s="39"/>
      <c r="P38" s="35"/>
      <c r="Q38" s="18"/>
      <c r="R38" s="34"/>
      <c r="S38" s="39"/>
      <c r="T38" s="39"/>
      <c r="U38" s="39"/>
      <c r="V38" s="39"/>
      <c r="W38" s="39"/>
      <c r="X38" s="39"/>
      <c r="Y38" s="39"/>
      <c r="Z38" s="39"/>
      <c r="AA38" s="35"/>
      <c r="AB38" s="50" t="e">
        <f t="shared" si="1"/>
        <v>#DIV/0!</v>
      </c>
      <c r="AC38" s="51" t="e">
        <f t="shared" si="2"/>
        <v>#DIV/0!</v>
      </c>
      <c r="AD38" s="19"/>
      <c r="AE38" s="19"/>
      <c r="AF38" s="285" t="s">
        <v>128</v>
      </c>
      <c r="AG38" s="240" t="e" cm="1">
        <f t="array" ref="AG38">bdRateExtend($G36:$G39,G36:G39,$R36:$R39,R36:R39)</f>
        <v>#VALUE!</v>
      </c>
      <c r="AH38" s="242"/>
      <c r="AI38" s="242"/>
      <c r="AJ38" s="245"/>
      <c r="AK38" s="240" t="e" cm="1">
        <f t="array" ref="AK38">bdRateExtend($G36:$G39,K36:K39,$R36:$R39,V36:V39)</f>
        <v>#VALUE!</v>
      </c>
      <c r="AL38" s="249"/>
      <c r="AM38" s="240" t="e" cm="1">
        <f t="array" ref="AM38">bdRateExtend($G36:$G39,L36:L39,$R36:$R39,W36:W39)</f>
        <v>#VALUE!</v>
      </c>
      <c r="AN38" s="249"/>
      <c r="AO38" s="252" t="e" cm="1">
        <f t="array" ref="AO38">bdRateExtend($G36:$G39,M36:M39,$R36:$R39,X36:X39)</f>
        <v>#VALUE!</v>
      </c>
      <c r="AP38" s="249"/>
    </row>
    <row r="39" spans="1:42" ht="17.100000000000001" customHeight="1" outlineLevel="4" thickBot="1" x14ac:dyDescent="0.3">
      <c r="A39" s="222"/>
      <c r="B39" s="220"/>
      <c r="C39" s="230"/>
      <c r="D39" s="233"/>
      <c r="E39" s="236"/>
      <c r="F39" s="9">
        <v>63</v>
      </c>
      <c r="G39" s="36"/>
      <c r="H39" s="37"/>
      <c r="I39" s="37"/>
      <c r="J39" s="37"/>
      <c r="K39" s="37"/>
      <c r="L39" s="37"/>
      <c r="M39" s="37"/>
      <c r="N39" s="37"/>
      <c r="O39" s="37"/>
      <c r="P39" s="38"/>
      <c r="Q39" s="18"/>
      <c r="R39" s="36"/>
      <c r="S39" s="37"/>
      <c r="T39" s="37"/>
      <c r="U39" s="37"/>
      <c r="V39" s="37"/>
      <c r="W39" s="37"/>
      <c r="X39" s="37"/>
      <c r="Y39" s="37"/>
      <c r="Z39" s="37"/>
      <c r="AA39" s="38"/>
      <c r="AB39" s="52" t="e">
        <f t="shared" si="1"/>
        <v>#DIV/0!</v>
      </c>
      <c r="AC39" s="53" t="e">
        <f t="shared" si="2"/>
        <v>#DIV/0!</v>
      </c>
      <c r="AD39" s="19"/>
      <c r="AE39" s="19"/>
      <c r="AF39" s="286"/>
      <c r="AG39" s="247"/>
      <c r="AH39" s="243"/>
      <c r="AI39" s="243"/>
      <c r="AJ39" s="246"/>
      <c r="AK39" s="247"/>
      <c r="AL39" s="250"/>
      <c r="AM39" s="247"/>
      <c r="AN39" s="250"/>
      <c r="AO39" s="253"/>
      <c r="AP39" s="250"/>
    </row>
    <row r="40" spans="1:42" ht="17.100000000000001" customHeight="1" outlineLevel="4" x14ac:dyDescent="0.25">
      <c r="A40" s="222"/>
      <c r="B40" s="218" t="s">
        <v>2</v>
      </c>
      <c r="C40" s="228" t="s">
        <v>43</v>
      </c>
      <c r="D40" s="231">
        <v>50</v>
      </c>
      <c r="E40" s="234" t="s">
        <v>23</v>
      </c>
      <c r="F40" s="7">
        <v>23</v>
      </c>
      <c r="G40" s="31"/>
      <c r="H40" s="32"/>
      <c r="I40" s="32"/>
      <c r="J40" s="32"/>
      <c r="K40" s="32"/>
      <c r="L40" s="32"/>
      <c r="M40" s="32"/>
      <c r="N40" s="32"/>
      <c r="O40" s="32"/>
      <c r="P40" s="33"/>
      <c r="Q40" s="18"/>
      <c r="R40" s="31"/>
      <c r="S40" s="32"/>
      <c r="T40" s="32"/>
      <c r="U40" s="32"/>
      <c r="V40" s="32"/>
      <c r="W40" s="32"/>
      <c r="X40" s="32"/>
      <c r="Y40" s="32"/>
      <c r="Z40" s="32"/>
      <c r="AA40" s="33"/>
      <c r="AB40" s="48" t="e">
        <f t="shared" si="1"/>
        <v>#DIV/0!</v>
      </c>
      <c r="AC40" s="49" t="e">
        <f t="shared" si="2"/>
        <v>#DIV/0!</v>
      </c>
      <c r="AD40" s="19"/>
      <c r="AE40" s="19"/>
      <c r="AF40" s="284" t="s">
        <v>126</v>
      </c>
      <c r="AG40" s="239" t="e" cm="1">
        <f t="array" ref="AG40">bdRateExtend($G40:$G43,G40:G43,$R40:$R43,R40:R43)</f>
        <v>#VALUE!</v>
      </c>
      <c r="AH40" s="241" t="e" cm="1">
        <f t="array" ref="AH40">bdRateExtend($G40:$G45,H40:H45,$R40:$R45,S40:S45)</f>
        <v>#VALUE!</v>
      </c>
      <c r="AI40" s="241" t="e" cm="1">
        <f t="array" ref="AI40">bdRateExtend($G40:$G45,I40:I45,$R40:$R45,T40:T45)</f>
        <v>#VALUE!</v>
      </c>
      <c r="AJ40" s="244" t="e" cm="1">
        <f t="array" ref="AJ40">bdRateExtend($G40:$G45,J40:J45,$R40:$R45,U40:U45)</f>
        <v>#VALUE!</v>
      </c>
      <c r="AK40" s="239" t="e" cm="1">
        <f t="array" ref="AK40">bdRateExtend($G40:$G43,K40:K43,$R40:$R43,V40:V43)</f>
        <v>#VALUE!</v>
      </c>
      <c r="AL40" s="248" t="e" cm="1">
        <f t="array" ref="AL40">bdRateExtend($G40:$G45,K40:K45,$R40:$R45,V40:V45)</f>
        <v>#VALUE!</v>
      </c>
      <c r="AM40" s="239" t="e" cm="1">
        <f t="array" ref="AM40">bdRateExtend($G40:$G43,L40:L43,$R40:$R43,W40:W43)</f>
        <v>#VALUE!</v>
      </c>
      <c r="AN40" s="248" t="e" cm="1">
        <f t="array" ref="AN40">bdRateExtend($G40:$G45,L40:L45,$R40:$R45,W40:W45)</f>
        <v>#VALUE!</v>
      </c>
      <c r="AO40" s="254" t="e" cm="1">
        <f t="array" ref="AO40">bdRateExtend($G40:$G43,M40:M43,$R40:$R43,X40:X43)</f>
        <v>#VALUE!</v>
      </c>
      <c r="AP40" s="248" t="e" cm="1">
        <f t="array" ref="AP40">bdRateExtend($G40:$G45,M40:M45,$R40:$R45,X40:X45)</f>
        <v>#VALUE!</v>
      </c>
    </row>
    <row r="41" spans="1:42" ht="17.100000000000001" customHeight="1" outlineLevel="4" x14ac:dyDescent="0.25">
      <c r="A41" s="222"/>
      <c r="B41" s="219"/>
      <c r="C41" s="229"/>
      <c r="D41" s="232"/>
      <c r="E41" s="235"/>
      <c r="F41" s="16">
        <v>31</v>
      </c>
      <c r="G41" s="34"/>
      <c r="H41" s="39"/>
      <c r="I41" s="39"/>
      <c r="J41" s="39"/>
      <c r="K41" s="39"/>
      <c r="L41" s="39"/>
      <c r="M41" s="39"/>
      <c r="N41" s="39"/>
      <c r="O41" s="39"/>
      <c r="P41" s="35"/>
      <c r="Q41" s="18"/>
      <c r="R41" s="34"/>
      <c r="S41" s="39"/>
      <c r="T41" s="39"/>
      <c r="U41" s="39"/>
      <c r="V41" s="39"/>
      <c r="W41" s="39"/>
      <c r="X41" s="39"/>
      <c r="Y41" s="39"/>
      <c r="Z41" s="39"/>
      <c r="AA41" s="35"/>
      <c r="AB41" s="50" t="e">
        <f t="shared" si="1"/>
        <v>#DIV/0!</v>
      </c>
      <c r="AC41" s="51" t="e">
        <f t="shared" si="2"/>
        <v>#DIV/0!</v>
      </c>
      <c r="AD41" s="19"/>
      <c r="AE41" s="19"/>
      <c r="AF41" s="285"/>
      <c r="AG41" s="240"/>
      <c r="AH41" s="242"/>
      <c r="AI41" s="242"/>
      <c r="AJ41" s="245"/>
      <c r="AK41" s="240"/>
      <c r="AL41" s="249"/>
      <c r="AM41" s="240"/>
      <c r="AN41" s="249"/>
      <c r="AO41" s="252"/>
      <c r="AP41" s="249"/>
    </row>
    <row r="42" spans="1:42" ht="17.100000000000001" customHeight="1" outlineLevel="4" x14ac:dyDescent="0.25">
      <c r="A42" s="222"/>
      <c r="B42" s="219"/>
      <c r="C42" s="229"/>
      <c r="D42" s="232"/>
      <c r="E42" s="235"/>
      <c r="F42" s="16">
        <v>39</v>
      </c>
      <c r="G42" s="34"/>
      <c r="H42" s="39"/>
      <c r="I42" s="39"/>
      <c r="J42" s="39"/>
      <c r="K42" s="39"/>
      <c r="L42" s="39"/>
      <c r="M42" s="39"/>
      <c r="N42" s="39"/>
      <c r="O42" s="39"/>
      <c r="P42" s="35"/>
      <c r="Q42" s="18"/>
      <c r="R42" s="34"/>
      <c r="S42" s="39"/>
      <c r="T42" s="39"/>
      <c r="U42" s="39"/>
      <c r="V42" s="39"/>
      <c r="W42" s="39"/>
      <c r="X42" s="39"/>
      <c r="Y42" s="39"/>
      <c r="Z42" s="39"/>
      <c r="AA42" s="35"/>
      <c r="AB42" s="50" t="e">
        <f t="shared" si="1"/>
        <v>#DIV/0!</v>
      </c>
      <c r="AC42" s="51" t="e">
        <f t="shared" si="2"/>
        <v>#DIV/0!</v>
      </c>
      <c r="AD42" s="19"/>
      <c r="AE42" s="19"/>
      <c r="AF42" s="285" t="s">
        <v>127</v>
      </c>
      <c r="AG42" s="240" t="e" cm="1">
        <f t="array" ref="AG42">bdRateExtend($G41:$G44,G41:G44,$R41:$R44,R41:R44)</f>
        <v>#VALUE!</v>
      </c>
      <c r="AH42" s="242"/>
      <c r="AI42" s="242"/>
      <c r="AJ42" s="245"/>
      <c r="AK42" s="240" t="e" cm="1">
        <f t="array" ref="AK42">bdRateExtend($G41:$G44,K41:K44,$R41:$R44,V41:V44)</f>
        <v>#VALUE!</v>
      </c>
      <c r="AL42" s="249"/>
      <c r="AM42" s="240" t="e" cm="1">
        <f t="array" ref="AM42">bdRateExtend($G41:$G44,L41:L44,$R41:$R44,W41:W44)</f>
        <v>#VALUE!</v>
      </c>
      <c r="AN42" s="249"/>
      <c r="AO42" s="252" t="e" cm="1">
        <f t="array" ref="AO42">bdRateExtend($G41:$G44,M41:M44,$R41:$R44,X41:X44)</f>
        <v>#VALUE!</v>
      </c>
      <c r="AP42" s="249"/>
    </row>
    <row r="43" spans="1:42" ht="17.100000000000001" customHeight="1" outlineLevel="4" x14ac:dyDescent="0.25">
      <c r="A43" s="222"/>
      <c r="B43" s="219"/>
      <c r="C43" s="229"/>
      <c r="D43" s="232"/>
      <c r="E43" s="235"/>
      <c r="F43" s="16">
        <v>47</v>
      </c>
      <c r="G43" s="34"/>
      <c r="H43" s="39"/>
      <c r="I43" s="39"/>
      <c r="J43" s="39"/>
      <c r="K43" s="39"/>
      <c r="L43" s="39"/>
      <c r="M43" s="39"/>
      <c r="N43" s="39"/>
      <c r="O43" s="39"/>
      <c r="P43" s="35"/>
      <c r="Q43" s="18"/>
      <c r="R43" s="34"/>
      <c r="S43" s="39"/>
      <c r="T43" s="39"/>
      <c r="U43" s="39"/>
      <c r="V43" s="39"/>
      <c r="W43" s="39"/>
      <c r="X43" s="39"/>
      <c r="Y43" s="39"/>
      <c r="Z43" s="39"/>
      <c r="AA43" s="35"/>
      <c r="AB43" s="50" t="e">
        <f t="shared" si="1"/>
        <v>#DIV/0!</v>
      </c>
      <c r="AC43" s="51" t="e">
        <f t="shared" si="2"/>
        <v>#DIV/0!</v>
      </c>
      <c r="AD43" s="19"/>
      <c r="AE43" s="19"/>
      <c r="AF43" s="285"/>
      <c r="AG43" s="240"/>
      <c r="AH43" s="242"/>
      <c r="AI43" s="242"/>
      <c r="AJ43" s="245"/>
      <c r="AK43" s="240"/>
      <c r="AL43" s="249"/>
      <c r="AM43" s="240"/>
      <c r="AN43" s="249"/>
      <c r="AO43" s="252"/>
      <c r="AP43" s="249"/>
    </row>
    <row r="44" spans="1:42" ht="17.100000000000001" customHeight="1" outlineLevel="4" x14ac:dyDescent="0.25">
      <c r="A44" s="222"/>
      <c r="B44" s="219"/>
      <c r="C44" s="229"/>
      <c r="D44" s="232"/>
      <c r="E44" s="235"/>
      <c r="F44" s="16">
        <v>55</v>
      </c>
      <c r="G44" s="34"/>
      <c r="H44" s="39"/>
      <c r="I44" s="39"/>
      <c r="J44" s="39"/>
      <c r="K44" s="39"/>
      <c r="L44" s="39"/>
      <c r="M44" s="39"/>
      <c r="N44" s="39"/>
      <c r="O44" s="39"/>
      <c r="P44" s="35"/>
      <c r="Q44" s="18"/>
      <c r="R44" s="34"/>
      <c r="S44" s="39"/>
      <c r="T44" s="39"/>
      <c r="U44" s="39"/>
      <c r="V44" s="39"/>
      <c r="W44" s="39"/>
      <c r="X44" s="39"/>
      <c r="Y44" s="39"/>
      <c r="Z44" s="39"/>
      <c r="AA44" s="35"/>
      <c r="AB44" s="50" t="e">
        <f t="shared" si="1"/>
        <v>#DIV/0!</v>
      </c>
      <c r="AC44" s="51" t="e">
        <f t="shared" si="2"/>
        <v>#DIV/0!</v>
      </c>
      <c r="AD44" s="19"/>
      <c r="AE44" s="19"/>
      <c r="AF44" s="285" t="s">
        <v>128</v>
      </c>
      <c r="AG44" s="240" t="e" cm="1">
        <f t="array" ref="AG44">bdRateExtend($G42:$G45,G42:G45,$R42:$R45,R42:R45)</f>
        <v>#VALUE!</v>
      </c>
      <c r="AH44" s="242"/>
      <c r="AI44" s="242"/>
      <c r="AJ44" s="245"/>
      <c r="AK44" s="240" t="e" cm="1">
        <f t="array" ref="AK44">bdRateExtend($G42:$G45,K42:K45,$R42:$R45,V42:V45)</f>
        <v>#VALUE!</v>
      </c>
      <c r="AL44" s="249"/>
      <c r="AM44" s="240" t="e" cm="1">
        <f t="array" ref="AM44">bdRateExtend($G42:$G45,L42:L45,$R42:$R45,W42:W45)</f>
        <v>#VALUE!</v>
      </c>
      <c r="AN44" s="249"/>
      <c r="AO44" s="252" t="e" cm="1">
        <f t="array" ref="AO44">bdRateExtend($G42:$G45,M42:M45,$R42:$R45,X42:X45)</f>
        <v>#VALUE!</v>
      </c>
      <c r="AP44" s="249"/>
    </row>
    <row r="45" spans="1:42" ht="17.100000000000001" customHeight="1" outlineLevel="4" thickBot="1" x14ac:dyDescent="0.3">
      <c r="A45" s="222"/>
      <c r="B45" s="220"/>
      <c r="C45" s="230"/>
      <c r="D45" s="233"/>
      <c r="E45" s="236"/>
      <c r="F45" s="9">
        <v>63</v>
      </c>
      <c r="G45" s="36"/>
      <c r="H45" s="37"/>
      <c r="I45" s="37"/>
      <c r="J45" s="37"/>
      <c r="K45" s="37"/>
      <c r="L45" s="37"/>
      <c r="M45" s="37"/>
      <c r="N45" s="37"/>
      <c r="O45" s="37"/>
      <c r="P45" s="38"/>
      <c r="Q45" s="18"/>
      <c r="R45" s="36"/>
      <c r="S45" s="37"/>
      <c r="T45" s="37"/>
      <c r="U45" s="37"/>
      <c r="V45" s="37"/>
      <c r="W45" s="37"/>
      <c r="X45" s="37"/>
      <c r="Y45" s="37"/>
      <c r="Z45" s="37"/>
      <c r="AA45" s="38"/>
      <c r="AB45" s="52" t="e">
        <f t="shared" si="1"/>
        <v>#DIV/0!</v>
      </c>
      <c r="AC45" s="53" t="e">
        <f t="shared" si="2"/>
        <v>#DIV/0!</v>
      </c>
      <c r="AD45" s="19"/>
      <c r="AE45" s="19"/>
      <c r="AF45" s="286"/>
      <c r="AG45" s="247"/>
      <c r="AH45" s="243"/>
      <c r="AI45" s="243"/>
      <c r="AJ45" s="246"/>
      <c r="AK45" s="247"/>
      <c r="AL45" s="250"/>
      <c r="AM45" s="247"/>
      <c r="AN45" s="250"/>
      <c r="AO45" s="253"/>
      <c r="AP45" s="250"/>
    </row>
    <row r="46" spans="1:42" ht="17.100000000000001" customHeight="1" outlineLevel="4" x14ac:dyDescent="0.25">
      <c r="A46" s="222"/>
      <c r="B46" s="218" t="s">
        <v>2</v>
      </c>
      <c r="C46" s="228" t="s">
        <v>44</v>
      </c>
      <c r="D46" s="231">
        <v>25</v>
      </c>
      <c r="E46" s="234" t="s">
        <v>23</v>
      </c>
      <c r="F46" s="7">
        <v>23</v>
      </c>
      <c r="G46" s="31"/>
      <c r="H46" s="32"/>
      <c r="I46" s="32"/>
      <c r="J46" s="32"/>
      <c r="K46" s="32"/>
      <c r="L46" s="32"/>
      <c r="M46" s="32"/>
      <c r="N46" s="32"/>
      <c r="O46" s="32"/>
      <c r="P46" s="33"/>
      <c r="Q46" s="18"/>
      <c r="R46" s="31"/>
      <c r="S46" s="32"/>
      <c r="T46" s="32"/>
      <c r="U46" s="32"/>
      <c r="V46" s="32"/>
      <c r="W46" s="32"/>
      <c r="X46" s="32"/>
      <c r="Y46" s="32"/>
      <c r="Z46" s="32"/>
      <c r="AA46" s="33"/>
      <c r="AB46" s="48" t="e">
        <f t="shared" si="1"/>
        <v>#DIV/0!</v>
      </c>
      <c r="AC46" s="49" t="e">
        <f t="shared" si="2"/>
        <v>#DIV/0!</v>
      </c>
      <c r="AD46" s="19"/>
      <c r="AE46" s="19"/>
      <c r="AF46" s="284" t="s">
        <v>126</v>
      </c>
      <c r="AG46" s="239" t="e" cm="1">
        <f t="array" ref="AG46">bdRateExtend($G46:$G49,G46:G49,$R46:$R49,R46:R49)</f>
        <v>#VALUE!</v>
      </c>
      <c r="AH46" s="241" t="e" cm="1">
        <f t="array" ref="AH46">bdRateExtend($G46:$G51,H46:H51,$R46:$R51,S46:S51)</f>
        <v>#VALUE!</v>
      </c>
      <c r="AI46" s="241" t="e" cm="1">
        <f t="array" ref="AI46">bdRateExtend($G46:$G51,I46:I51,$R46:$R51,T46:T51)</f>
        <v>#VALUE!</v>
      </c>
      <c r="AJ46" s="244" t="e" cm="1">
        <f t="array" ref="AJ46">bdRateExtend($G46:$G51,J46:J51,$R46:$R51,U46:U51)</f>
        <v>#VALUE!</v>
      </c>
      <c r="AK46" s="239" t="e" cm="1">
        <f t="array" ref="AK46">bdRateExtend($G46:$G49,K46:K49,$R46:$R49,V46:V49)</f>
        <v>#VALUE!</v>
      </c>
      <c r="AL46" s="248" t="e" cm="1">
        <f t="array" ref="AL46">bdRateExtend($G46:$G51,K46:K51,$R46:$R51,V46:V51)</f>
        <v>#VALUE!</v>
      </c>
      <c r="AM46" s="239" t="e" cm="1">
        <f t="array" ref="AM46">bdRateExtend($G46:$G49,L46:L49,$R46:$R49,W46:W49)</f>
        <v>#VALUE!</v>
      </c>
      <c r="AN46" s="248" t="e" cm="1">
        <f t="array" ref="AN46">bdRateExtend($G46:$G51,L46:L51,$R46:$R51,W46:W51)</f>
        <v>#VALUE!</v>
      </c>
      <c r="AO46" s="254" t="e" cm="1">
        <f t="array" ref="AO46">bdRateExtend($G46:$G49,M46:M49,$R46:$R49,X46:X49)</f>
        <v>#VALUE!</v>
      </c>
      <c r="AP46" s="248" t="e" cm="1">
        <f t="array" ref="AP46">bdRateExtend($G46:$G51,M46:M51,$R46:$R51,X46:X51)</f>
        <v>#VALUE!</v>
      </c>
    </row>
    <row r="47" spans="1:42" ht="17.100000000000001" customHeight="1" outlineLevel="4" x14ac:dyDescent="0.25">
      <c r="A47" s="222"/>
      <c r="B47" s="219"/>
      <c r="C47" s="229"/>
      <c r="D47" s="232"/>
      <c r="E47" s="235"/>
      <c r="F47" s="16">
        <v>31</v>
      </c>
      <c r="G47" s="34"/>
      <c r="H47" s="39"/>
      <c r="I47" s="39"/>
      <c r="J47" s="39"/>
      <c r="K47" s="39"/>
      <c r="L47" s="39"/>
      <c r="M47" s="39"/>
      <c r="N47" s="39"/>
      <c r="O47" s="39"/>
      <c r="P47" s="35"/>
      <c r="Q47" s="18"/>
      <c r="R47" s="34"/>
      <c r="S47" s="39"/>
      <c r="T47" s="39"/>
      <c r="U47" s="39"/>
      <c r="V47" s="39"/>
      <c r="W47" s="39"/>
      <c r="X47" s="39"/>
      <c r="Y47" s="39"/>
      <c r="Z47" s="39"/>
      <c r="AA47" s="35"/>
      <c r="AB47" s="50" t="e">
        <f t="shared" si="1"/>
        <v>#DIV/0!</v>
      </c>
      <c r="AC47" s="51" t="e">
        <f t="shared" si="2"/>
        <v>#DIV/0!</v>
      </c>
      <c r="AD47" s="19"/>
      <c r="AE47" s="19"/>
      <c r="AF47" s="285"/>
      <c r="AG47" s="240"/>
      <c r="AH47" s="242"/>
      <c r="AI47" s="242"/>
      <c r="AJ47" s="245"/>
      <c r="AK47" s="240"/>
      <c r="AL47" s="249"/>
      <c r="AM47" s="240"/>
      <c r="AN47" s="249"/>
      <c r="AO47" s="252"/>
      <c r="AP47" s="249"/>
    </row>
    <row r="48" spans="1:42" ht="17.100000000000001" customHeight="1" outlineLevel="4" x14ac:dyDescent="0.25">
      <c r="A48" s="222"/>
      <c r="B48" s="219"/>
      <c r="C48" s="229"/>
      <c r="D48" s="232"/>
      <c r="E48" s="235"/>
      <c r="F48" s="16">
        <v>39</v>
      </c>
      <c r="G48" s="34"/>
      <c r="H48" s="39"/>
      <c r="I48" s="39"/>
      <c r="J48" s="39"/>
      <c r="K48" s="39"/>
      <c r="L48" s="39"/>
      <c r="M48" s="39"/>
      <c r="N48" s="39"/>
      <c r="O48" s="39"/>
      <c r="P48" s="35"/>
      <c r="Q48" s="18"/>
      <c r="R48" s="34"/>
      <c r="S48" s="39"/>
      <c r="T48" s="39"/>
      <c r="U48" s="39"/>
      <c r="V48" s="39"/>
      <c r="W48" s="39"/>
      <c r="X48" s="39"/>
      <c r="Y48" s="39"/>
      <c r="Z48" s="39"/>
      <c r="AA48" s="35"/>
      <c r="AB48" s="50" t="e">
        <f t="shared" si="1"/>
        <v>#DIV/0!</v>
      </c>
      <c r="AC48" s="51" t="e">
        <f t="shared" si="2"/>
        <v>#DIV/0!</v>
      </c>
      <c r="AD48" s="19"/>
      <c r="AE48" s="19"/>
      <c r="AF48" s="285" t="s">
        <v>127</v>
      </c>
      <c r="AG48" s="240" t="e" cm="1">
        <f t="array" ref="AG48">bdRateExtend($G47:$G50,G47:G50,$R47:$R50,R47:R50)</f>
        <v>#VALUE!</v>
      </c>
      <c r="AH48" s="242"/>
      <c r="AI48" s="242"/>
      <c r="AJ48" s="245"/>
      <c r="AK48" s="240" t="e" cm="1">
        <f t="array" ref="AK48">bdRateExtend($G47:$G50,K47:K50,$R47:$R50,V47:V50)</f>
        <v>#VALUE!</v>
      </c>
      <c r="AL48" s="249"/>
      <c r="AM48" s="240" t="e" cm="1">
        <f t="array" ref="AM48">bdRateExtend($G47:$G50,L47:L50,$R47:$R50,W47:W50)</f>
        <v>#VALUE!</v>
      </c>
      <c r="AN48" s="249"/>
      <c r="AO48" s="252" t="e" cm="1">
        <f t="array" ref="AO48">bdRateExtend($G47:$G50,M47:M50,$R47:$R50,X47:X50)</f>
        <v>#VALUE!</v>
      </c>
      <c r="AP48" s="249"/>
    </row>
    <row r="49" spans="1:42" ht="17.100000000000001" customHeight="1" outlineLevel="4" x14ac:dyDescent="0.25">
      <c r="A49" s="222"/>
      <c r="B49" s="219"/>
      <c r="C49" s="229"/>
      <c r="D49" s="232"/>
      <c r="E49" s="235"/>
      <c r="F49" s="16">
        <v>47</v>
      </c>
      <c r="G49" s="34"/>
      <c r="H49" s="39"/>
      <c r="I49" s="39"/>
      <c r="J49" s="39"/>
      <c r="K49" s="39"/>
      <c r="L49" s="39"/>
      <c r="M49" s="39"/>
      <c r="N49" s="39"/>
      <c r="O49" s="39"/>
      <c r="P49" s="35"/>
      <c r="Q49" s="18"/>
      <c r="R49" s="34"/>
      <c r="S49" s="39"/>
      <c r="T49" s="39"/>
      <c r="U49" s="39"/>
      <c r="V49" s="39"/>
      <c r="W49" s="39"/>
      <c r="X49" s="39"/>
      <c r="Y49" s="39"/>
      <c r="Z49" s="39"/>
      <c r="AA49" s="35"/>
      <c r="AB49" s="50" t="e">
        <f t="shared" si="1"/>
        <v>#DIV/0!</v>
      </c>
      <c r="AC49" s="51" t="e">
        <f t="shared" si="2"/>
        <v>#DIV/0!</v>
      </c>
      <c r="AD49" s="19"/>
      <c r="AE49" s="19"/>
      <c r="AF49" s="285"/>
      <c r="AG49" s="240"/>
      <c r="AH49" s="242"/>
      <c r="AI49" s="242"/>
      <c r="AJ49" s="245"/>
      <c r="AK49" s="240"/>
      <c r="AL49" s="249"/>
      <c r="AM49" s="240"/>
      <c r="AN49" s="249"/>
      <c r="AO49" s="252"/>
      <c r="AP49" s="249"/>
    </row>
    <row r="50" spans="1:42" ht="17.100000000000001" customHeight="1" outlineLevel="4" x14ac:dyDescent="0.25">
      <c r="A50" s="222"/>
      <c r="B50" s="219"/>
      <c r="C50" s="229"/>
      <c r="D50" s="232"/>
      <c r="E50" s="235"/>
      <c r="F50" s="16">
        <v>55</v>
      </c>
      <c r="G50" s="34"/>
      <c r="H50" s="39"/>
      <c r="I50" s="39"/>
      <c r="J50" s="39"/>
      <c r="K50" s="39"/>
      <c r="L50" s="39"/>
      <c r="M50" s="39"/>
      <c r="N50" s="39"/>
      <c r="O50" s="39"/>
      <c r="P50" s="35"/>
      <c r="Q50" s="18"/>
      <c r="R50" s="34"/>
      <c r="S50" s="39"/>
      <c r="T50" s="39"/>
      <c r="U50" s="39"/>
      <c r="V50" s="39"/>
      <c r="W50" s="39"/>
      <c r="X50" s="39"/>
      <c r="Y50" s="39"/>
      <c r="Z50" s="39"/>
      <c r="AA50" s="35"/>
      <c r="AB50" s="50" t="e">
        <f t="shared" si="1"/>
        <v>#DIV/0!</v>
      </c>
      <c r="AC50" s="51" t="e">
        <f t="shared" si="2"/>
        <v>#DIV/0!</v>
      </c>
      <c r="AD50" s="19"/>
      <c r="AE50" s="19"/>
      <c r="AF50" s="285" t="s">
        <v>128</v>
      </c>
      <c r="AG50" s="240" t="e" cm="1">
        <f t="array" ref="AG50">bdRateExtend($G48:$G51,G48:G51,$R48:$R51,R48:R51)</f>
        <v>#VALUE!</v>
      </c>
      <c r="AH50" s="242"/>
      <c r="AI50" s="242"/>
      <c r="AJ50" s="245"/>
      <c r="AK50" s="240" t="e" cm="1">
        <f t="array" ref="AK50">bdRateExtend($G48:$G51,K48:K51,$R48:$R51,V48:V51)</f>
        <v>#VALUE!</v>
      </c>
      <c r="AL50" s="249"/>
      <c r="AM50" s="240" t="e" cm="1">
        <f t="array" ref="AM50">bdRateExtend($G48:$G51,L48:L51,$R48:$R51,W48:W51)</f>
        <v>#VALUE!</v>
      </c>
      <c r="AN50" s="249"/>
      <c r="AO50" s="252" t="e" cm="1">
        <f t="array" ref="AO50">bdRateExtend($G48:$G51,M48:M51,$R48:$R51,X48:X51)</f>
        <v>#VALUE!</v>
      </c>
      <c r="AP50" s="249"/>
    </row>
    <row r="51" spans="1:42" ht="17.100000000000001" customHeight="1" outlineLevel="4" thickBot="1" x14ac:dyDescent="0.3">
      <c r="A51" s="222"/>
      <c r="B51" s="220"/>
      <c r="C51" s="230"/>
      <c r="D51" s="233"/>
      <c r="E51" s="236"/>
      <c r="F51" s="9">
        <v>63</v>
      </c>
      <c r="G51" s="36"/>
      <c r="H51" s="37"/>
      <c r="I51" s="37"/>
      <c r="J51" s="37"/>
      <c r="K51" s="37"/>
      <c r="L51" s="37"/>
      <c r="M51" s="37"/>
      <c r="N51" s="37"/>
      <c r="O51" s="37"/>
      <c r="P51" s="38"/>
      <c r="Q51" s="18"/>
      <c r="R51" s="36"/>
      <c r="S51" s="37"/>
      <c r="T51" s="37"/>
      <c r="U51" s="37"/>
      <c r="V51" s="37"/>
      <c r="W51" s="37"/>
      <c r="X51" s="37"/>
      <c r="Y51" s="37"/>
      <c r="Z51" s="37"/>
      <c r="AA51" s="38"/>
      <c r="AB51" s="52" t="e">
        <f t="shared" si="1"/>
        <v>#DIV/0!</v>
      </c>
      <c r="AC51" s="53" t="e">
        <f t="shared" si="2"/>
        <v>#DIV/0!</v>
      </c>
      <c r="AD51" s="19"/>
      <c r="AE51" s="19"/>
      <c r="AF51" s="286"/>
      <c r="AG51" s="247"/>
      <c r="AH51" s="243"/>
      <c r="AI51" s="243"/>
      <c r="AJ51" s="246"/>
      <c r="AK51" s="247"/>
      <c r="AL51" s="250"/>
      <c r="AM51" s="247"/>
      <c r="AN51" s="250"/>
      <c r="AO51" s="253"/>
      <c r="AP51" s="250"/>
    </row>
    <row r="52" spans="1:42" ht="17.100000000000001" customHeight="1" outlineLevel="4" x14ac:dyDescent="0.25">
      <c r="A52" s="222"/>
      <c r="B52" s="218" t="s">
        <v>2</v>
      </c>
      <c r="C52" s="228" t="s">
        <v>45</v>
      </c>
      <c r="D52" s="231">
        <v>59.94</v>
      </c>
      <c r="E52" s="234">
        <v>10</v>
      </c>
      <c r="F52" s="7">
        <v>23</v>
      </c>
      <c r="G52" s="31"/>
      <c r="H52" s="32"/>
      <c r="I52" s="32"/>
      <c r="J52" s="32"/>
      <c r="K52" s="32"/>
      <c r="L52" s="32"/>
      <c r="M52" s="32"/>
      <c r="N52" s="32"/>
      <c r="O52" s="32"/>
      <c r="P52" s="33"/>
      <c r="Q52" s="18"/>
      <c r="R52" s="31"/>
      <c r="S52" s="32"/>
      <c r="T52" s="32"/>
      <c r="U52" s="32"/>
      <c r="V52" s="32"/>
      <c r="W52" s="32"/>
      <c r="X52" s="32"/>
      <c r="Y52" s="32"/>
      <c r="Z52" s="32"/>
      <c r="AA52" s="33"/>
      <c r="AB52" s="48" t="e">
        <f t="shared" si="1"/>
        <v>#DIV/0!</v>
      </c>
      <c r="AC52" s="49" t="e">
        <f t="shared" si="2"/>
        <v>#DIV/0!</v>
      </c>
      <c r="AD52" s="19"/>
      <c r="AE52" s="19"/>
      <c r="AF52" s="284" t="s">
        <v>126</v>
      </c>
      <c r="AG52" s="239" t="e" cm="1">
        <f t="array" ref="AG52">bdRateExtend($G52:$G55,G52:G55,$R52:$R55,R52:R55)</f>
        <v>#VALUE!</v>
      </c>
      <c r="AH52" s="241" t="e" cm="1">
        <f t="array" ref="AH52">bdRateExtend($G52:$G57,H52:H57,$R52:$R57,S52:S57)</f>
        <v>#VALUE!</v>
      </c>
      <c r="AI52" s="241" t="e" cm="1">
        <f t="array" ref="AI52">bdRateExtend($G52:$G57,I52:I57,$R52:$R57,T52:T57)</f>
        <v>#VALUE!</v>
      </c>
      <c r="AJ52" s="244" t="e" cm="1">
        <f t="array" ref="AJ52">bdRateExtend($G52:$G57,J52:J57,$R52:$R57,U52:U57)</f>
        <v>#VALUE!</v>
      </c>
      <c r="AK52" s="239" t="e" cm="1">
        <f t="array" ref="AK52">bdRateExtend($G52:$G55,K52:K55,$R52:$R55,V52:V55)</f>
        <v>#VALUE!</v>
      </c>
      <c r="AL52" s="248" t="e" cm="1">
        <f t="array" ref="AL52">bdRateExtend($G52:$G57,K52:K57,$R52:$R57,V52:V57)</f>
        <v>#VALUE!</v>
      </c>
      <c r="AM52" s="239" t="e" cm="1">
        <f t="array" ref="AM52">bdRateExtend($G52:$G55,L52:L55,$R52:$R55,W52:W55)</f>
        <v>#VALUE!</v>
      </c>
      <c r="AN52" s="248" t="e" cm="1">
        <f t="array" ref="AN52">bdRateExtend($G52:$G57,L52:L57,$R52:$R57,W52:W57)</f>
        <v>#VALUE!</v>
      </c>
      <c r="AO52" s="254" t="e" cm="1">
        <f t="array" ref="AO52">bdRateExtend($G52:$G55,M52:M55,$R52:$R55,X52:X55)</f>
        <v>#VALUE!</v>
      </c>
      <c r="AP52" s="248" t="e" cm="1">
        <f t="array" ref="AP52">bdRateExtend($G52:$G57,M52:M57,$R52:$R57,X52:X57)</f>
        <v>#VALUE!</v>
      </c>
    </row>
    <row r="53" spans="1:42" ht="17.100000000000001" customHeight="1" outlineLevel="4" x14ac:dyDescent="0.25">
      <c r="A53" s="222"/>
      <c r="B53" s="219"/>
      <c r="C53" s="229"/>
      <c r="D53" s="232"/>
      <c r="E53" s="235"/>
      <c r="F53" s="16">
        <v>31</v>
      </c>
      <c r="G53" s="34"/>
      <c r="H53" s="39"/>
      <c r="I53" s="39"/>
      <c r="J53" s="39"/>
      <c r="K53" s="39"/>
      <c r="L53" s="39"/>
      <c r="M53" s="39"/>
      <c r="N53" s="39"/>
      <c r="O53" s="39"/>
      <c r="P53" s="35"/>
      <c r="Q53" s="18"/>
      <c r="R53" s="34"/>
      <c r="S53" s="39"/>
      <c r="T53" s="39"/>
      <c r="U53" s="39"/>
      <c r="V53" s="39"/>
      <c r="W53" s="39"/>
      <c r="X53" s="39"/>
      <c r="Y53" s="39"/>
      <c r="Z53" s="39"/>
      <c r="AA53" s="35"/>
      <c r="AB53" s="50" t="e">
        <f t="shared" si="1"/>
        <v>#DIV/0!</v>
      </c>
      <c r="AC53" s="51" t="e">
        <f t="shared" si="2"/>
        <v>#DIV/0!</v>
      </c>
      <c r="AD53" s="19"/>
      <c r="AE53" s="19"/>
      <c r="AF53" s="285"/>
      <c r="AG53" s="240"/>
      <c r="AH53" s="242"/>
      <c r="AI53" s="242"/>
      <c r="AJ53" s="245"/>
      <c r="AK53" s="240"/>
      <c r="AL53" s="249"/>
      <c r="AM53" s="240"/>
      <c r="AN53" s="249"/>
      <c r="AO53" s="252"/>
      <c r="AP53" s="249"/>
    </row>
    <row r="54" spans="1:42" ht="17.100000000000001" customHeight="1" outlineLevel="4" x14ac:dyDescent="0.25">
      <c r="A54" s="222"/>
      <c r="B54" s="219"/>
      <c r="C54" s="229"/>
      <c r="D54" s="232"/>
      <c r="E54" s="235"/>
      <c r="F54" s="16">
        <v>39</v>
      </c>
      <c r="G54" s="34"/>
      <c r="H54" s="39"/>
      <c r="I54" s="39"/>
      <c r="J54" s="39"/>
      <c r="K54" s="39"/>
      <c r="L54" s="39"/>
      <c r="M54" s="39"/>
      <c r="N54" s="39"/>
      <c r="O54" s="39"/>
      <c r="P54" s="35"/>
      <c r="Q54" s="18"/>
      <c r="R54" s="34"/>
      <c r="S54" s="39"/>
      <c r="T54" s="39"/>
      <c r="U54" s="39"/>
      <c r="V54" s="39"/>
      <c r="W54" s="39"/>
      <c r="X54" s="39"/>
      <c r="Y54" s="39"/>
      <c r="Z54" s="39"/>
      <c r="AA54" s="35"/>
      <c r="AB54" s="50" t="e">
        <f t="shared" si="1"/>
        <v>#DIV/0!</v>
      </c>
      <c r="AC54" s="51" t="e">
        <f t="shared" si="2"/>
        <v>#DIV/0!</v>
      </c>
      <c r="AD54" s="19"/>
      <c r="AE54" s="19"/>
      <c r="AF54" s="285" t="s">
        <v>127</v>
      </c>
      <c r="AG54" s="240" t="e" cm="1">
        <f t="array" ref="AG54">bdRateExtend($G53:$G56,G53:G56,$R53:$R56,R53:R56)</f>
        <v>#VALUE!</v>
      </c>
      <c r="AH54" s="242"/>
      <c r="AI54" s="242"/>
      <c r="AJ54" s="245"/>
      <c r="AK54" s="240" t="e" cm="1">
        <f t="array" ref="AK54">bdRateExtend($G53:$G56,K53:K56,$R53:$R56,V53:V56)</f>
        <v>#VALUE!</v>
      </c>
      <c r="AL54" s="249"/>
      <c r="AM54" s="240" t="e" cm="1">
        <f t="array" ref="AM54">bdRateExtend($G53:$G56,L53:L56,$R53:$R56,W53:W56)</f>
        <v>#VALUE!</v>
      </c>
      <c r="AN54" s="249"/>
      <c r="AO54" s="252" t="e" cm="1">
        <f t="array" ref="AO54">bdRateExtend($G53:$G56,M53:M56,$R53:$R56,X53:X56)</f>
        <v>#VALUE!</v>
      </c>
      <c r="AP54" s="249"/>
    </row>
    <row r="55" spans="1:42" ht="17.100000000000001" customHeight="1" outlineLevel="4" x14ac:dyDescent="0.25">
      <c r="A55" s="222"/>
      <c r="B55" s="219"/>
      <c r="C55" s="229"/>
      <c r="D55" s="232"/>
      <c r="E55" s="235"/>
      <c r="F55" s="16">
        <v>47</v>
      </c>
      <c r="G55" s="34"/>
      <c r="H55" s="39"/>
      <c r="I55" s="39"/>
      <c r="J55" s="39"/>
      <c r="K55" s="39"/>
      <c r="L55" s="39"/>
      <c r="M55" s="39"/>
      <c r="N55" s="39"/>
      <c r="O55" s="39"/>
      <c r="P55" s="35"/>
      <c r="Q55" s="18"/>
      <c r="R55" s="34"/>
      <c r="S55" s="39"/>
      <c r="T55" s="39"/>
      <c r="U55" s="39"/>
      <c r="V55" s="39"/>
      <c r="W55" s="39"/>
      <c r="X55" s="39"/>
      <c r="Y55" s="39"/>
      <c r="Z55" s="39"/>
      <c r="AA55" s="35"/>
      <c r="AB55" s="50" t="e">
        <f t="shared" si="1"/>
        <v>#DIV/0!</v>
      </c>
      <c r="AC55" s="51" t="e">
        <f t="shared" si="2"/>
        <v>#DIV/0!</v>
      </c>
      <c r="AD55" s="19"/>
      <c r="AE55" s="19"/>
      <c r="AF55" s="285"/>
      <c r="AG55" s="240"/>
      <c r="AH55" s="242"/>
      <c r="AI55" s="242"/>
      <c r="AJ55" s="245"/>
      <c r="AK55" s="240"/>
      <c r="AL55" s="249"/>
      <c r="AM55" s="240"/>
      <c r="AN55" s="249"/>
      <c r="AO55" s="252"/>
      <c r="AP55" s="249"/>
    </row>
    <row r="56" spans="1:42" ht="17.100000000000001" customHeight="1" outlineLevel="4" x14ac:dyDescent="0.25">
      <c r="A56" s="222"/>
      <c r="B56" s="219"/>
      <c r="C56" s="229"/>
      <c r="D56" s="232"/>
      <c r="E56" s="235"/>
      <c r="F56" s="16">
        <v>55</v>
      </c>
      <c r="G56" s="34"/>
      <c r="H56" s="39"/>
      <c r="I56" s="39"/>
      <c r="J56" s="39"/>
      <c r="K56" s="39"/>
      <c r="L56" s="39"/>
      <c r="M56" s="39"/>
      <c r="N56" s="39"/>
      <c r="O56" s="39"/>
      <c r="P56" s="35"/>
      <c r="Q56" s="18"/>
      <c r="R56" s="34"/>
      <c r="S56" s="39"/>
      <c r="T56" s="39"/>
      <c r="U56" s="39"/>
      <c r="V56" s="39"/>
      <c r="W56" s="39"/>
      <c r="X56" s="39"/>
      <c r="Y56" s="39"/>
      <c r="Z56" s="39"/>
      <c r="AA56" s="35"/>
      <c r="AB56" s="50" t="e">
        <f t="shared" si="1"/>
        <v>#DIV/0!</v>
      </c>
      <c r="AC56" s="51" t="e">
        <f t="shared" si="2"/>
        <v>#DIV/0!</v>
      </c>
      <c r="AD56" s="19"/>
      <c r="AE56" s="19"/>
      <c r="AF56" s="285" t="s">
        <v>128</v>
      </c>
      <c r="AG56" s="240" t="e" cm="1">
        <f t="array" ref="AG56">bdRateExtend($G54:$G57,G54:G57,$R54:$R57,R54:R57)</f>
        <v>#VALUE!</v>
      </c>
      <c r="AH56" s="242"/>
      <c r="AI56" s="242"/>
      <c r="AJ56" s="245"/>
      <c r="AK56" s="240" t="e" cm="1">
        <f t="array" ref="AK56">bdRateExtend($G54:$G57,K54:K57,$R54:$R57,V54:V57)</f>
        <v>#VALUE!</v>
      </c>
      <c r="AL56" s="249"/>
      <c r="AM56" s="240" t="e" cm="1">
        <f t="array" ref="AM56">bdRateExtend($G54:$G57,L54:L57,$R54:$R57,W54:W57)</f>
        <v>#VALUE!</v>
      </c>
      <c r="AN56" s="249"/>
      <c r="AO56" s="252" t="e" cm="1">
        <f t="array" ref="AO56">bdRateExtend($G54:$G57,M54:M57,$R54:$R57,X54:X57)</f>
        <v>#VALUE!</v>
      </c>
      <c r="AP56" s="249"/>
    </row>
    <row r="57" spans="1:42" ht="17.100000000000001" customHeight="1" outlineLevel="4" thickBot="1" x14ac:dyDescent="0.3">
      <c r="A57" s="222"/>
      <c r="B57" s="220"/>
      <c r="C57" s="230"/>
      <c r="D57" s="233"/>
      <c r="E57" s="236"/>
      <c r="F57" s="9">
        <v>63</v>
      </c>
      <c r="G57" s="36"/>
      <c r="H57" s="37"/>
      <c r="I57" s="37"/>
      <c r="J57" s="37"/>
      <c r="K57" s="37"/>
      <c r="L57" s="37"/>
      <c r="M57" s="37"/>
      <c r="N57" s="37"/>
      <c r="O57" s="37"/>
      <c r="P57" s="38"/>
      <c r="Q57" s="18"/>
      <c r="R57" s="36"/>
      <c r="S57" s="37"/>
      <c r="T57" s="37"/>
      <c r="U57" s="37"/>
      <c r="V57" s="37"/>
      <c r="W57" s="37"/>
      <c r="X57" s="37"/>
      <c r="Y57" s="37"/>
      <c r="Z57" s="37"/>
      <c r="AA57" s="38"/>
      <c r="AB57" s="52" t="e">
        <f t="shared" si="1"/>
        <v>#DIV/0!</v>
      </c>
      <c r="AC57" s="53" t="e">
        <f t="shared" si="2"/>
        <v>#DIV/0!</v>
      </c>
      <c r="AD57" s="19"/>
      <c r="AE57" s="19"/>
      <c r="AF57" s="286"/>
      <c r="AG57" s="247"/>
      <c r="AH57" s="243"/>
      <c r="AI57" s="243"/>
      <c r="AJ57" s="246"/>
      <c r="AK57" s="247"/>
      <c r="AL57" s="250"/>
      <c r="AM57" s="247"/>
      <c r="AN57" s="250"/>
      <c r="AO57" s="253"/>
      <c r="AP57" s="250"/>
    </row>
    <row r="58" spans="1:42" ht="17.100000000000001" customHeight="1" outlineLevel="4" x14ac:dyDescent="0.25">
      <c r="A58" s="222"/>
      <c r="B58" s="218" t="s">
        <v>2</v>
      </c>
      <c r="C58" s="228" t="s">
        <v>46</v>
      </c>
      <c r="D58" s="231">
        <v>25</v>
      </c>
      <c r="E58" s="234" t="s">
        <v>23</v>
      </c>
      <c r="F58" s="7">
        <v>23</v>
      </c>
      <c r="G58" s="31"/>
      <c r="H58" s="32"/>
      <c r="I58" s="32"/>
      <c r="J58" s="32"/>
      <c r="K58" s="32"/>
      <c r="L58" s="32"/>
      <c r="M58" s="32"/>
      <c r="N58" s="32"/>
      <c r="O58" s="32"/>
      <c r="P58" s="33"/>
      <c r="Q58" s="18"/>
      <c r="R58" s="31"/>
      <c r="S58" s="32"/>
      <c r="T58" s="32"/>
      <c r="U58" s="32"/>
      <c r="V58" s="32"/>
      <c r="W58" s="32"/>
      <c r="X58" s="32"/>
      <c r="Y58" s="32"/>
      <c r="Z58" s="32"/>
      <c r="AA58" s="33"/>
      <c r="AB58" s="48" t="e">
        <f t="shared" ref="AB58:AB89" si="3">Y58/N58</f>
        <v>#DIV/0!</v>
      </c>
      <c r="AC58" s="49" t="e">
        <f t="shared" ref="AC58:AC89" si="4">Z58/O58</f>
        <v>#DIV/0!</v>
      </c>
      <c r="AD58" s="19"/>
      <c r="AE58" s="19"/>
      <c r="AF58" s="284" t="s">
        <v>126</v>
      </c>
      <c r="AG58" s="239" t="e" cm="1">
        <f t="array" ref="AG58">bdRateExtend($G58:$G61,G58:G61,$R58:$R61,R58:R61)</f>
        <v>#VALUE!</v>
      </c>
      <c r="AH58" s="241" t="e" cm="1">
        <f t="array" ref="AH58">bdRateExtend($G58:$G63,H58:H63,$R58:$R63,S58:S63)</f>
        <v>#VALUE!</v>
      </c>
      <c r="AI58" s="241" t="e" cm="1">
        <f t="array" ref="AI58">bdRateExtend($G58:$G63,I58:I63,$R58:$R63,T58:T63)</f>
        <v>#VALUE!</v>
      </c>
      <c r="AJ58" s="244" t="e" cm="1">
        <f t="array" ref="AJ58">bdRateExtend($G58:$G63,J58:J63,$R58:$R63,U58:U63)</f>
        <v>#VALUE!</v>
      </c>
      <c r="AK58" s="239" t="e" cm="1">
        <f t="array" ref="AK58">bdRateExtend($G58:$G61,K58:K61,$R58:$R61,V58:V61)</f>
        <v>#VALUE!</v>
      </c>
      <c r="AL58" s="248" t="e" cm="1">
        <f t="array" ref="AL58">bdRateExtend($G58:$G63,K58:K63,$R58:$R63,V58:V63)</f>
        <v>#VALUE!</v>
      </c>
      <c r="AM58" s="239" t="e" cm="1">
        <f t="array" ref="AM58">bdRateExtend($G58:$G61,L58:L61,$R58:$R61,W58:W61)</f>
        <v>#VALUE!</v>
      </c>
      <c r="AN58" s="248" t="e" cm="1">
        <f t="array" ref="AN58">bdRateExtend($G58:$G63,L58:L63,$R58:$R63,W58:W63)</f>
        <v>#VALUE!</v>
      </c>
      <c r="AO58" s="254" t="e" cm="1">
        <f t="array" ref="AO58">bdRateExtend($G58:$G61,M58:M61,$R58:$R61,X58:X61)</f>
        <v>#VALUE!</v>
      </c>
      <c r="AP58" s="248" t="e" cm="1">
        <f t="array" ref="AP58">bdRateExtend($G58:$G63,M58:M63,$R58:$R63,X58:X63)</f>
        <v>#VALUE!</v>
      </c>
    </row>
    <row r="59" spans="1:42" ht="17.100000000000001" customHeight="1" outlineLevel="4" x14ac:dyDescent="0.25">
      <c r="A59" s="222"/>
      <c r="B59" s="219"/>
      <c r="C59" s="229"/>
      <c r="D59" s="232"/>
      <c r="E59" s="235"/>
      <c r="F59" s="16">
        <v>31</v>
      </c>
      <c r="G59" s="34"/>
      <c r="H59" s="39"/>
      <c r="I59" s="39"/>
      <c r="J59" s="39"/>
      <c r="K59" s="39"/>
      <c r="L59" s="39"/>
      <c r="M59" s="39"/>
      <c r="N59" s="39"/>
      <c r="O59" s="39"/>
      <c r="P59" s="35"/>
      <c r="Q59" s="18"/>
      <c r="R59" s="34"/>
      <c r="S59" s="39"/>
      <c r="T59" s="39"/>
      <c r="U59" s="39"/>
      <c r="V59" s="39"/>
      <c r="W59" s="39"/>
      <c r="X59" s="39"/>
      <c r="Y59" s="39"/>
      <c r="Z59" s="39"/>
      <c r="AA59" s="35"/>
      <c r="AB59" s="50" t="e">
        <f t="shared" si="3"/>
        <v>#DIV/0!</v>
      </c>
      <c r="AC59" s="51" t="e">
        <f t="shared" si="4"/>
        <v>#DIV/0!</v>
      </c>
      <c r="AD59" s="19"/>
      <c r="AE59" s="19"/>
      <c r="AF59" s="285"/>
      <c r="AG59" s="240"/>
      <c r="AH59" s="242"/>
      <c r="AI59" s="242"/>
      <c r="AJ59" s="245"/>
      <c r="AK59" s="240"/>
      <c r="AL59" s="249"/>
      <c r="AM59" s="240"/>
      <c r="AN59" s="249"/>
      <c r="AO59" s="252"/>
      <c r="AP59" s="249"/>
    </row>
    <row r="60" spans="1:42" ht="17.100000000000001" customHeight="1" outlineLevel="4" x14ac:dyDescent="0.25">
      <c r="A60" s="222"/>
      <c r="B60" s="219"/>
      <c r="C60" s="229"/>
      <c r="D60" s="232"/>
      <c r="E60" s="235"/>
      <c r="F60" s="16">
        <v>39</v>
      </c>
      <c r="G60" s="34"/>
      <c r="H60" s="39"/>
      <c r="I60" s="39"/>
      <c r="J60" s="39"/>
      <c r="K60" s="39"/>
      <c r="L60" s="39"/>
      <c r="M60" s="39"/>
      <c r="N60" s="39"/>
      <c r="O60" s="39"/>
      <c r="P60" s="35"/>
      <c r="Q60" s="18"/>
      <c r="R60" s="34"/>
      <c r="S60" s="39"/>
      <c r="T60" s="39"/>
      <c r="U60" s="39"/>
      <c r="V60" s="39"/>
      <c r="W60" s="39"/>
      <c r="X60" s="39"/>
      <c r="Y60" s="39"/>
      <c r="Z60" s="39"/>
      <c r="AA60" s="35"/>
      <c r="AB60" s="50" t="e">
        <f t="shared" si="3"/>
        <v>#DIV/0!</v>
      </c>
      <c r="AC60" s="51" t="e">
        <f t="shared" si="4"/>
        <v>#DIV/0!</v>
      </c>
      <c r="AD60" s="19"/>
      <c r="AE60" s="19"/>
      <c r="AF60" s="285" t="s">
        <v>127</v>
      </c>
      <c r="AG60" s="240" t="e" cm="1">
        <f t="array" ref="AG60">bdRateExtend($G59:$G62,G59:G62,$R59:$R62,R59:R62)</f>
        <v>#VALUE!</v>
      </c>
      <c r="AH60" s="242"/>
      <c r="AI60" s="242"/>
      <c r="AJ60" s="245"/>
      <c r="AK60" s="240" t="e" cm="1">
        <f t="array" ref="AK60">bdRateExtend($G59:$G62,K59:K62,$R59:$R62,V59:V62)</f>
        <v>#VALUE!</v>
      </c>
      <c r="AL60" s="249"/>
      <c r="AM60" s="240" t="e" cm="1">
        <f t="array" ref="AM60">bdRateExtend($G59:$G62,L59:L62,$R59:$R62,W59:W62)</f>
        <v>#VALUE!</v>
      </c>
      <c r="AN60" s="249"/>
      <c r="AO60" s="252" t="e" cm="1">
        <f t="array" ref="AO60">bdRateExtend($G59:$G62,M59:M62,$R59:$R62,X59:X62)</f>
        <v>#VALUE!</v>
      </c>
      <c r="AP60" s="249"/>
    </row>
    <row r="61" spans="1:42" ht="17.100000000000001" customHeight="1" outlineLevel="4" x14ac:dyDescent="0.25">
      <c r="A61" s="222"/>
      <c r="B61" s="219"/>
      <c r="C61" s="229"/>
      <c r="D61" s="232"/>
      <c r="E61" s="235"/>
      <c r="F61" s="16">
        <v>47</v>
      </c>
      <c r="G61" s="34"/>
      <c r="H61" s="39"/>
      <c r="I61" s="39"/>
      <c r="J61" s="39"/>
      <c r="K61" s="39"/>
      <c r="L61" s="39"/>
      <c r="M61" s="39"/>
      <c r="N61" s="39"/>
      <c r="O61" s="39"/>
      <c r="P61" s="35"/>
      <c r="Q61" s="18"/>
      <c r="R61" s="34"/>
      <c r="S61" s="39"/>
      <c r="T61" s="39"/>
      <c r="U61" s="39"/>
      <c r="V61" s="39"/>
      <c r="W61" s="39"/>
      <c r="X61" s="39"/>
      <c r="Y61" s="39"/>
      <c r="Z61" s="39"/>
      <c r="AA61" s="35"/>
      <c r="AB61" s="50" t="e">
        <f t="shared" si="3"/>
        <v>#DIV/0!</v>
      </c>
      <c r="AC61" s="51" t="e">
        <f t="shared" si="4"/>
        <v>#DIV/0!</v>
      </c>
      <c r="AD61" s="19"/>
      <c r="AE61" s="19"/>
      <c r="AF61" s="285"/>
      <c r="AG61" s="240"/>
      <c r="AH61" s="242"/>
      <c r="AI61" s="242"/>
      <c r="AJ61" s="245"/>
      <c r="AK61" s="240"/>
      <c r="AL61" s="249"/>
      <c r="AM61" s="240"/>
      <c r="AN61" s="249"/>
      <c r="AO61" s="252"/>
      <c r="AP61" s="249"/>
    </row>
    <row r="62" spans="1:42" ht="17.100000000000001" customHeight="1" outlineLevel="4" x14ac:dyDescent="0.25">
      <c r="A62" s="222"/>
      <c r="B62" s="219"/>
      <c r="C62" s="229"/>
      <c r="D62" s="232"/>
      <c r="E62" s="235"/>
      <c r="F62" s="16">
        <v>55</v>
      </c>
      <c r="G62" s="34"/>
      <c r="H62" s="39"/>
      <c r="I62" s="39"/>
      <c r="J62" s="39"/>
      <c r="K62" s="39"/>
      <c r="L62" s="39"/>
      <c r="M62" s="39"/>
      <c r="N62" s="39"/>
      <c r="O62" s="39"/>
      <c r="P62" s="35"/>
      <c r="Q62" s="18"/>
      <c r="R62" s="34"/>
      <c r="S62" s="39"/>
      <c r="T62" s="39"/>
      <c r="U62" s="39"/>
      <c r="V62" s="39"/>
      <c r="W62" s="39"/>
      <c r="X62" s="39"/>
      <c r="Y62" s="39"/>
      <c r="Z62" s="39"/>
      <c r="AA62" s="35"/>
      <c r="AB62" s="50" t="e">
        <f t="shared" si="3"/>
        <v>#DIV/0!</v>
      </c>
      <c r="AC62" s="51" t="e">
        <f t="shared" si="4"/>
        <v>#DIV/0!</v>
      </c>
      <c r="AD62" s="19"/>
      <c r="AE62" s="19"/>
      <c r="AF62" s="285" t="s">
        <v>128</v>
      </c>
      <c r="AG62" s="240" t="e" cm="1">
        <f t="array" ref="AG62">bdRateExtend($G60:$G63,G60:G63,$R60:$R63,R60:R63)</f>
        <v>#VALUE!</v>
      </c>
      <c r="AH62" s="242"/>
      <c r="AI62" s="242"/>
      <c r="AJ62" s="245"/>
      <c r="AK62" s="240" t="e" cm="1">
        <f t="array" ref="AK62">bdRateExtend($G60:$G63,K60:K63,$R60:$R63,V60:V63)</f>
        <v>#VALUE!</v>
      </c>
      <c r="AL62" s="249"/>
      <c r="AM62" s="240" t="e" cm="1">
        <f t="array" ref="AM62">bdRateExtend($G60:$G63,L60:L63,$R60:$R63,W60:W63)</f>
        <v>#VALUE!</v>
      </c>
      <c r="AN62" s="249"/>
      <c r="AO62" s="252" t="e" cm="1">
        <f t="array" ref="AO62">bdRateExtend($G60:$G63,M60:M63,$R60:$R63,X60:X63)</f>
        <v>#VALUE!</v>
      </c>
      <c r="AP62" s="249"/>
    </row>
    <row r="63" spans="1:42" ht="17.100000000000001" customHeight="1" outlineLevel="4" thickBot="1" x14ac:dyDescent="0.3">
      <c r="A63" s="222"/>
      <c r="B63" s="220"/>
      <c r="C63" s="230"/>
      <c r="D63" s="233"/>
      <c r="E63" s="236"/>
      <c r="F63" s="9">
        <v>63</v>
      </c>
      <c r="G63" s="36"/>
      <c r="H63" s="37"/>
      <c r="I63" s="37"/>
      <c r="J63" s="37"/>
      <c r="K63" s="37"/>
      <c r="L63" s="37"/>
      <c r="M63" s="37"/>
      <c r="N63" s="37"/>
      <c r="O63" s="37"/>
      <c r="P63" s="38"/>
      <c r="Q63" s="18"/>
      <c r="R63" s="36"/>
      <c r="S63" s="37"/>
      <c r="T63" s="37"/>
      <c r="U63" s="37"/>
      <c r="V63" s="37"/>
      <c r="W63" s="37"/>
      <c r="X63" s="37"/>
      <c r="Y63" s="37"/>
      <c r="Z63" s="37"/>
      <c r="AA63" s="38"/>
      <c r="AB63" s="52" t="e">
        <f t="shared" si="3"/>
        <v>#DIV/0!</v>
      </c>
      <c r="AC63" s="53" t="e">
        <f t="shared" si="4"/>
        <v>#DIV/0!</v>
      </c>
      <c r="AD63" s="19"/>
      <c r="AE63" s="19"/>
      <c r="AF63" s="286"/>
      <c r="AG63" s="247"/>
      <c r="AH63" s="243"/>
      <c r="AI63" s="243"/>
      <c r="AJ63" s="246"/>
      <c r="AK63" s="247"/>
      <c r="AL63" s="250"/>
      <c r="AM63" s="247"/>
      <c r="AN63" s="250"/>
      <c r="AO63" s="253"/>
      <c r="AP63" s="250"/>
    </row>
    <row r="64" spans="1:42" ht="17.100000000000001" customHeight="1" outlineLevel="4" x14ac:dyDescent="0.25">
      <c r="A64" s="222"/>
      <c r="B64" s="218" t="s">
        <v>2</v>
      </c>
      <c r="C64" s="228" t="s">
        <v>47</v>
      </c>
      <c r="D64" s="231">
        <v>29.97</v>
      </c>
      <c r="E64" s="234" t="s">
        <v>23</v>
      </c>
      <c r="F64" s="7">
        <v>23</v>
      </c>
      <c r="G64" s="31"/>
      <c r="H64" s="32"/>
      <c r="I64" s="32"/>
      <c r="J64" s="32"/>
      <c r="K64" s="32"/>
      <c r="L64" s="32"/>
      <c r="M64" s="32"/>
      <c r="N64" s="32"/>
      <c r="O64" s="32"/>
      <c r="P64" s="33"/>
      <c r="Q64" s="18"/>
      <c r="R64" s="31"/>
      <c r="S64" s="32"/>
      <c r="T64" s="32"/>
      <c r="U64" s="32"/>
      <c r="V64" s="32"/>
      <c r="W64" s="32"/>
      <c r="X64" s="32"/>
      <c r="Y64" s="32"/>
      <c r="Z64" s="32"/>
      <c r="AA64" s="33"/>
      <c r="AB64" s="48" t="e">
        <f t="shared" si="3"/>
        <v>#DIV/0!</v>
      </c>
      <c r="AC64" s="49" t="e">
        <f t="shared" si="4"/>
        <v>#DIV/0!</v>
      </c>
      <c r="AD64" s="19"/>
      <c r="AE64" s="19"/>
      <c r="AF64" s="284" t="s">
        <v>126</v>
      </c>
      <c r="AG64" s="239" t="e" cm="1">
        <f t="array" ref="AG64">bdRateExtend($G64:$G67,G64:G67,$R64:$R67,R64:R67)</f>
        <v>#VALUE!</v>
      </c>
      <c r="AH64" s="241" t="e" cm="1">
        <f t="array" ref="AH64">bdRateExtend($G64:$G69,H64:H69,$R64:$R69,S64:S69)</f>
        <v>#VALUE!</v>
      </c>
      <c r="AI64" s="241" t="e" cm="1">
        <f t="array" ref="AI64">bdRateExtend($G64:$G69,I64:I69,$R64:$R69,T64:T69)</f>
        <v>#VALUE!</v>
      </c>
      <c r="AJ64" s="244" t="e" cm="1">
        <f t="array" ref="AJ64">bdRateExtend($G64:$G69,J64:J69,$R64:$R69,U64:U69)</f>
        <v>#VALUE!</v>
      </c>
      <c r="AK64" s="239" t="e" cm="1">
        <f t="array" ref="AK64">bdRateExtend($G64:$G67,K64:K67,$R64:$R67,V64:V67)</f>
        <v>#VALUE!</v>
      </c>
      <c r="AL64" s="248" t="e" cm="1">
        <f t="array" ref="AL64">bdRateExtend($G64:$G69,K64:K69,$R64:$R69,V64:V69)</f>
        <v>#VALUE!</v>
      </c>
      <c r="AM64" s="239" t="e" cm="1">
        <f t="array" ref="AM64">bdRateExtend($G64:$G67,L64:L67,$R64:$R67,W64:W67)</f>
        <v>#VALUE!</v>
      </c>
      <c r="AN64" s="248" t="e" cm="1">
        <f t="array" ref="AN64">bdRateExtend($G64:$G69,L64:L69,$R64:$R69,W64:W69)</f>
        <v>#VALUE!</v>
      </c>
      <c r="AO64" s="254" t="e" cm="1">
        <f t="array" ref="AO64">bdRateExtend($G64:$G67,M64:M67,$R64:$R67,X64:X67)</f>
        <v>#VALUE!</v>
      </c>
      <c r="AP64" s="248" t="e" cm="1">
        <f t="array" ref="AP64">bdRateExtend($G64:$G69,M64:M69,$R64:$R69,X64:X69)</f>
        <v>#VALUE!</v>
      </c>
    </row>
    <row r="65" spans="1:42" ht="17.100000000000001" customHeight="1" outlineLevel="4" x14ac:dyDescent="0.25">
      <c r="A65" s="222"/>
      <c r="B65" s="219"/>
      <c r="C65" s="229"/>
      <c r="D65" s="232"/>
      <c r="E65" s="235"/>
      <c r="F65" s="16">
        <v>31</v>
      </c>
      <c r="G65" s="34"/>
      <c r="H65" s="39"/>
      <c r="I65" s="39"/>
      <c r="J65" s="39"/>
      <c r="K65" s="39"/>
      <c r="L65" s="39"/>
      <c r="M65" s="39"/>
      <c r="N65" s="39"/>
      <c r="O65" s="39"/>
      <c r="P65" s="35"/>
      <c r="Q65" s="18"/>
      <c r="R65" s="34"/>
      <c r="S65" s="39"/>
      <c r="T65" s="39"/>
      <c r="U65" s="39"/>
      <c r="V65" s="39"/>
      <c r="W65" s="39"/>
      <c r="X65" s="39"/>
      <c r="Y65" s="39"/>
      <c r="Z65" s="39"/>
      <c r="AA65" s="35"/>
      <c r="AB65" s="50" t="e">
        <f t="shared" si="3"/>
        <v>#DIV/0!</v>
      </c>
      <c r="AC65" s="51" t="e">
        <f t="shared" si="4"/>
        <v>#DIV/0!</v>
      </c>
      <c r="AD65" s="19"/>
      <c r="AE65" s="19"/>
      <c r="AF65" s="285"/>
      <c r="AG65" s="240"/>
      <c r="AH65" s="242"/>
      <c r="AI65" s="242"/>
      <c r="AJ65" s="245"/>
      <c r="AK65" s="240"/>
      <c r="AL65" s="249"/>
      <c r="AM65" s="240"/>
      <c r="AN65" s="249"/>
      <c r="AO65" s="252"/>
      <c r="AP65" s="249"/>
    </row>
    <row r="66" spans="1:42" ht="17.100000000000001" customHeight="1" outlineLevel="4" x14ac:dyDescent="0.25">
      <c r="A66" s="222"/>
      <c r="B66" s="219"/>
      <c r="C66" s="229"/>
      <c r="D66" s="232"/>
      <c r="E66" s="235"/>
      <c r="F66" s="16">
        <v>39</v>
      </c>
      <c r="G66" s="34"/>
      <c r="H66" s="39"/>
      <c r="I66" s="39"/>
      <c r="J66" s="39"/>
      <c r="K66" s="39"/>
      <c r="L66" s="39"/>
      <c r="M66" s="39"/>
      <c r="N66" s="39"/>
      <c r="O66" s="39"/>
      <c r="P66" s="35"/>
      <c r="Q66" s="18"/>
      <c r="R66" s="34"/>
      <c r="S66" s="39"/>
      <c r="T66" s="39"/>
      <c r="U66" s="39"/>
      <c r="V66" s="39"/>
      <c r="W66" s="39"/>
      <c r="X66" s="39"/>
      <c r="Y66" s="39"/>
      <c r="Z66" s="39"/>
      <c r="AA66" s="35"/>
      <c r="AB66" s="50" t="e">
        <f t="shared" si="3"/>
        <v>#DIV/0!</v>
      </c>
      <c r="AC66" s="51" t="e">
        <f t="shared" si="4"/>
        <v>#DIV/0!</v>
      </c>
      <c r="AD66" s="19"/>
      <c r="AE66" s="19"/>
      <c r="AF66" s="285" t="s">
        <v>127</v>
      </c>
      <c r="AG66" s="240" t="e" cm="1">
        <f t="array" ref="AG66">bdRateExtend($G65:$G68,G65:G68,$R65:$R68,R65:R68)</f>
        <v>#VALUE!</v>
      </c>
      <c r="AH66" s="242"/>
      <c r="AI66" s="242"/>
      <c r="AJ66" s="245"/>
      <c r="AK66" s="240" t="e" cm="1">
        <f t="array" ref="AK66">bdRateExtend($G65:$G68,K65:K68,$R65:$R68,V65:V68)</f>
        <v>#VALUE!</v>
      </c>
      <c r="AL66" s="249"/>
      <c r="AM66" s="240" t="e" cm="1">
        <f t="array" ref="AM66">bdRateExtend($G65:$G68,L65:L68,$R65:$R68,W65:W68)</f>
        <v>#VALUE!</v>
      </c>
      <c r="AN66" s="249"/>
      <c r="AO66" s="252" t="e" cm="1">
        <f t="array" ref="AO66">bdRateExtend($G65:$G68,M65:M68,$R65:$R68,X65:X68)</f>
        <v>#VALUE!</v>
      </c>
      <c r="AP66" s="249"/>
    </row>
    <row r="67" spans="1:42" ht="17.100000000000001" customHeight="1" outlineLevel="4" x14ac:dyDescent="0.25">
      <c r="A67" s="222"/>
      <c r="B67" s="219"/>
      <c r="C67" s="229"/>
      <c r="D67" s="232"/>
      <c r="E67" s="235"/>
      <c r="F67" s="16">
        <v>47</v>
      </c>
      <c r="G67" s="34"/>
      <c r="H67" s="39"/>
      <c r="I67" s="39"/>
      <c r="J67" s="39"/>
      <c r="K67" s="39"/>
      <c r="L67" s="39"/>
      <c r="M67" s="39"/>
      <c r="N67" s="39"/>
      <c r="O67" s="39"/>
      <c r="P67" s="35"/>
      <c r="Q67" s="18"/>
      <c r="R67" s="34"/>
      <c r="S67" s="39"/>
      <c r="T67" s="39"/>
      <c r="U67" s="39"/>
      <c r="V67" s="39"/>
      <c r="W67" s="39"/>
      <c r="X67" s="39"/>
      <c r="Y67" s="39"/>
      <c r="Z67" s="39"/>
      <c r="AA67" s="35"/>
      <c r="AB67" s="50" t="e">
        <f t="shared" si="3"/>
        <v>#DIV/0!</v>
      </c>
      <c r="AC67" s="51" t="e">
        <f t="shared" si="4"/>
        <v>#DIV/0!</v>
      </c>
      <c r="AD67" s="19"/>
      <c r="AE67" s="19"/>
      <c r="AF67" s="285"/>
      <c r="AG67" s="240"/>
      <c r="AH67" s="242"/>
      <c r="AI67" s="242"/>
      <c r="AJ67" s="245"/>
      <c r="AK67" s="240"/>
      <c r="AL67" s="249"/>
      <c r="AM67" s="240"/>
      <c r="AN67" s="249"/>
      <c r="AO67" s="252"/>
      <c r="AP67" s="249"/>
    </row>
    <row r="68" spans="1:42" ht="17.100000000000001" customHeight="1" outlineLevel="4" x14ac:dyDescent="0.25">
      <c r="A68" s="222"/>
      <c r="B68" s="219"/>
      <c r="C68" s="229"/>
      <c r="D68" s="232"/>
      <c r="E68" s="235"/>
      <c r="F68" s="16">
        <v>55</v>
      </c>
      <c r="G68" s="34"/>
      <c r="H68" s="39"/>
      <c r="I68" s="39"/>
      <c r="J68" s="39"/>
      <c r="K68" s="39"/>
      <c r="L68" s="39"/>
      <c r="M68" s="39"/>
      <c r="N68" s="39"/>
      <c r="O68" s="39"/>
      <c r="P68" s="35"/>
      <c r="Q68" s="18"/>
      <c r="R68" s="34"/>
      <c r="S68" s="39"/>
      <c r="T68" s="39"/>
      <c r="U68" s="39"/>
      <c r="V68" s="39"/>
      <c r="W68" s="39"/>
      <c r="X68" s="39"/>
      <c r="Y68" s="39"/>
      <c r="Z68" s="39"/>
      <c r="AA68" s="35"/>
      <c r="AB68" s="50" t="e">
        <f t="shared" si="3"/>
        <v>#DIV/0!</v>
      </c>
      <c r="AC68" s="51" t="e">
        <f t="shared" si="4"/>
        <v>#DIV/0!</v>
      </c>
      <c r="AD68" s="19"/>
      <c r="AE68" s="19"/>
      <c r="AF68" s="285" t="s">
        <v>128</v>
      </c>
      <c r="AG68" s="240" t="e" cm="1">
        <f t="array" ref="AG68">bdRateExtend($G66:$G69,G66:G69,$R66:$R69,R66:R69)</f>
        <v>#VALUE!</v>
      </c>
      <c r="AH68" s="242"/>
      <c r="AI68" s="242"/>
      <c r="AJ68" s="245"/>
      <c r="AK68" s="240" t="e" cm="1">
        <f t="array" ref="AK68">bdRateExtend($G66:$G69,K66:K69,$R66:$R69,V66:V69)</f>
        <v>#VALUE!</v>
      </c>
      <c r="AL68" s="249"/>
      <c r="AM68" s="240" t="e" cm="1">
        <f t="array" ref="AM68">bdRateExtend($G66:$G69,L66:L69,$R66:$R69,W66:W69)</f>
        <v>#VALUE!</v>
      </c>
      <c r="AN68" s="249"/>
      <c r="AO68" s="252" t="e" cm="1">
        <f t="array" ref="AO68">bdRateExtend($G66:$G69,M66:M69,$R66:$R69,X66:X69)</f>
        <v>#VALUE!</v>
      </c>
      <c r="AP68" s="249"/>
    </row>
    <row r="69" spans="1:42" ht="17.100000000000001" customHeight="1" outlineLevel="4" thickBot="1" x14ac:dyDescent="0.3">
      <c r="A69" s="222"/>
      <c r="B69" s="220"/>
      <c r="C69" s="230"/>
      <c r="D69" s="233"/>
      <c r="E69" s="236"/>
      <c r="F69" s="9">
        <v>63</v>
      </c>
      <c r="G69" s="36"/>
      <c r="H69" s="37"/>
      <c r="I69" s="37"/>
      <c r="J69" s="37"/>
      <c r="K69" s="37"/>
      <c r="L69" s="37"/>
      <c r="M69" s="37"/>
      <c r="N69" s="37"/>
      <c r="O69" s="37"/>
      <c r="P69" s="38"/>
      <c r="Q69" s="18"/>
      <c r="R69" s="36"/>
      <c r="S69" s="37"/>
      <c r="T69" s="37"/>
      <c r="U69" s="37"/>
      <c r="V69" s="37"/>
      <c r="W69" s="37"/>
      <c r="X69" s="37"/>
      <c r="Y69" s="37"/>
      <c r="Z69" s="37"/>
      <c r="AA69" s="38"/>
      <c r="AB69" s="52" t="e">
        <f t="shared" si="3"/>
        <v>#DIV/0!</v>
      </c>
      <c r="AC69" s="53" t="e">
        <f t="shared" si="4"/>
        <v>#DIV/0!</v>
      </c>
      <c r="AD69" s="19"/>
      <c r="AE69" s="19"/>
      <c r="AF69" s="286"/>
      <c r="AG69" s="247"/>
      <c r="AH69" s="243"/>
      <c r="AI69" s="243"/>
      <c r="AJ69" s="246"/>
      <c r="AK69" s="247"/>
      <c r="AL69" s="250"/>
      <c r="AM69" s="247"/>
      <c r="AN69" s="250"/>
      <c r="AO69" s="253"/>
      <c r="AP69" s="250"/>
    </row>
    <row r="70" spans="1:42" ht="17.100000000000001" customHeight="1" outlineLevel="4" x14ac:dyDescent="0.25">
      <c r="A70" s="222"/>
      <c r="B70" s="218" t="s">
        <v>2</v>
      </c>
      <c r="C70" s="228" t="s">
        <v>48</v>
      </c>
      <c r="D70" s="231">
        <v>30</v>
      </c>
      <c r="E70" s="234" t="s">
        <v>23</v>
      </c>
      <c r="F70" s="7">
        <v>23</v>
      </c>
      <c r="G70" s="31"/>
      <c r="H70" s="32"/>
      <c r="I70" s="32"/>
      <c r="J70" s="32"/>
      <c r="K70" s="32"/>
      <c r="L70" s="32"/>
      <c r="M70" s="32"/>
      <c r="N70" s="32"/>
      <c r="O70" s="32"/>
      <c r="P70" s="33"/>
      <c r="Q70" s="18"/>
      <c r="R70" s="31"/>
      <c r="S70" s="32"/>
      <c r="T70" s="32"/>
      <c r="U70" s="32"/>
      <c r="V70" s="32"/>
      <c r="W70" s="32"/>
      <c r="X70" s="32"/>
      <c r="Y70" s="32"/>
      <c r="Z70" s="32"/>
      <c r="AA70" s="33"/>
      <c r="AB70" s="48" t="e">
        <f t="shared" si="3"/>
        <v>#DIV/0!</v>
      </c>
      <c r="AC70" s="49" t="e">
        <f t="shared" si="4"/>
        <v>#DIV/0!</v>
      </c>
      <c r="AD70" s="19"/>
      <c r="AE70" s="19"/>
      <c r="AF70" s="284" t="s">
        <v>126</v>
      </c>
      <c r="AG70" s="239" t="e" cm="1">
        <f t="array" ref="AG70">bdRateExtend($G70:$G73,G70:G73,$R70:$R73,R70:R73)</f>
        <v>#VALUE!</v>
      </c>
      <c r="AH70" s="241" t="e" cm="1">
        <f t="array" ref="AH70">bdRateExtend($G70:$G75,H70:H75,$R70:$R75,S70:S75)</f>
        <v>#VALUE!</v>
      </c>
      <c r="AI70" s="241" t="e" cm="1">
        <f t="array" ref="AI70">bdRateExtend($G70:$G75,I70:I75,$R70:$R75,T70:T75)</f>
        <v>#VALUE!</v>
      </c>
      <c r="AJ70" s="244" t="e" cm="1">
        <f t="array" ref="AJ70">bdRateExtend($G70:$G75,J70:J75,$R70:$R75,U70:U75)</f>
        <v>#VALUE!</v>
      </c>
      <c r="AK70" s="239" t="e" cm="1">
        <f t="array" ref="AK70">bdRateExtend($G70:$G73,K70:K73,$R70:$R73,V70:V73)</f>
        <v>#VALUE!</v>
      </c>
      <c r="AL70" s="248" t="e" cm="1">
        <f t="array" ref="AL70">bdRateExtend($G70:$G75,K70:K75,$R70:$R75,V70:V75)</f>
        <v>#VALUE!</v>
      </c>
      <c r="AM70" s="239" t="e" cm="1">
        <f t="array" ref="AM70">bdRateExtend($G70:$G73,L70:L73,$R70:$R73,W70:W73)</f>
        <v>#VALUE!</v>
      </c>
      <c r="AN70" s="248" t="e" cm="1">
        <f t="array" ref="AN70">bdRateExtend($G70:$G75,L70:L75,$R70:$R75,W70:W75)</f>
        <v>#VALUE!</v>
      </c>
      <c r="AO70" s="254" t="e" cm="1">
        <f t="array" ref="AO70">bdRateExtend($G70:$G73,M70:M73,$R70:$R73,X70:X73)</f>
        <v>#VALUE!</v>
      </c>
      <c r="AP70" s="248" t="e" cm="1">
        <f t="array" ref="AP70">bdRateExtend($G70:$G75,M70:M75,$R70:$R75,X70:X75)</f>
        <v>#VALUE!</v>
      </c>
    </row>
    <row r="71" spans="1:42" ht="17.100000000000001" customHeight="1" outlineLevel="4" x14ac:dyDescent="0.25">
      <c r="A71" s="222"/>
      <c r="B71" s="219"/>
      <c r="C71" s="229"/>
      <c r="D71" s="232"/>
      <c r="E71" s="235"/>
      <c r="F71" s="16">
        <v>31</v>
      </c>
      <c r="G71" s="34"/>
      <c r="H71" s="39"/>
      <c r="I71" s="39"/>
      <c r="J71" s="39"/>
      <c r="K71" s="39"/>
      <c r="L71" s="39"/>
      <c r="M71" s="39"/>
      <c r="N71" s="39"/>
      <c r="O71" s="39"/>
      <c r="P71" s="35"/>
      <c r="Q71" s="18"/>
      <c r="R71" s="34"/>
      <c r="S71" s="39"/>
      <c r="T71" s="39"/>
      <c r="U71" s="39"/>
      <c r="V71" s="39"/>
      <c r="W71" s="39"/>
      <c r="X71" s="39"/>
      <c r="Y71" s="39"/>
      <c r="Z71" s="39"/>
      <c r="AA71" s="35"/>
      <c r="AB71" s="50" t="e">
        <f t="shared" si="3"/>
        <v>#DIV/0!</v>
      </c>
      <c r="AC71" s="51" t="e">
        <f t="shared" si="4"/>
        <v>#DIV/0!</v>
      </c>
      <c r="AD71" s="19"/>
      <c r="AE71" s="19"/>
      <c r="AF71" s="285"/>
      <c r="AG71" s="240"/>
      <c r="AH71" s="242"/>
      <c r="AI71" s="242"/>
      <c r="AJ71" s="245"/>
      <c r="AK71" s="240"/>
      <c r="AL71" s="249"/>
      <c r="AM71" s="240"/>
      <c r="AN71" s="249"/>
      <c r="AO71" s="252"/>
      <c r="AP71" s="249"/>
    </row>
    <row r="72" spans="1:42" ht="17.100000000000001" customHeight="1" outlineLevel="4" x14ac:dyDescent="0.25">
      <c r="A72" s="222"/>
      <c r="B72" s="219"/>
      <c r="C72" s="229"/>
      <c r="D72" s="232"/>
      <c r="E72" s="235"/>
      <c r="F72" s="16">
        <v>39</v>
      </c>
      <c r="G72" s="34"/>
      <c r="H72" s="39"/>
      <c r="I72" s="39"/>
      <c r="J72" s="39"/>
      <c r="K72" s="39"/>
      <c r="L72" s="39"/>
      <c r="M72" s="39"/>
      <c r="N72" s="39"/>
      <c r="O72" s="39"/>
      <c r="P72" s="35"/>
      <c r="Q72" s="18"/>
      <c r="R72" s="34"/>
      <c r="S72" s="39"/>
      <c r="T72" s="39"/>
      <c r="U72" s="39"/>
      <c r="V72" s="39"/>
      <c r="W72" s="39"/>
      <c r="X72" s="39"/>
      <c r="Y72" s="39"/>
      <c r="Z72" s="39"/>
      <c r="AA72" s="35"/>
      <c r="AB72" s="50" t="e">
        <f t="shared" si="3"/>
        <v>#DIV/0!</v>
      </c>
      <c r="AC72" s="51" t="e">
        <f t="shared" si="4"/>
        <v>#DIV/0!</v>
      </c>
      <c r="AD72" s="19"/>
      <c r="AE72" s="19"/>
      <c r="AF72" s="285" t="s">
        <v>127</v>
      </c>
      <c r="AG72" s="240" t="e" cm="1">
        <f t="array" ref="AG72">bdRateExtend($G71:$G74,G71:G74,$R71:$R74,R71:R74)</f>
        <v>#VALUE!</v>
      </c>
      <c r="AH72" s="242"/>
      <c r="AI72" s="242"/>
      <c r="AJ72" s="245"/>
      <c r="AK72" s="240" t="e" cm="1">
        <f t="array" ref="AK72">bdRateExtend($G71:$G74,K71:K74,$R71:$R74,V71:V74)</f>
        <v>#VALUE!</v>
      </c>
      <c r="AL72" s="249"/>
      <c r="AM72" s="240" t="e" cm="1">
        <f t="array" ref="AM72">bdRateExtend($G71:$G74,L71:L74,$R71:$R74,W71:W74)</f>
        <v>#VALUE!</v>
      </c>
      <c r="AN72" s="249"/>
      <c r="AO72" s="252" t="e" cm="1">
        <f t="array" ref="AO72">bdRateExtend($G71:$G74,M71:M74,$R71:$R74,X71:X74)</f>
        <v>#VALUE!</v>
      </c>
      <c r="AP72" s="249"/>
    </row>
    <row r="73" spans="1:42" ht="17.100000000000001" customHeight="1" outlineLevel="4" x14ac:dyDescent="0.25">
      <c r="A73" s="222"/>
      <c r="B73" s="219"/>
      <c r="C73" s="229"/>
      <c r="D73" s="232"/>
      <c r="E73" s="235"/>
      <c r="F73" s="16">
        <v>47</v>
      </c>
      <c r="G73" s="34"/>
      <c r="H73" s="39"/>
      <c r="I73" s="39"/>
      <c r="J73" s="39"/>
      <c r="K73" s="39"/>
      <c r="L73" s="39"/>
      <c r="M73" s="39"/>
      <c r="N73" s="39"/>
      <c r="O73" s="39"/>
      <c r="P73" s="35"/>
      <c r="Q73" s="18"/>
      <c r="R73" s="34"/>
      <c r="S73" s="39"/>
      <c r="T73" s="39"/>
      <c r="U73" s="39"/>
      <c r="V73" s="39"/>
      <c r="W73" s="39"/>
      <c r="X73" s="39"/>
      <c r="Y73" s="39"/>
      <c r="Z73" s="39"/>
      <c r="AA73" s="35"/>
      <c r="AB73" s="50" t="e">
        <f t="shared" si="3"/>
        <v>#DIV/0!</v>
      </c>
      <c r="AC73" s="51" t="e">
        <f t="shared" si="4"/>
        <v>#DIV/0!</v>
      </c>
      <c r="AD73" s="19"/>
      <c r="AE73" s="19"/>
      <c r="AF73" s="285"/>
      <c r="AG73" s="240"/>
      <c r="AH73" s="242"/>
      <c r="AI73" s="242"/>
      <c r="AJ73" s="245"/>
      <c r="AK73" s="240"/>
      <c r="AL73" s="249"/>
      <c r="AM73" s="240"/>
      <c r="AN73" s="249"/>
      <c r="AO73" s="252"/>
      <c r="AP73" s="249"/>
    </row>
    <row r="74" spans="1:42" ht="17.100000000000001" customHeight="1" outlineLevel="4" x14ac:dyDescent="0.25">
      <c r="A74" s="222"/>
      <c r="B74" s="219"/>
      <c r="C74" s="229"/>
      <c r="D74" s="232"/>
      <c r="E74" s="235"/>
      <c r="F74" s="16">
        <v>55</v>
      </c>
      <c r="G74" s="34"/>
      <c r="H74" s="39"/>
      <c r="I74" s="39"/>
      <c r="J74" s="39"/>
      <c r="K74" s="39"/>
      <c r="L74" s="39"/>
      <c r="M74" s="39"/>
      <c r="N74" s="39"/>
      <c r="O74" s="39"/>
      <c r="P74" s="35"/>
      <c r="Q74" s="18"/>
      <c r="R74" s="34"/>
      <c r="S74" s="39"/>
      <c r="T74" s="39"/>
      <c r="U74" s="39"/>
      <c r="V74" s="39"/>
      <c r="W74" s="39"/>
      <c r="X74" s="39"/>
      <c r="Y74" s="39"/>
      <c r="Z74" s="39"/>
      <c r="AA74" s="35"/>
      <c r="AB74" s="50" t="e">
        <f t="shared" si="3"/>
        <v>#DIV/0!</v>
      </c>
      <c r="AC74" s="51" t="e">
        <f t="shared" si="4"/>
        <v>#DIV/0!</v>
      </c>
      <c r="AD74" s="19"/>
      <c r="AE74" s="19"/>
      <c r="AF74" s="285" t="s">
        <v>128</v>
      </c>
      <c r="AG74" s="240" t="e" cm="1">
        <f t="array" ref="AG74">bdRateExtend($G72:$G75,G72:G75,$R72:$R75,R72:R75)</f>
        <v>#VALUE!</v>
      </c>
      <c r="AH74" s="242"/>
      <c r="AI74" s="242"/>
      <c r="AJ74" s="245"/>
      <c r="AK74" s="240" t="e" cm="1">
        <f t="array" ref="AK74">bdRateExtend($G72:$G75,K72:K75,$R72:$R75,V72:V75)</f>
        <v>#VALUE!</v>
      </c>
      <c r="AL74" s="249"/>
      <c r="AM74" s="240" t="e" cm="1">
        <f t="array" ref="AM74">bdRateExtend($G72:$G75,L72:L75,$R72:$R75,W72:W75)</f>
        <v>#VALUE!</v>
      </c>
      <c r="AN74" s="249"/>
      <c r="AO74" s="252" t="e" cm="1">
        <f t="array" ref="AO74">bdRateExtend($G72:$G75,M72:M75,$R72:$R75,X72:X75)</f>
        <v>#VALUE!</v>
      </c>
      <c r="AP74" s="249"/>
    </row>
    <row r="75" spans="1:42" ht="17.100000000000001" customHeight="1" outlineLevel="4" thickBot="1" x14ac:dyDescent="0.3">
      <c r="A75" s="222"/>
      <c r="B75" s="220"/>
      <c r="C75" s="230"/>
      <c r="D75" s="233"/>
      <c r="E75" s="236"/>
      <c r="F75" s="9">
        <v>63</v>
      </c>
      <c r="G75" s="36"/>
      <c r="H75" s="37"/>
      <c r="I75" s="37"/>
      <c r="J75" s="37"/>
      <c r="K75" s="37"/>
      <c r="L75" s="37"/>
      <c r="M75" s="37"/>
      <c r="N75" s="37"/>
      <c r="O75" s="37"/>
      <c r="P75" s="38"/>
      <c r="Q75" s="18"/>
      <c r="R75" s="36"/>
      <c r="S75" s="37"/>
      <c r="T75" s="37"/>
      <c r="U75" s="37"/>
      <c r="V75" s="37"/>
      <c r="W75" s="37"/>
      <c r="X75" s="37"/>
      <c r="Y75" s="37"/>
      <c r="Z75" s="37"/>
      <c r="AA75" s="38"/>
      <c r="AB75" s="52" t="e">
        <f t="shared" si="3"/>
        <v>#DIV/0!</v>
      </c>
      <c r="AC75" s="53" t="e">
        <f t="shared" si="4"/>
        <v>#DIV/0!</v>
      </c>
      <c r="AD75" s="19"/>
      <c r="AE75" s="19"/>
      <c r="AF75" s="286"/>
      <c r="AG75" s="247"/>
      <c r="AH75" s="243"/>
      <c r="AI75" s="243"/>
      <c r="AJ75" s="246"/>
      <c r="AK75" s="247"/>
      <c r="AL75" s="250"/>
      <c r="AM75" s="247"/>
      <c r="AN75" s="250"/>
      <c r="AO75" s="253"/>
      <c r="AP75" s="250"/>
    </row>
    <row r="76" spans="1:42" ht="17.100000000000001" customHeight="1" outlineLevel="4" x14ac:dyDescent="0.25">
      <c r="A76" s="222"/>
      <c r="B76" s="218" t="s">
        <v>2</v>
      </c>
      <c r="C76" s="228" t="s">
        <v>49</v>
      </c>
      <c r="D76" s="231">
        <v>29.97</v>
      </c>
      <c r="E76" s="234">
        <v>10</v>
      </c>
      <c r="F76" s="7">
        <v>23</v>
      </c>
      <c r="G76" s="31"/>
      <c r="H76" s="32"/>
      <c r="I76" s="32"/>
      <c r="J76" s="32"/>
      <c r="K76" s="32"/>
      <c r="L76" s="32"/>
      <c r="M76" s="32"/>
      <c r="N76" s="32"/>
      <c r="O76" s="32"/>
      <c r="P76" s="33"/>
      <c r="Q76" s="18"/>
      <c r="R76" s="31"/>
      <c r="S76" s="32"/>
      <c r="T76" s="32"/>
      <c r="U76" s="32"/>
      <c r="V76" s="32"/>
      <c r="W76" s="32"/>
      <c r="X76" s="32"/>
      <c r="Y76" s="32"/>
      <c r="Z76" s="32"/>
      <c r="AA76" s="33"/>
      <c r="AB76" s="48" t="e">
        <f t="shared" si="3"/>
        <v>#DIV/0!</v>
      </c>
      <c r="AC76" s="49" t="e">
        <f t="shared" si="4"/>
        <v>#DIV/0!</v>
      </c>
      <c r="AD76" s="19"/>
      <c r="AE76" s="19"/>
      <c r="AF76" s="284" t="s">
        <v>126</v>
      </c>
      <c r="AG76" s="239" t="e" cm="1">
        <f t="array" ref="AG76">bdRateExtend($G76:$G79,G76:G79,$R76:$R79,R76:R79)</f>
        <v>#VALUE!</v>
      </c>
      <c r="AH76" s="241" t="e" cm="1">
        <f t="array" ref="AH76">bdRateExtend($G76:$G81,H76:H81,$R76:$R81,S76:S81)</f>
        <v>#VALUE!</v>
      </c>
      <c r="AI76" s="241" t="e" cm="1">
        <f t="array" ref="AI76">bdRateExtend($G76:$G81,I76:I81,$R76:$R81,T76:T81)</f>
        <v>#VALUE!</v>
      </c>
      <c r="AJ76" s="244" t="e" cm="1">
        <f t="array" ref="AJ76">bdRateExtend($G76:$G81,J76:J81,$R76:$R81,U76:U81)</f>
        <v>#VALUE!</v>
      </c>
      <c r="AK76" s="239" t="e" cm="1">
        <f t="array" ref="AK76">bdRateExtend($G76:$G79,K76:K79,$R76:$R79,V76:V79)</f>
        <v>#VALUE!</v>
      </c>
      <c r="AL76" s="248" t="e" cm="1">
        <f t="array" ref="AL76">bdRateExtend($G76:$G81,K76:K81,$R76:$R81,V76:V81)</f>
        <v>#VALUE!</v>
      </c>
      <c r="AM76" s="239" t="e" cm="1">
        <f t="array" ref="AM76">bdRateExtend($G76:$G79,L76:L79,$R76:$R79,W76:W79)</f>
        <v>#VALUE!</v>
      </c>
      <c r="AN76" s="248" t="e" cm="1">
        <f t="array" ref="AN76">bdRateExtend($G76:$G81,L76:L81,$R76:$R81,W76:W81)</f>
        <v>#VALUE!</v>
      </c>
      <c r="AO76" s="254" t="e" cm="1">
        <f t="array" ref="AO76">bdRateExtend($G76:$G79,M76:M79,$R76:$R79,X76:X79)</f>
        <v>#VALUE!</v>
      </c>
      <c r="AP76" s="248" t="e" cm="1">
        <f t="array" ref="AP76">bdRateExtend($G76:$G81,M76:M81,$R76:$R81,X76:X81)</f>
        <v>#VALUE!</v>
      </c>
    </row>
    <row r="77" spans="1:42" ht="17.100000000000001" customHeight="1" outlineLevel="4" x14ac:dyDescent="0.25">
      <c r="A77" s="222"/>
      <c r="B77" s="219"/>
      <c r="C77" s="229"/>
      <c r="D77" s="232"/>
      <c r="E77" s="235"/>
      <c r="F77" s="16">
        <v>31</v>
      </c>
      <c r="G77" s="34"/>
      <c r="H77" s="39"/>
      <c r="I77" s="39"/>
      <c r="J77" s="39"/>
      <c r="K77" s="39"/>
      <c r="L77" s="39"/>
      <c r="M77" s="39"/>
      <c r="N77" s="39"/>
      <c r="O77" s="39"/>
      <c r="P77" s="35"/>
      <c r="Q77" s="18"/>
      <c r="R77" s="34"/>
      <c r="S77" s="39"/>
      <c r="T77" s="39"/>
      <c r="U77" s="39"/>
      <c r="V77" s="39"/>
      <c r="W77" s="39"/>
      <c r="X77" s="39"/>
      <c r="Y77" s="39"/>
      <c r="Z77" s="39"/>
      <c r="AA77" s="35"/>
      <c r="AB77" s="50" t="e">
        <f t="shared" si="3"/>
        <v>#DIV/0!</v>
      </c>
      <c r="AC77" s="51" t="e">
        <f t="shared" si="4"/>
        <v>#DIV/0!</v>
      </c>
      <c r="AD77" s="19"/>
      <c r="AE77" s="19"/>
      <c r="AF77" s="285"/>
      <c r="AG77" s="240"/>
      <c r="AH77" s="242"/>
      <c r="AI77" s="242"/>
      <c r="AJ77" s="245"/>
      <c r="AK77" s="240"/>
      <c r="AL77" s="249"/>
      <c r="AM77" s="240"/>
      <c r="AN77" s="249"/>
      <c r="AO77" s="252"/>
      <c r="AP77" s="249"/>
    </row>
    <row r="78" spans="1:42" ht="17.100000000000001" customHeight="1" outlineLevel="4" x14ac:dyDescent="0.25">
      <c r="A78" s="222"/>
      <c r="B78" s="219"/>
      <c r="C78" s="229"/>
      <c r="D78" s="232"/>
      <c r="E78" s="235"/>
      <c r="F78" s="16">
        <v>39</v>
      </c>
      <c r="G78" s="34"/>
      <c r="H78" s="39"/>
      <c r="I78" s="39"/>
      <c r="J78" s="39"/>
      <c r="K78" s="39"/>
      <c r="L78" s="39"/>
      <c r="M78" s="39"/>
      <c r="N78" s="39"/>
      <c r="O78" s="39"/>
      <c r="P78" s="35"/>
      <c r="Q78" s="18"/>
      <c r="R78" s="34"/>
      <c r="S78" s="39"/>
      <c r="T78" s="39"/>
      <c r="U78" s="39"/>
      <c r="V78" s="39"/>
      <c r="W78" s="39"/>
      <c r="X78" s="39"/>
      <c r="Y78" s="39"/>
      <c r="Z78" s="39"/>
      <c r="AA78" s="35"/>
      <c r="AB78" s="50" t="e">
        <f t="shared" si="3"/>
        <v>#DIV/0!</v>
      </c>
      <c r="AC78" s="51" t="e">
        <f t="shared" si="4"/>
        <v>#DIV/0!</v>
      </c>
      <c r="AD78" s="19"/>
      <c r="AE78" s="19"/>
      <c r="AF78" s="285" t="s">
        <v>127</v>
      </c>
      <c r="AG78" s="240" t="e" cm="1">
        <f t="array" ref="AG78">bdRateExtend($G77:$G80,G77:G80,$R77:$R80,R77:R80)</f>
        <v>#VALUE!</v>
      </c>
      <c r="AH78" s="242"/>
      <c r="AI78" s="242"/>
      <c r="AJ78" s="245"/>
      <c r="AK78" s="240" t="e" cm="1">
        <f t="array" ref="AK78">bdRateExtend($G77:$G80,K77:K80,$R77:$R80,V77:V80)</f>
        <v>#VALUE!</v>
      </c>
      <c r="AL78" s="249"/>
      <c r="AM78" s="240" t="e" cm="1">
        <f t="array" ref="AM78">bdRateExtend($G77:$G80,L77:L80,$R77:$R80,W77:W80)</f>
        <v>#VALUE!</v>
      </c>
      <c r="AN78" s="249"/>
      <c r="AO78" s="252" t="e" cm="1">
        <f t="array" ref="AO78">bdRateExtend($G77:$G80,M77:M80,$R77:$R80,X77:X80)</f>
        <v>#VALUE!</v>
      </c>
      <c r="AP78" s="249"/>
    </row>
    <row r="79" spans="1:42" ht="17.100000000000001" customHeight="1" outlineLevel="4" x14ac:dyDescent="0.25">
      <c r="A79" s="222"/>
      <c r="B79" s="219"/>
      <c r="C79" s="229"/>
      <c r="D79" s="232"/>
      <c r="E79" s="235"/>
      <c r="F79" s="16">
        <v>47</v>
      </c>
      <c r="G79" s="34"/>
      <c r="H79" s="39"/>
      <c r="I79" s="39"/>
      <c r="J79" s="39"/>
      <c r="K79" s="39"/>
      <c r="L79" s="39"/>
      <c r="M79" s="39"/>
      <c r="N79" s="39"/>
      <c r="O79" s="39"/>
      <c r="P79" s="35"/>
      <c r="Q79" s="18"/>
      <c r="R79" s="34"/>
      <c r="S79" s="39"/>
      <c r="T79" s="39"/>
      <c r="U79" s="39"/>
      <c r="V79" s="39"/>
      <c r="W79" s="39"/>
      <c r="X79" s="39"/>
      <c r="Y79" s="39"/>
      <c r="Z79" s="39"/>
      <c r="AA79" s="35"/>
      <c r="AB79" s="50" t="e">
        <f t="shared" si="3"/>
        <v>#DIV/0!</v>
      </c>
      <c r="AC79" s="51" t="e">
        <f t="shared" si="4"/>
        <v>#DIV/0!</v>
      </c>
      <c r="AD79" s="19"/>
      <c r="AE79" s="19"/>
      <c r="AF79" s="285"/>
      <c r="AG79" s="240"/>
      <c r="AH79" s="242"/>
      <c r="AI79" s="242"/>
      <c r="AJ79" s="245"/>
      <c r="AK79" s="240"/>
      <c r="AL79" s="249"/>
      <c r="AM79" s="240"/>
      <c r="AN79" s="249"/>
      <c r="AO79" s="252"/>
      <c r="AP79" s="249"/>
    </row>
    <row r="80" spans="1:42" ht="17.100000000000001" customHeight="1" outlineLevel="4" x14ac:dyDescent="0.25">
      <c r="A80" s="222"/>
      <c r="B80" s="219"/>
      <c r="C80" s="229"/>
      <c r="D80" s="232"/>
      <c r="E80" s="235"/>
      <c r="F80" s="16">
        <v>55</v>
      </c>
      <c r="G80" s="34"/>
      <c r="H80" s="39"/>
      <c r="I80" s="39"/>
      <c r="J80" s="39"/>
      <c r="K80" s="39"/>
      <c r="L80" s="39"/>
      <c r="M80" s="39"/>
      <c r="N80" s="39"/>
      <c r="O80" s="39"/>
      <c r="P80" s="35"/>
      <c r="Q80" s="18"/>
      <c r="R80" s="34"/>
      <c r="S80" s="39"/>
      <c r="T80" s="39"/>
      <c r="U80" s="39"/>
      <c r="V80" s="39"/>
      <c r="W80" s="39"/>
      <c r="X80" s="39"/>
      <c r="Y80" s="39"/>
      <c r="Z80" s="39"/>
      <c r="AA80" s="35"/>
      <c r="AB80" s="50" t="e">
        <f t="shared" si="3"/>
        <v>#DIV/0!</v>
      </c>
      <c r="AC80" s="51" t="e">
        <f t="shared" si="4"/>
        <v>#DIV/0!</v>
      </c>
      <c r="AD80" s="19"/>
      <c r="AE80" s="19"/>
      <c r="AF80" s="285" t="s">
        <v>128</v>
      </c>
      <c r="AG80" s="240" t="e" cm="1">
        <f t="array" ref="AG80">bdRateExtend($G78:$G81,G78:G81,$R78:$R81,R78:R81)</f>
        <v>#VALUE!</v>
      </c>
      <c r="AH80" s="242"/>
      <c r="AI80" s="242"/>
      <c r="AJ80" s="245"/>
      <c r="AK80" s="240" t="e" cm="1">
        <f t="array" ref="AK80">bdRateExtend($G78:$G81,K78:K81,$R78:$R81,V78:V81)</f>
        <v>#VALUE!</v>
      </c>
      <c r="AL80" s="249"/>
      <c r="AM80" s="240" t="e" cm="1">
        <f t="array" ref="AM80">bdRateExtend($G78:$G81,L78:L81,$R78:$R81,W78:W81)</f>
        <v>#VALUE!</v>
      </c>
      <c r="AN80" s="249"/>
      <c r="AO80" s="252" t="e" cm="1">
        <f t="array" ref="AO80">bdRateExtend($G78:$G81,M78:M81,$R78:$R81,X78:X81)</f>
        <v>#VALUE!</v>
      </c>
      <c r="AP80" s="249"/>
    </row>
    <row r="81" spans="1:42" ht="17.100000000000001" customHeight="1" outlineLevel="4" thickBot="1" x14ac:dyDescent="0.3">
      <c r="A81" s="222"/>
      <c r="B81" s="220"/>
      <c r="C81" s="230"/>
      <c r="D81" s="233"/>
      <c r="E81" s="236"/>
      <c r="F81" s="9">
        <v>63</v>
      </c>
      <c r="G81" s="36"/>
      <c r="H81" s="37"/>
      <c r="I81" s="37"/>
      <c r="J81" s="37"/>
      <c r="K81" s="37"/>
      <c r="L81" s="37"/>
      <c r="M81" s="37"/>
      <c r="N81" s="37"/>
      <c r="O81" s="37"/>
      <c r="P81" s="38"/>
      <c r="Q81" s="18"/>
      <c r="R81" s="36"/>
      <c r="S81" s="37"/>
      <c r="T81" s="37"/>
      <c r="U81" s="37"/>
      <c r="V81" s="37"/>
      <c r="W81" s="37"/>
      <c r="X81" s="37"/>
      <c r="Y81" s="37"/>
      <c r="Z81" s="37"/>
      <c r="AA81" s="38"/>
      <c r="AB81" s="52" t="e">
        <f t="shared" si="3"/>
        <v>#DIV/0!</v>
      </c>
      <c r="AC81" s="53" t="e">
        <f t="shared" si="4"/>
        <v>#DIV/0!</v>
      </c>
      <c r="AD81" s="19"/>
      <c r="AE81" s="19"/>
      <c r="AF81" s="286"/>
      <c r="AG81" s="247"/>
      <c r="AH81" s="243"/>
      <c r="AI81" s="243"/>
      <c r="AJ81" s="246"/>
      <c r="AK81" s="247"/>
      <c r="AL81" s="250"/>
      <c r="AM81" s="247"/>
      <c r="AN81" s="250"/>
      <c r="AO81" s="253"/>
      <c r="AP81" s="250"/>
    </row>
    <row r="82" spans="1:42" ht="17.100000000000001" customHeight="1" outlineLevel="4" x14ac:dyDescent="0.25">
      <c r="A82" s="222"/>
      <c r="B82" s="218" t="s">
        <v>2</v>
      </c>
      <c r="C82" s="228" t="s">
        <v>50</v>
      </c>
      <c r="D82" s="231">
        <v>59.94</v>
      </c>
      <c r="E82" s="234">
        <v>10</v>
      </c>
      <c r="F82" s="7">
        <v>23</v>
      </c>
      <c r="G82" s="31"/>
      <c r="H82" s="32"/>
      <c r="I82" s="32"/>
      <c r="J82" s="32"/>
      <c r="K82" s="32"/>
      <c r="L82" s="32"/>
      <c r="M82" s="32"/>
      <c r="N82" s="32"/>
      <c r="O82" s="32"/>
      <c r="P82" s="33"/>
      <c r="Q82" s="18"/>
      <c r="R82" s="31"/>
      <c r="S82" s="32"/>
      <c r="T82" s="32"/>
      <c r="U82" s="32"/>
      <c r="V82" s="32"/>
      <c r="W82" s="32"/>
      <c r="X82" s="32"/>
      <c r="Y82" s="32"/>
      <c r="Z82" s="32"/>
      <c r="AA82" s="33"/>
      <c r="AB82" s="48" t="e">
        <f t="shared" si="3"/>
        <v>#DIV/0!</v>
      </c>
      <c r="AC82" s="49" t="e">
        <f t="shared" si="4"/>
        <v>#DIV/0!</v>
      </c>
      <c r="AD82" s="19"/>
      <c r="AE82" s="19"/>
      <c r="AF82" s="284" t="s">
        <v>126</v>
      </c>
      <c r="AG82" s="239" t="e" cm="1">
        <f t="array" ref="AG82">bdRateExtend($G82:$G85,G82:G85,$R82:$R85,R82:R85)</f>
        <v>#VALUE!</v>
      </c>
      <c r="AH82" s="241" t="e" cm="1">
        <f t="array" ref="AH82">bdRateExtend($G82:$G87,H82:H87,$R82:$R87,S82:S87)</f>
        <v>#VALUE!</v>
      </c>
      <c r="AI82" s="241" t="e" cm="1">
        <f t="array" ref="AI82">bdRateExtend($G82:$G87,I82:I87,$R82:$R87,T82:T87)</f>
        <v>#VALUE!</v>
      </c>
      <c r="AJ82" s="244" t="e" cm="1">
        <f t="array" ref="AJ82">bdRateExtend($G82:$G87,J82:J87,$R82:$R87,U82:U87)</f>
        <v>#VALUE!</v>
      </c>
      <c r="AK82" s="239" t="e" cm="1">
        <f t="array" ref="AK82">bdRateExtend($G82:$G85,K82:K85,$R82:$R85,V82:V85)</f>
        <v>#VALUE!</v>
      </c>
      <c r="AL82" s="248" t="e" cm="1">
        <f t="array" ref="AL82">bdRateExtend($G82:$G87,K82:K87,$R82:$R87,V82:V87)</f>
        <v>#VALUE!</v>
      </c>
      <c r="AM82" s="239" t="e" cm="1">
        <f t="array" ref="AM82">bdRateExtend($G82:$G85,L82:L85,$R82:$R85,W82:W85)</f>
        <v>#VALUE!</v>
      </c>
      <c r="AN82" s="248" t="e" cm="1">
        <f t="array" ref="AN82">bdRateExtend($G82:$G87,L82:L87,$R82:$R87,W82:W87)</f>
        <v>#VALUE!</v>
      </c>
      <c r="AO82" s="254" t="e" cm="1">
        <f t="array" ref="AO82">bdRateExtend($G82:$G85,M82:M85,$R82:$R85,X82:X85)</f>
        <v>#VALUE!</v>
      </c>
      <c r="AP82" s="248" t="e" cm="1">
        <f t="array" ref="AP82">bdRateExtend($G82:$G87,M82:M87,$R82:$R87,X82:X87)</f>
        <v>#VALUE!</v>
      </c>
    </row>
    <row r="83" spans="1:42" ht="17.100000000000001" customHeight="1" outlineLevel="4" x14ac:dyDescent="0.25">
      <c r="A83" s="222"/>
      <c r="B83" s="219"/>
      <c r="C83" s="229"/>
      <c r="D83" s="232"/>
      <c r="E83" s="235"/>
      <c r="F83" s="16">
        <v>31</v>
      </c>
      <c r="G83" s="34"/>
      <c r="H83" s="39"/>
      <c r="I83" s="39"/>
      <c r="J83" s="39"/>
      <c r="K83" s="39"/>
      <c r="L83" s="39"/>
      <c r="M83" s="39"/>
      <c r="N83" s="39"/>
      <c r="O83" s="39"/>
      <c r="P83" s="35"/>
      <c r="Q83" s="18"/>
      <c r="R83" s="34"/>
      <c r="S83" s="39"/>
      <c r="T83" s="39"/>
      <c r="U83" s="39"/>
      <c r="V83" s="39"/>
      <c r="W83" s="39"/>
      <c r="X83" s="39"/>
      <c r="Y83" s="39"/>
      <c r="Z83" s="39"/>
      <c r="AA83" s="35"/>
      <c r="AB83" s="50" t="e">
        <f t="shared" si="3"/>
        <v>#DIV/0!</v>
      </c>
      <c r="AC83" s="51" t="e">
        <f t="shared" si="4"/>
        <v>#DIV/0!</v>
      </c>
      <c r="AD83" s="19"/>
      <c r="AE83" s="19"/>
      <c r="AF83" s="285"/>
      <c r="AG83" s="240"/>
      <c r="AH83" s="242"/>
      <c r="AI83" s="242"/>
      <c r="AJ83" s="245"/>
      <c r="AK83" s="240"/>
      <c r="AL83" s="249"/>
      <c r="AM83" s="240"/>
      <c r="AN83" s="249"/>
      <c r="AO83" s="252"/>
      <c r="AP83" s="249"/>
    </row>
    <row r="84" spans="1:42" ht="17.100000000000001" customHeight="1" outlineLevel="4" x14ac:dyDescent="0.25">
      <c r="A84" s="222"/>
      <c r="B84" s="219"/>
      <c r="C84" s="229"/>
      <c r="D84" s="232"/>
      <c r="E84" s="235"/>
      <c r="F84" s="16">
        <v>39</v>
      </c>
      <c r="G84" s="34"/>
      <c r="H84" s="39"/>
      <c r="I84" s="39"/>
      <c r="J84" s="39"/>
      <c r="K84" s="39"/>
      <c r="L84" s="39"/>
      <c r="M84" s="39"/>
      <c r="N84" s="39"/>
      <c r="O84" s="39"/>
      <c r="P84" s="35"/>
      <c r="Q84" s="18"/>
      <c r="R84" s="34"/>
      <c r="S84" s="39"/>
      <c r="T84" s="39"/>
      <c r="U84" s="39"/>
      <c r="V84" s="39"/>
      <c r="W84" s="39"/>
      <c r="X84" s="39"/>
      <c r="Y84" s="39"/>
      <c r="Z84" s="39"/>
      <c r="AA84" s="35"/>
      <c r="AB84" s="50" t="e">
        <f t="shared" si="3"/>
        <v>#DIV/0!</v>
      </c>
      <c r="AC84" s="51" t="e">
        <f t="shared" si="4"/>
        <v>#DIV/0!</v>
      </c>
      <c r="AD84" s="19"/>
      <c r="AE84" s="19"/>
      <c r="AF84" s="285" t="s">
        <v>127</v>
      </c>
      <c r="AG84" s="240" t="e" cm="1">
        <f t="array" ref="AG84">bdRateExtend($G83:$G86,G83:G86,$R83:$R86,R83:R86)</f>
        <v>#VALUE!</v>
      </c>
      <c r="AH84" s="242"/>
      <c r="AI84" s="242"/>
      <c r="AJ84" s="245"/>
      <c r="AK84" s="240" t="e" cm="1">
        <f t="array" ref="AK84">bdRateExtend($G83:$G86,K83:K86,$R83:$R86,V83:V86)</f>
        <v>#VALUE!</v>
      </c>
      <c r="AL84" s="249"/>
      <c r="AM84" s="240" t="e" cm="1">
        <f t="array" ref="AM84">bdRateExtend($G83:$G86,L83:L86,$R83:$R86,W83:W86)</f>
        <v>#VALUE!</v>
      </c>
      <c r="AN84" s="249"/>
      <c r="AO84" s="252" t="e" cm="1">
        <f t="array" ref="AO84">bdRateExtend($G83:$G86,M83:M86,$R83:$R86,X83:X86)</f>
        <v>#VALUE!</v>
      </c>
      <c r="AP84" s="249"/>
    </row>
    <row r="85" spans="1:42" ht="17.100000000000001" customHeight="1" outlineLevel="4" x14ac:dyDescent="0.25">
      <c r="A85" s="222"/>
      <c r="B85" s="219"/>
      <c r="C85" s="229"/>
      <c r="D85" s="232"/>
      <c r="E85" s="235"/>
      <c r="F85" s="16">
        <v>47</v>
      </c>
      <c r="G85" s="34"/>
      <c r="H85" s="39"/>
      <c r="I85" s="39"/>
      <c r="J85" s="39"/>
      <c r="K85" s="39"/>
      <c r="L85" s="39"/>
      <c r="M85" s="39"/>
      <c r="N85" s="39"/>
      <c r="O85" s="39"/>
      <c r="P85" s="35"/>
      <c r="Q85" s="18"/>
      <c r="R85" s="34"/>
      <c r="S85" s="39"/>
      <c r="T85" s="39"/>
      <c r="U85" s="39"/>
      <c r="V85" s="39"/>
      <c r="W85" s="39"/>
      <c r="X85" s="39"/>
      <c r="Y85" s="39"/>
      <c r="Z85" s="39"/>
      <c r="AA85" s="35"/>
      <c r="AB85" s="50" t="e">
        <f t="shared" si="3"/>
        <v>#DIV/0!</v>
      </c>
      <c r="AC85" s="51" t="e">
        <f t="shared" si="4"/>
        <v>#DIV/0!</v>
      </c>
      <c r="AD85" s="19"/>
      <c r="AE85" s="19"/>
      <c r="AF85" s="285"/>
      <c r="AG85" s="240"/>
      <c r="AH85" s="242"/>
      <c r="AI85" s="242"/>
      <c r="AJ85" s="245"/>
      <c r="AK85" s="240"/>
      <c r="AL85" s="249"/>
      <c r="AM85" s="240"/>
      <c r="AN85" s="249"/>
      <c r="AO85" s="252"/>
      <c r="AP85" s="249"/>
    </row>
    <row r="86" spans="1:42" ht="17.100000000000001" customHeight="1" outlineLevel="4" x14ac:dyDescent="0.25">
      <c r="A86" s="222"/>
      <c r="B86" s="219"/>
      <c r="C86" s="229"/>
      <c r="D86" s="232"/>
      <c r="E86" s="235"/>
      <c r="F86" s="16">
        <v>55</v>
      </c>
      <c r="G86" s="34"/>
      <c r="H86" s="39"/>
      <c r="I86" s="39"/>
      <c r="J86" s="39"/>
      <c r="K86" s="39"/>
      <c r="L86" s="39"/>
      <c r="M86" s="39"/>
      <c r="N86" s="39"/>
      <c r="O86" s="39"/>
      <c r="P86" s="35"/>
      <c r="Q86" s="18"/>
      <c r="R86" s="34"/>
      <c r="S86" s="39"/>
      <c r="T86" s="39"/>
      <c r="U86" s="39"/>
      <c r="V86" s="39"/>
      <c r="W86" s="39"/>
      <c r="X86" s="39"/>
      <c r="Y86" s="39"/>
      <c r="Z86" s="39"/>
      <c r="AA86" s="35"/>
      <c r="AB86" s="50" t="e">
        <f t="shared" si="3"/>
        <v>#DIV/0!</v>
      </c>
      <c r="AC86" s="51" t="e">
        <f t="shared" si="4"/>
        <v>#DIV/0!</v>
      </c>
      <c r="AD86" s="19"/>
      <c r="AE86" s="19"/>
      <c r="AF86" s="285" t="s">
        <v>128</v>
      </c>
      <c r="AG86" s="240" t="e" cm="1">
        <f t="array" ref="AG86">bdRateExtend($G84:$G87,G84:G87,$R84:$R87,R84:R87)</f>
        <v>#VALUE!</v>
      </c>
      <c r="AH86" s="242"/>
      <c r="AI86" s="242"/>
      <c r="AJ86" s="245"/>
      <c r="AK86" s="240" t="e" cm="1">
        <f t="array" ref="AK86">bdRateExtend($G84:$G87,K84:K87,$R84:$R87,V84:V87)</f>
        <v>#VALUE!</v>
      </c>
      <c r="AL86" s="249"/>
      <c r="AM86" s="240" t="e" cm="1">
        <f t="array" ref="AM86">bdRateExtend($G84:$G87,L84:L87,$R84:$R87,W84:W87)</f>
        <v>#VALUE!</v>
      </c>
      <c r="AN86" s="249"/>
      <c r="AO86" s="252" t="e" cm="1">
        <f t="array" ref="AO86">bdRateExtend($G84:$G87,M84:M87,$R84:$R87,X84:X87)</f>
        <v>#VALUE!</v>
      </c>
      <c r="AP86" s="249"/>
    </row>
    <row r="87" spans="1:42" ht="17.100000000000001" customHeight="1" outlineLevel="4" thickBot="1" x14ac:dyDescent="0.3">
      <c r="A87" s="222"/>
      <c r="B87" s="220"/>
      <c r="C87" s="230"/>
      <c r="D87" s="233"/>
      <c r="E87" s="236"/>
      <c r="F87" s="9">
        <v>63</v>
      </c>
      <c r="G87" s="36"/>
      <c r="H87" s="37"/>
      <c r="I87" s="37"/>
      <c r="J87" s="37"/>
      <c r="K87" s="37"/>
      <c r="L87" s="37"/>
      <c r="M87" s="37"/>
      <c r="N87" s="37"/>
      <c r="O87" s="37"/>
      <c r="P87" s="38"/>
      <c r="Q87" s="18"/>
      <c r="R87" s="36"/>
      <c r="S87" s="37"/>
      <c r="T87" s="37"/>
      <c r="U87" s="37"/>
      <c r="V87" s="37"/>
      <c r="W87" s="37"/>
      <c r="X87" s="37"/>
      <c r="Y87" s="37"/>
      <c r="Z87" s="37"/>
      <c r="AA87" s="38"/>
      <c r="AB87" s="52" t="e">
        <f t="shared" si="3"/>
        <v>#DIV/0!</v>
      </c>
      <c r="AC87" s="53" t="e">
        <f t="shared" si="4"/>
        <v>#DIV/0!</v>
      </c>
      <c r="AD87" s="19"/>
      <c r="AE87" s="19"/>
      <c r="AF87" s="286"/>
      <c r="AG87" s="247"/>
      <c r="AH87" s="243"/>
      <c r="AI87" s="243"/>
      <c r="AJ87" s="246"/>
      <c r="AK87" s="247"/>
      <c r="AL87" s="250"/>
      <c r="AM87" s="247"/>
      <c r="AN87" s="250"/>
      <c r="AO87" s="253"/>
      <c r="AP87" s="250"/>
    </row>
    <row r="88" spans="1:42" ht="17.100000000000001" customHeight="1" outlineLevel="4" x14ac:dyDescent="0.25">
      <c r="A88" s="222"/>
      <c r="B88" s="218" t="s">
        <v>94</v>
      </c>
      <c r="C88" s="228" t="s">
        <v>51</v>
      </c>
      <c r="D88" s="231">
        <v>29.97</v>
      </c>
      <c r="E88" s="234" t="s">
        <v>23</v>
      </c>
      <c r="F88" s="7">
        <v>23</v>
      </c>
      <c r="G88" s="31"/>
      <c r="H88" s="32"/>
      <c r="I88" s="32"/>
      <c r="J88" s="32"/>
      <c r="K88" s="32"/>
      <c r="L88" s="32"/>
      <c r="M88" s="32"/>
      <c r="N88" s="32"/>
      <c r="O88" s="32"/>
      <c r="P88" s="33"/>
      <c r="Q88" s="18"/>
      <c r="R88" s="31"/>
      <c r="S88" s="32"/>
      <c r="T88" s="32"/>
      <c r="U88" s="32"/>
      <c r="V88" s="32"/>
      <c r="W88" s="32"/>
      <c r="X88" s="32"/>
      <c r="Y88" s="32"/>
      <c r="Z88" s="32"/>
      <c r="AA88" s="33"/>
      <c r="AB88" s="48" t="e">
        <f t="shared" si="3"/>
        <v>#DIV/0!</v>
      </c>
      <c r="AC88" s="49" t="e">
        <f t="shared" si="4"/>
        <v>#DIV/0!</v>
      </c>
      <c r="AD88" s="19"/>
      <c r="AE88" s="19"/>
      <c r="AF88" s="284" t="s">
        <v>126</v>
      </c>
      <c r="AG88" s="239" t="e" cm="1">
        <f t="array" ref="AG88">bdRateExtend($G88:$G91,G88:G91,$R88:$R91,R88:R91)</f>
        <v>#VALUE!</v>
      </c>
      <c r="AH88" s="241" t="e" cm="1">
        <f t="array" ref="AH88">bdRateExtend($G88:$G93,H88:H93,$R88:$R93,S88:S93)</f>
        <v>#VALUE!</v>
      </c>
      <c r="AI88" s="241" t="e" cm="1">
        <f t="array" ref="AI88">bdRateExtend($G88:$G93,I88:I93,$R88:$R93,T88:T93)</f>
        <v>#VALUE!</v>
      </c>
      <c r="AJ88" s="244" t="e" cm="1">
        <f t="array" ref="AJ88">bdRateExtend($G88:$G93,J88:J93,$R88:$R93,U88:U93)</f>
        <v>#VALUE!</v>
      </c>
      <c r="AK88" s="239" t="e" cm="1">
        <f t="array" ref="AK88">bdRateExtend($G88:$G91,K88:K91,$R88:$R91,V88:V91)</f>
        <v>#VALUE!</v>
      </c>
      <c r="AL88" s="248" t="e" cm="1">
        <f t="array" ref="AL88">bdRateExtend($G88:$G93,K88:K93,$R88:$R93,V88:V93)</f>
        <v>#VALUE!</v>
      </c>
      <c r="AM88" s="239" t="e" cm="1">
        <f t="array" ref="AM88">bdRateExtend($G88:$G91,L88:L91,$R88:$R91,W88:W91)</f>
        <v>#VALUE!</v>
      </c>
      <c r="AN88" s="248" t="e" cm="1">
        <f t="array" ref="AN88">bdRateExtend($G88:$G93,L88:L93,$R88:$R93,W88:W93)</f>
        <v>#VALUE!</v>
      </c>
      <c r="AO88" s="254" t="e" cm="1">
        <f t="array" ref="AO88">bdRateExtend($G88:$G91,M88:M91,$R88:$R91,X88:X91)</f>
        <v>#VALUE!</v>
      </c>
      <c r="AP88" s="248" t="e" cm="1">
        <f t="array" ref="AP88">bdRateExtend($G88:$G93,M88:M93,$R88:$R93,X88:X93)</f>
        <v>#VALUE!</v>
      </c>
    </row>
    <row r="89" spans="1:42" ht="17.100000000000001" customHeight="1" outlineLevel="4" x14ac:dyDescent="0.25">
      <c r="A89" s="222"/>
      <c r="B89" s="219"/>
      <c r="C89" s="229"/>
      <c r="D89" s="232"/>
      <c r="E89" s="235"/>
      <c r="F89" s="16">
        <v>31</v>
      </c>
      <c r="G89" s="34"/>
      <c r="H89" s="39"/>
      <c r="I89" s="39"/>
      <c r="J89" s="39"/>
      <c r="K89" s="39"/>
      <c r="L89" s="39"/>
      <c r="M89" s="39"/>
      <c r="N89" s="39"/>
      <c r="O89" s="39"/>
      <c r="P89" s="35"/>
      <c r="Q89" s="18"/>
      <c r="R89" s="34"/>
      <c r="S89" s="39"/>
      <c r="T89" s="39"/>
      <c r="U89" s="39"/>
      <c r="V89" s="39"/>
      <c r="W89" s="39"/>
      <c r="X89" s="39"/>
      <c r="Y89" s="39"/>
      <c r="Z89" s="39"/>
      <c r="AA89" s="35"/>
      <c r="AB89" s="50" t="e">
        <f t="shared" si="3"/>
        <v>#DIV/0!</v>
      </c>
      <c r="AC89" s="51" t="e">
        <f t="shared" si="4"/>
        <v>#DIV/0!</v>
      </c>
      <c r="AD89" s="19"/>
      <c r="AE89" s="19"/>
      <c r="AF89" s="285"/>
      <c r="AG89" s="240"/>
      <c r="AH89" s="242"/>
      <c r="AI89" s="242"/>
      <c r="AJ89" s="245"/>
      <c r="AK89" s="240"/>
      <c r="AL89" s="249"/>
      <c r="AM89" s="240"/>
      <c r="AN89" s="249"/>
      <c r="AO89" s="252"/>
      <c r="AP89" s="249"/>
    </row>
    <row r="90" spans="1:42" ht="17.100000000000001" customHeight="1" outlineLevel="4" x14ac:dyDescent="0.25">
      <c r="A90" s="222"/>
      <c r="B90" s="219"/>
      <c r="C90" s="229"/>
      <c r="D90" s="232"/>
      <c r="E90" s="235"/>
      <c r="F90" s="16">
        <v>39</v>
      </c>
      <c r="G90" s="34"/>
      <c r="H90" s="39"/>
      <c r="I90" s="39"/>
      <c r="J90" s="39"/>
      <c r="K90" s="39"/>
      <c r="L90" s="39"/>
      <c r="M90" s="39"/>
      <c r="N90" s="39"/>
      <c r="O90" s="39"/>
      <c r="P90" s="35"/>
      <c r="Q90" s="18"/>
      <c r="R90" s="34"/>
      <c r="S90" s="39"/>
      <c r="T90" s="39"/>
      <c r="U90" s="39"/>
      <c r="V90" s="39"/>
      <c r="W90" s="39"/>
      <c r="X90" s="39"/>
      <c r="Y90" s="39"/>
      <c r="Z90" s="39"/>
      <c r="AA90" s="35"/>
      <c r="AB90" s="50" t="e">
        <f t="shared" ref="AB90:AC117" si="5">Y90/N90</f>
        <v>#DIV/0!</v>
      </c>
      <c r="AC90" s="51" t="e">
        <f t="shared" si="5"/>
        <v>#DIV/0!</v>
      </c>
      <c r="AD90" s="19"/>
      <c r="AE90" s="19"/>
      <c r="AF90" s="285" t="s">
        <v>127</v>
      </c>
      <c r="AG90" s="240" t="e" cm="1">
        <f t="array" ref="AG90">bdRateExtend($G89:$G92,G89:G92,$R89:$R92,R89:R92)</f>
        <v>#VALUE!</v>
      </c>
      <c r="AH90" s="242"/>
      <c r="AI90" s="242"/>
      <c r="AJ90" s="245"/>
      <c r="AK90" s="240" t="e" cm="1">
        <f t="array" ref="AK90">bdRateExtend($G89:$G92,K89:K92,$R89:$R92,V89:V92)</f>
        <v>#VALUE!</v>
      </c>
      <c r="AL90" s="249"/>
      <c r="AM90" s="240" t="e" cm="1">
        <f t="array" ref="AM90">bdRateExtend($G89:$G92,L89:L92,$R89:$R92,W89:W92)</f>
        <v>#VALUE!</v>
      </c>
      <c r="AN90" s="249"/>
      <c r="AO90" s="252" t="e" cm="1">
        <f t="array" ref="AO90">bdRateExtend($G89:$G92,M89:M92,$R89:$R92,X89:X92)</f>
        <v>#VALUE!</v>
      </c>
      <c r="AP90" s="249"/>
    </row>
    <row r="91" spans="1:42" ht="17.100000000000001" customHeight="1" outlineLevel="4" x14ac:dyDescent="0.25">
      <c r="A91" s="222"/>
      <c r="B91" s="219"/>
      <c r="C91" s="229"/>
      <c r="D91" s="232"/>
      <c r="E91" s="235"/>
      <c r="F91" s="16">
        <v>47</v>
      </c>
      <c r="G91" s="34"/>
      <c r="H91" s="39"/>
      <c r="I91" s="39"/>
      <c r="J91" s="39"/>
      <c r="K91" s="39"/>
      <c r="L91" s="39"/>
      <c r="M91" s="39"/>
      <c r="N91" s="39"/>
      <c r="O91" s="39"/>
      <c r="P91" s="35"/>
      <c r="Q91" s="18"/>
      <c r="R91" s="34"/>
      <c r="S91" s="39"/>
      <c r="T91" s="39"/>
      <c r="U91" s="39"/>
      <c r="V91" s="39"/>
      <c r="W91" s="39"/>
      <c r="X91" s="39"/>
      <c r="Y91" s="39"/>
      <c r="Z91" s="39"/>
      <c r="AA91" s="35"/>
      <c r="AB91" s="50" t="e">
        <f t="shared" si="5"/>
        <v>#DIV/0!</v>
      </c>
      <c r="AC91" s="51" t="e">
        <f t="shared" si="5"/>
        <v>#DIV/0!</v>
      </c>
      <c r="AD91" s="19"/>
      <c r="AE91" s="19"/>
      <c r="AF91" s="285"/>
      <c r="AG91" s="240"/>
      <c r="AH91" s="242"/>
      <c r="AI91" s="242"/>
      <c r="AJ91" s="245"/>
      <c r="AK91" s="240"/>
      <c r="AL91" s="249"/>
      <c r="AM91" s="240"/>
      <c r="AN91" s="249"/>
      <c r="AO91" s="252"/>
      <c r="AP91" s="249"/>
    </row>
    <row r="92" spans="1:42" ht="17.100000000000001" customHeight="1" outlineLevel="4" x14ac:dyDescent="0.25">
      <c r="A92" s="222"/>
      <c r="B92" s="219"/>
      <c r="C92" s="229"/>
      <c r="D92" s="232"/>
      <c r="E92" s="235"/>
      <c r="F92" s="16">
        <v>55</v>
      </c>
      <c r="G92" s="34"/>
      <c r="H92" s="39"/>
      <c r="I92" s="39"/>
      <c r="J92" s="39"/>
      <c r="K92" s="39"/>
      <c r="L92" s="39"/>
      <c r="M92" s="39"/>
      <c r="N92" s="39"/>
      <c r="O92" s="39"/>
      <c r="P92" s="35"/>
      <c r="Q92" s="18"/>
      <c r="R92" s="34"/>
      <c r="S92" s="39"/>
      <c r="T92" s="39"/>
      <c r="U92" s="39"/>
      <c r="V92" s="39"/>
      <c r="W92" s="39"/>
      <c r="X92" s="39"/>
      <c r="Y92" s="39"/>
      <c r="Z92" s="39"/>
      <c r="AA92" s="35"/>
      <c r="AB92" s="50" t="e">
        <f t="shared" si="5"/>
        <v>#DIV/0!</v>
      </c>
      <c r="AC92" s="51" t="e">
        <f t="shared" si="5"/>
        <v>#DIV/0!</v>
      </c>
      <c r="AD92" s="19"/>
      <c r="AE92" s="19"/>
      <c r="AF92" s="285" t="s">
        <v>128</v>
      </c>
      <c r="AG92" s="240" t="e" cm="1">
        <f t="array" ref="AG92">bdRateExtend($G90:$G93,G90:G93,$R90:$R93,R90:R93)</f>
        <v>#VALUE!</v>
      </c>
      <c r="AH92" s="242"/>
      <c r="AI92" s="242"/>
      <c r="AJ92" s="245"/>
      <c r="AK92" s="240" t="e" cm="1">
        <f t="array" ref="AK92">bdRateExtend($G90:$G93,K90:K93,$R90:$R93,V90:V93)</f>
        <v>#VALUE!</v>
      </c>
      <c r="AL92" s="249"/>
      <c r="AM92" s="240" t="e" cm="1">
        <f t="array" ref="AM92">bdRateExtend($G90:$G93,L90:L93,$R90:$R93,W90:W93)</f>
        <v>#VALUE!</v>
      </c>
      <c r="AN92" s="249"/>
      <c r="AO92" s="252" t="e" cm="1">
        <f t="array" ref="AO92">bdRateExtend($G90:$G93,M90:M93,$R90:$R93,X90:X93)</f>
        <v>#VALUE!</v>
      </c>
      <c r="AP92" s="249"/>
    </row>
    <row r="93" spans="1:42" ht="17.100000000000001" customHeight="1" outlineLevel="4" thickBot="1" x14ac:dyDescent="0.3">
      <c r="A93" s="222"/>
      <c r="B93" s="220"/>
      <c r="C93" s="230"/>
      <c r="D93" s="233"/>
      <c r="E93" s="236"/>
      <c r="F93" s="9">
        <v>63</v>
      </c>
      <c r="G93" s="36"/>
      <c r="H93" s="37"/>
      <c r="I93" s="37"/>
      <c r="J93" s="37"/>
      <c r="K93" s="37"/>
      <c r="L93" s="37"/>
      <c r="M93" s="37"/>
      <c r="N93" s="37"/>
      <c r="O93" s="37"/>
      <c r="P93" s="38"/>
      <c r="Q93" s="18"/>
      <c r="R93" s="36"/>
      <c r="S93" s="37"/>
      <c r="T93" s="37"/>
      <c r="U93" s="37"/>
      <c r="V93" s="37"/>
      <c r="W93" s="37"/>
      <c r="X93" s="37"/>
      <c r="Y93" s="37"/>
      <c r="Z93" s="37"/>
      <c r="AA93" s="38"/>
      <c r="AB93" s="52" t="e">
        <f t="shared" si="5"/>
        <v>#DIV/0!</v>
      </c>
      <c r="AC93" s="53" t="e">
        <f t="shared" si="5"/>
        <v>#DIV/0!</v>
      </c>
      <c r="AD93" s="19"/>
      <c r="AE93" s="19"/>
      <c r="AF93" s="286"/>
      <c r="AG93" s="247"/>
      <c r="AH93" s="243"/>
      <c r="AI93" s="243"/>
      <c r="AJ93" s="246"/>
      <c r="AK93" s="247"/>
      <c r="AL93" s="250"/>
      <c r="AM93" s="247"/>
      <c r="AN93" s="250"/>
      <c r="AO93" s="253"/>
      <c r="AP93" s="250"/>
    </row>
    <row r="94" spans="1:42" ht="17.100000000000001" customHeight="1" outlineLevel="4" x14ac:dyDescent="0.25">
      <c r="A94" s="222"/>
      <c r="B94" s="218" t="s">
        <v>94</v>
      </c>
      <c r="C94" s="228" t="s">
        <v>52</v>
      </c>
      <c r="D94" s="231">
        <v>59.94</v>
      </c>
      <c r="E94" s="234" t="s">
        <v>23</v>
      </c>
      <c r="F94" s="7">
        <v>23</v>
      </c>
      <c r="G94" s="31"/>
      <c r="H94" s="32"/>
      <c r="I94" s="32"/>
      <c r="J94" s="32"/>
      <c r="K94" s="32"/>
      <c r="L94" s="32"/>
      <c r="M94" s="32"/>
      <c r="N94" s="32"/>
      <c r="O94" s="32"/>
      <c r="P94" s="33"/>
      <c r="Q94" s="18"/>
      <c r="R94" s="31"/>
      <c r="S94" s="32"/>
      <c r="T94" s="32"/>
      <c r="U94" s="32"/>
      <c r="V94" s="32"/>
      <c r="W94" s="32"/>
      <c r="X94" s="32"/>
      <c r="Y94" s="32"/>
      <c r="Z94" s="32"/>
      <c r="AA94" s="33"/>
      <c r="AB94" s="48" t="e">
        <f t="shared" si="5"/>
        <v>#DIV/0!</v>
      </c>
      <c r="AC94" s="49" t="e">
        <f t="shared" si="5"/>
        <v>#DIV/0!</v>
      </c>
      <c r="AD94" s="19"/>
      <c r="AE94" s="19"/>
      <c r="AF94" s="284" t="s">
        <v>126</v>
      </c>
      <c r="AG94" s="239" t="e" cm="1">
        <f t="array" ref="AG94">bdRateExtend($G94:$G97,G94:G97,$R94:$R97,R94:R97)</f>
        <v>#VALUE!</v>
      </c>
      <c r="AH94" s="241" t="e" cm="1">
        <f t="array" ref="AH94">bdRateExtend($G94:$G99,H94:H99,$R94:$R99,S94:S99)</f>
        <v>#VALUE!</v>
      </c>
      <c r="AI94" s="241" t="e" cm="1">
        <f t="array" ref="AI94">bdRateExtend($G94:$G99,I94:I99,$R94:$R99,T94:T99)</f>
        <v>#VALUE!</v>
      </c>
      <c r="AJ94" s="244" t="e" cm="1">
        <f t="array" ref="AJ94">bdRateExtend($G94:$G99,J94:J99,$R94:$R99,U94:U99)</f>
        <v>#VALUE!</v>
      </c>
      <c r="AK94" s="239" t="e" cm="1">
        <f t="array" ref="AK94">bdRateExtend($G94:$G97,K94:K97,$R94:$R97,V94:V97)</f>
        <v>#VALUE!</v>
      </c>
      <c r="AL94" s="248" t="e" cm="1">
        <f t="array" ref="AL94">bdRateExtend($G94:$G99,K94:K99,$R94:$R99,V94:V99)</f>
        <v>#VALUE!</v>
      </c>
      <c r="AM94" s="239" t="e" cm="1">
        <f t="array" ref="AM94">bdRateExtend($G94:$G97,L94:L97,$R94:$R97,W94:W97)</f>
        <v>#VALUE!</v>
      </c>
      <c r="AN94" s="248" t="e" cm="1">
        <f t="array" ref="AN94">bdRateExtend($G94:$G99,L94:L99,$R94:$R99,W94:W99)</f>
        <v>#VALUE!</v>
      </c>
      <c r="AO94" s="254" t="e" cm="1">
        <f t="array" ref="AO94">bdRateExtend($G94:$G97,M94:M97,$R94:$R97,X94:X97)</f>
        <v>#VALUE!</v>
      </c>
      <c r="AP94" s="248" t="e" cm="1">
        <f t="array" ref="AP94">bdRateExtend($G94:$G99,M94:M99,$R94:$R99,X94:X99)</f>
        <v>#VALUE!</v>
      </c>
    </row>
    <row r="95" spans="1:42" ht="17.100000000000001" customHeight="1" outlineLevel="4" x14ac:dyDescent="0.25">
      <c r="A95" s="222"/>
      <c r="B95" s="219"/>
      <c r="C95" s="229"/>
      <c r="D95" s="232"/>
      <c r="E95" s="235"/>
      <c r="F95" s="16">
        <v>31</v>
      </c>
      <c r="G95" s="34"/>
      <c r="H95" s="39"/>
      <c r="I95" s="39"/>
      <c r="J95" s="39"/>
      <c r="K95" s="39"/>
      <c r="L95" s="39"/>
      <c r="M95" s="39"/>
      <c r="N95" s="39"/>
      <c r="O95" s="39"/>
      <c r="P95" s="35"/>
      <c r="Q95" s="18"/>
      <c r="R95" s="34"/>
      <c r="S95" s="39"/>
      <c r="T95" s="39"/>
      <c r="U95" s="39"/>
      <c r="V95" s="39"/>
      <c r="W95" s="39"/>
      <c r="X95" s="39"/>
      <c r="Y95" s="39"/>
      <c r="Z95" s="39"/>
      <c r="AA95" s="35"/>
      <c r="AB95" s="50" t="e">
        <f t="shared" si="5"/>
        <v>#DIV/0!</v>
      </c>
      <c r="AC95" s="51" t="e">
        <f t="shared" si="5"/>
        <v>#DIV/0!</v>
      </c>
      <c r="AD95" s="19"/>
      <c r="AE95" s="19"/>
      <c r="AF95" s="285"/>
      <c r="AG95" s="240"/>
      <c r="AH95" s="242"/>
      <c r="AI95" s="242"/>
      <c r="AJ95" s="245"/>
      <c r="AK95" s="240"/>
      <c r="AL95" s="249"/>
      <c r="AM95" s="240"/>
      <c r="AN95" s="249"/>
      <c r="AO95" s="252"/>
      <c r="AP95" s="249"/>
    </row>
    <row r="96" spans="1:42" ht="17.100000000000001" customHeight="1" outlineLevel="4" x14ac:dyDescent="0.25">
      <c r="A96" s="222"/>
      <c r="B96" s="219"/>
      <c r="C96" s="229"/>
      <c r="D96" s="232"/>
      <c r="E96" s="235"/>
      <c r="F96" s="16">
        <v>39</v>
      </c>
      <c r="G96" s="34"/>
      <c r="H96" s="39"/>
      <c r="I96" s="39"/>
      <c r="J96" s="39"/>
      <c r="K96" s="39"/>
      <c r="L96" s="39"/>
      <c r="M96" s="39"/>
      <c r="N96" s="39"/>
      <c r="O96" s="39"/>
      <c r="P96" s="35"/>
      <c r="Q96" s="18"/>
      <c r="R96" s="34"/>
      <c r="S96" s="39"/>
      <c r="T96" s="39"/>
      <c r="U96" s="39"/>
      <c r="V96" s="39"/>
      <c r="W96" s="39"/>
      <c r="X96" s="39"/>
      <c r="Y96" s="39"/>
      <c r="Z96" s="39"/>
      <c r="AA96" s="35"/>
      <c r="AB96" s="50" t="e">
        <f t="shared" si="5"/>
        <v>#DIV/0!</v>
      </c>
      <c r="AC96" s="51" t="e">
        <f t="shared" si="5"/>
        <v>#DIV/0!</v>
      </c>
      <c r="AD96" s="19"/>
      <c r="AE96" s="19"/>
      <c r="AF96" s="285" t="s">
        <v>127</v>
      </c>
      <c r="AG96" s="240" t="e" cm="1">
        <f t="array" ref="AG96">bdRateExtend($G95:$G98,G95:G98,$R95:$R98,R95:R98)</f>
        <v>#VALUE!</v>
      </c>
      <c r="AH96" s="242"/>
      <c r="AI96" s="242"/>
      <c r="AJ96" s="245"/>
      <c r="AK96" s="240" t="e" cm="1">
        <f t="array" ref="AK96">bdRateExtend($G95:$G98,K95:K98,$R95:$R98,V95:V98)</f>
        <v>#VALUE!</v>
      </c>
      <c r="AL96" s="249"/>
      <c r="AM96" s="240" t="e" cm="1">
        <f t="array" ref="AM96">bdRateExtend($G95:$G98,L95:L98,$R95:$R98,W95:W98)</f>
        <v>#VALUE!</v>
      </c>
      <c r="AN96" s="249"/>
      <c r="AO96" s="252" t="e" cm="1">
        <f t="array" ref="AO96">bdRateExtend($G95:$G98,M95:M98,$R95:$R98,X95:X98)</f>
        <v>#VALUE!</v>
      </c>
      <c r="AP96" s="249"/>
    </row>
    <row r="97" spans="1:42" ht="17.100000000000001" customHeight="1" outlineLevel="4" x14ac:dyDescent="0.25">
      <c r="A97" s="222"/>
      <c r="B97" s="219"/>
      <c r="C97" s="229"/>
      <c r="D97" s="232"/>
      <c r="E97" s="235"/>
      <c r="F97" s="16">
        <v>47</v>
      </c>
      <c r="G97" s="34"/>
      <c r="H97" s="39"/>
      <c r="I97" s="39"/>
      <c r="J97" s="39"/>
      <c r="K97" s="39"/>
      <c r="L97" s="39"/>
      <c r="M97" s="39"/>
      <c r="N97" s="39"/>
      <c r="O97" s="39"/>
      <c r="P97" s="35"/>
      <c r="Q97" s="18"/>
      <c r="R97" s="34"/>
      <c r="S97" s="39"/>
      <c r="T97" s="39"/>
      <c r="U97" s="39"/>
      <c r="V97" s="39"/>
      <c r="W97" s="39"/>
      <c r="X97" s="39"/>
      <c r="Y97" s="39"/>
      <c r="Z97" s="39"/>
      <c r="AA97" s="35"/>
      <c r="AB97" s="50" t="e">
        <f t="shared" si="5"/>
        <v>#DIV/0!</v>
      </c>
      <c r="AC97" s="51" t="e">
        <f t="shared" si="5"/>
        <v>#DIV/0!</v>
      </c>
      <c r="AD97" s="19"/>
      <c r="AE97" s="19"/>
      <c r="AF97" s="285"/>
      <c r="AG97" s="240"/>
      <c r="AH97" s="242"/>
      <c r="AI97" s="242"/>
      <c r="AJ97" s="245"/>
      <c r="AK97" s="240"/>
      <c r="AL97" s="249"/>
      <c r="AM97" s="240"/>
      <c r="AN97" s="249"/>
      <c r="AO97" s="252"/>
      <c r="AP97" s="249"/>
    </row>
    <row r="98" spans="1:42" ht="17.100000000000001" customHeight="1" outlineLevel="4" x14ac:dyDescent="0.25">
      <c r="A98" s="222"/>
      <c r="B98" s="219"/>
      <c r="C98" s="229"/>
      <c r="D98" s="232"/>
      <c r="E98" s="235"/>
      <c r="F98" s="16">
        <v>55</v>
      </c>
      <c r="G98" s="34"/>
      <c r="H98" s="39"/>
      <c r="I98" s="39"/>
      <c r="J98" s="39"/>
      <c r="K98" s="39"/>
      <c r="L98" s="39"/>
      <c r="M98" s="39"/>
      <c r="N98" s="39"/>
      <c r="O98" s="39"/>
      <c r="P98" s="35"/>
      <c r="Q98" s="18"/>
      <c r="R98" s="34"/>
      <c r="S98" s="39"/>
      <c r="T98" s="39"/>
      <c r="U98" s="39"/>
      <c r="V98" s="39"/>
      <c r="W98" s="39"/>
      <c r="X98" s="39"/>
      <c r="Y98" s="39"/>
      <c r="Z98" s="39"/>
      <c r="AA98" s="35"/>
      <c r="AB98" s="50" t="e">
        <f t="shared" si="5"/>
        <v>#DIV/0!</v>
      </c>
      <c r="AC98" s="51" t="e">
        <f t="shared" si="5"/>
        <v>#DIV/0!</v>
      </c>
      <c r="AD98" s="19"/>
      <c r="AE98" s="19"/>
      <c r="AF98" s="285" t="s">
        <v>128</v>
      </c>
      <c r="AG98" s="240" t="e" cm="1">
        <f t="array" ref="AG98">bdRateExtend($G96:$G99,G96:G99,$R96:$R99,R96:R99)</f>
        <v>#VALUE!</v>
      </c>
      <c r="AH98" s="242"/>
      <c r="AI98" s="242"/>
      <c r="AJ98" s="245"/>
      <c r="AK98" s="240" t="e" cm="1">
        <f t="array" ref="AK98">bdRateExtend($G96:$G99,K96:K99,$R96:$R99,V96:V99)</f>
        <v>#VALUE!</v>
      </c>
      <c r="AL98" s="249"/>
      <c r="AM98" s="240" t="e" cm="1">
        <f t="array" ref="AM98">bdRateExtend($G96:$G99,L96:L99,$R96:$R99,W96:W99)</f>
        <v>#VALUE!</v>
      </c>
      <c r="AN98" s="249"/>
      <c r="AO98" s="252" t="e" cm="1">
        <f t="array" ref="AO98">bdRateExtend($G96:$G99,M96:M99,$R96:$R99,X96:X99)</f>
        <v>#VALUE!</v>
      </c>
      <c r="AP98" s="249"/>
    </row>
    <row r="99" spans="1:42" ht="17.100000000000001" customHeight="1" outlineLevel="4" thickBot="1" x14ac:dyDescent="0.3">
      <c r="A99" s="222"/>
      <c r="B99" s="220"/>
      <c r="C99" s="230"/>
      <c r="D99" s="233"/>
      <c r="E99" s="236"/>
      <c r="F99" s="9">
        <v>63</v>
      </c>
      <c r="G99" s="36"/>
      <c r="H99" s="37"/>
      <c r="I99" s="37"/>
      <c r="J99" s="37"/>
      <c r="K99" s="37"/>
      <c r="L99" s="37"/>
      <c r="M99" s="37"/>
      <c r="N99" s="37"/>
      <c r="O99" s="37"/>
      <c r="P99" s="38"/>
      <c r="Q99" s="18"/>
      <c r="R99" s="36"/>
      <c r="S99" s="37"/>
      <c r="T99" s="37"/>
      <c r="U99" s="37"/>
      <c r="V99" s="37"/>
      <c r="W99" s="37"/>
      <c r="X99" s="37"/>
      <c r="Y99" s="37"/>
      <c r="Z99" s="37"/>
      <c r="AA99" s="38"/>
      <c r="AB99" s="52" t="e">
        <f t="shared" si="5"/>
        <v>#DIV/0!</v>
      </c>
      <c r="AC99" s="53" t="e">
        <f t="shared" si="5"/>
        <v>#DIV/0!</v>
      </c>
      <c r="AD99" s="19"/>
      <c r="AE99" s="19"/>
      <c r="AF99" s="286"/>
      <c r="AG99" s="247"/>
      <c r="AH99" s="243"/>
      <c r="AI99" s="243"/>
      <c r="AJ99" s="246"/>
      <c r="AK99" s="247"/>
      <c r="AL99" s="250"/>
      <c r="AM99" s="247"/>
      <c r="AN99" s="250"/>
      <c r="AO99" s="253"/>
      <c r="AP99" s="250"/>
    </row>
    <row r="100" spans="1:42" ht="17.100000000000001" customHeight="1" outlineLevel="4" x14ac:dyDescent="0.25">
      <c r="A100" s="222"/>
      <c r="B100" s="218" t="s">
        <v>2</v>
      </c>
      <c r="C100" s="228" t="s">
        <v>53</v>
      </c>
      <c r="D100" s="231">
        <v>30</v>
      </c>
      <c r="E100" s="234" t="s">
        <v>23</v>
      </c>
      <c r="F100" s="7">
        <v>23</v>
      </c>
      <c r="G100" s="31"/>
      <c r="H100" s="32"/>
      <c r="I100" s="32"/>
      <c r="J100" s="32"/>
      <c r="K100" s="32"/>
      <c r="L100" s="32"/>
      <c r="M100" s="32"/>
      <c r="N100" s="32"/>
      <c r="O100" s="32"/>
      <c r="P100" s="33"/>
      <c r="Q100" s="18"/>
      <c r="R100" s="31"/>
      <c r="S100" s="32"/>
      <c r="T100" s="32"/>
      <c r="U100" s="32"/>
      <c r="V100" s="32"/>
      <c r="W100" s="32"/>
      <c r="X100" s="32"/>
      <c r="Y100" s="32"/>
      <c r="Z100" s="32"/>
      <c r="AA100" s="33"/>
      <c r="AB100" s="48" t="e">
        <f t="shared" si="5"/>
        <v>#DIV/0!</v>
      </c>
      <c r="AC100" s="49" t="e">
        <f t="shared" si="5"/>
        <v>#DIV/0!</v>
      </c>
      <c r="AD100" s="19"/>
      <c r="AE100" s="19"/>
      <c r="AF100" s="284" t="s">
        <v>126</v>
      </c>
      <c r="AG100" s="239" t="e" cm="1">
        <f t="array" ref="AG100">bdRateExtend($G100:$G103,G100:G103,$R100:$R103,R100:R103)</f>
        <v>#VALUE!</v>
      </c>
      <c r="AH100" s="241" t="e" cm="1">
        <f t="array" ref="AH100">bdRateExtend($G100:$G105,H100:H105,$R100:$R105,S100:S105)</f>
        <v>#VALUE!</v>
      </c>
      <c r="AI100" s="241" t="e" cm="1">
        <f t="array" ref="AI100">bdRateExtend($G100:$G105,I100:I105,$R100:$R105,T100:T105)</f>
        <v>#VALUE!</v>
      </c>
      <c r="AJ100" s="244" t="e" cm="1">
        <f t="array" ref="AJ100">bdRateExtend($G100:$G105,J100:J105,$R100:$R105,U100:U105)</f>
        <v>#VALUE!</v>
      </c>
      <c r="AK100" s="239" t="e" cm="1">
        <f t="array" ref="AK100">bdRateExtend($G100:$G103,K100:K103,$R100:$R103,V100:V103)</f>
        <v>#VALUE!</v>
      </c>
      <c r="AL100" s="248" t="e" cm="1">
        <f t="array" ref="AL100">bdRateExtend($G100:$G105,K100:K105,$R100:$R105,V100:V105)</f>
        <v>#VALUE!</v>
      </c>
      <c r="AM100" s="239" t="e" cm="1">
        <f t="array" ref="AM100">bdRateExtend($G100:$G103,L100:L103,$R100:$R103,W100:W103)</f>
        <v>#VALUE!</v>
      </c>
      <c r="AN100" s="248" t="e" cm="1">
        <f t="array" ref="AN100">bdRateExtend($G100:$G105,L100:L105,$R100:$R105,W100:W105)</f>
        <v>#VALUE!</v>
      </c>
      <c r="AO100" s="254" t="e" cm="1">
        <f t="array" ref="AO100">bdRateExtend($G100:$G103,M100:M103,$R100:$R103,X100:X103)</f>
        <v>#VALUE!</v>
      </c>
      <c r="AP100" s="248" t="e" cm="1">
        <f t="array" ref="AP100">bdRateExtend($G100:$G105,M100:M105,$R100:$R105,X100:X105)</f>
        <v>#VALUE!</v>
      </c>
    </row>
    <row r="101" spans="1:42" ht="17.100000000000001" customHeight="1" outlineLevel="4" x14ac:dyDescent="0.25">
      <c r="A101" s="222"/>
      <c r="B101" s="219"/>
      <c r="C101" s="229"/>
      <c r="D101" s="232"/>
      <c r="E101" s="235"/>
      <c r="F101" s="16">
        <v>31</v>
      </c>
      <c r="G101" s="34"/>
      <c r="H101" s="39"/>
      <c r="I101" s="39"/>
      <c r="J101" s="39"/>
      <c r="K101" s="39"/>
      <c r="L101" s="39"/>
      <c r="M101" s="39"/>
      <c r="N101" s="39"/>
      <c r="O101" s="39"/>
      <c r="P101" s="35"/>
      <c r="Q101" s="18"/>
      <c r="R101" s="34"/>
      <c r="S101" s="39"/>
      <c r="T101" s="39"/>
      <c r="U101" s="39"/>
      <c r="V101" s="39"/>
      <c r="W101" s="39"/>
      <c r="X101" s="39"/>
      <c r="Y101" s="39"/>
      <c r="Z101" s="39"/>
      <c r="AA101" s="35"/>
      <c r="AB101" s="50" t="e">
        <f t="shared" si="5"/>
        <v>#DIV/0!</v>
      </c>
      <c r="AC101" s="51" t="e">
        <f t="shared" si="5"/>
        <v>#DIV/0!</v>
      </c>
      <c r="AD101" s="19"/>
      <c r="AE101" s="19"/>
      <c r="AF101" s="285"/>
      <c r="AG101" s="240"/>
      <c r="AH101" s="242"/>
      <c r="AI101" s="242"/>
      <c r="AJ101" s="245"/>
      <c r="AK101" s="240"/>
      <c r="AL101" s="249"/>
      <c r="AM101" s="240"/>
      <c r="AN101" s="249"/>
      <c r="AO101" s="252"/>
      <c r="AP101" s="249"/>
    </row>
    <row r="102" spans="1:42" ht="17.100000000000001" customHeight="1" outlineLevel="4" x14ac:dyDescent="0.25">
      <c r="A102" s="222"/>
      <c r="B102" s="219"/>
      <c r="C102" s="229"/>
      <c r="D102" s="232"/>
      <c r="E102" s="235"/>
      <c r="F102" s="16">
        <v>39</v>
      </c>
      <c r="G102" s="34"/>
      <c r="H102" s="39"/>
      <c r="I102" s="39"/>
      <c r="J102" s="39"/>
      <c r="K102" s="39"/>
      <c r="L102" s="39"/>
      <c r="M102" s="39"/>
      <c r="N102" s="39"/>
      <c r="O102" s="39"/>
      <c r="P102" s="35"/>
      <c r="Q102" s="18"/>
      <c r="R102" s="34"/>
      <c r="S102" s="39"/>
      <c r="T102" s="39"/>
      <c r="U102" s="39"/>
      <c r="V102" s="39"/>
      <c r="W102" s="39"/>
      <c r="X102" s="39"/>
      <c r="Y102" s="39"/>
      <c r="Z102" s="39"/>
      <c r="AA102" s="35"/>
      <c r="AB102" s="50" t="e">
        <f t="shared" si="5"/>
        <v>#DIV/0!</v>
      </c>
      <c r="AC102" s="51" t="e">
        <f t="shared" si="5"/>
        <v>#DIV/0!</v>
      </c>
      <c r="AD102" s="19"/>
      <c r="AE102" s="19"/>
      <c r="AF102" s="285" t="s">
        <v>127</v>
      </c>
      <c r="AG102" s="240" t="e" cm="1">
        <f t="array" ref="AG102">bdRateExtend($G101:$G104,G101:G104,$R101:$R104,R101:R104)</f>
        <v>#VALUE!</v>
      </c>
      <c r="AH102" s="242"/>
      <c r="AI102" s="242"/>
      <c r="AJ102" s="245"/>
      <c r="AK102" s="240" t="e" cm="1">
        <f t="array" ref="AK102">bdRateExtend($G101:$G104,K101:K104,$R101:$R104,V101:V104)</f>
        <v>#VALUE!</v>
      </c>
      <c r="AL102" s="249"/>
      <c r="AM102" s="240" t="e" cm="1">
        <f t="array" ref="AM102">bdRateExtend($G101:$G104,L101:L104,$R101:$R104,W101:W104)</f>
        <v>#VALUE!</v>
      </c>
      <c r="AN102" s="249"/>
      <c r="AO102" s="252" t="e" cm="1">
        <f t="array" ref="AO102">bdRateExtend($G101:$G104,M101:M104,$R101:$R104,X101:X104)</f>
        <v>#VALUE!</v>
      </c>
      <c r="AP102" s="249"/>
    </row>
    <row r="103" spans="1:42" ht="17.100000000000001" customHeight="1" outlineLevel="4" x14ac:dyDescent="0.25">
      <c r="A103" s="222"/>
      <c r="B103" s="219"/>
      <c r="C103" s="229"/>
      <c r="D103" s="232"/>
      <c r="E103" s="235"/>
      <c r="F103" s="16">
        <v>47</v>
      </c>
      <c r="G103" s="34"/>
      <c r="H103" s="39"/>
      <c r="I103" s="39"/>
      <c r="J103" s="39"/>
      <c r="K103" s="39"/>
      <c r="L103" s="39"/>
      <c r="M103" s="39"/>
      <c r="N103" s="39"/>
      <c r="O103" s="39"/>
      <c r="P103" s="35"/>
      <c r="Q103" s="18"/>
      <c r="R103" s="34"/>
      <c r="S103" s="39"/>
      <c r="T103" s="39"/>
      <c r="U103" s="39"/>
      <c r="V103" s="39"/>
      <c r="W103" s="39"/>
      <c r="X103" s="39"/>
      <c r="Y103" s="39"/>
      <c r="Z103" s="39"/>
      <c r="AA103" s="35"/>
      <c r="AB103" s="50" t="e">
        <f t="shared" si="5"/>
        <v>#DIV/0!</v>
      </c>
      <c r="AC103" s="51" t="e">
        <f t="shared" si="5"/>
        <v>#DIV/0!</v>
      </c>
      <c r="AD103" s="19"/>
      <c r="AE103" s="19"/>
      <c r="AF103" s="285"/>
      <c r="AG103" s="240"/>
      <c r="AH103" s="242"/>
      <c r="AI103" s="242"/>
      <c r="AJ103" s="245"/>
      <c r="AK103" s="240"/>
      <c r="AL103" s="249"/>
      <c r="AM103" s="240"/>
      <c r="AN103" s="249"/>
      <c r="AO103" s="252"/>
      <c r="AP103" s="249"/>
    </row>
    <row r="104" spans="1:42" ht="17.100000000000001" customHeight="1" outlineLevel="4" x14ac:dyDescent="0.25">
      <c r="A104" s="222"/>
      <c r="B104" s="219"/>
      <c r="C104" s="229"/>
      <c r="D104" s="232"/>
      <c r="E104" s="235"/>
      <c r="F104" s="16">
        <v>55</v>
      </c>
      <c r="G104" s="34"/>
      <c r="H104" s="39"/>
      <c r="I104" s="39"/>
      <c r="J104" s="39"/>
      <c r="K104" s="39"/>
      <c r="L104" s="39"/>
      <c r="M104" s="39"/>
      <c r="N104" s="39"/>
      <c r="O104" s="39"/>
      <c r="P104" s="35"/>
      <c r="Q104" s="18"/>
      <c r="R104" s="34"/>
      <c r="S104" s="39"/>
      <c r="T104" s="39"/>
      <c r="U104" s="39"/>
      <c r="V104" s="39"/>
      <c r="W104" s="39"/>
      <c r="X104" s="39"/>
      <c r="Y104" s="39"/>
      <c r="Z104" s="39"/>
      <c r="AA104" s="35"/>
      <c r="AB104" s="50" t="e">
        <f t="shared" si="5"/>
        <v>#DIV/0!</v>
      </c>
      <c r="AC104" s="51" t="e">
        <f t="shared" si="5"/>
        <v>#DIV/0!</v>
      </c>
      <c r="AD104" s="19"/>
      <c r="AE104" s="19"/>
      <c r="AF104" s="285" t="s">
        <v>128</v>
      </c>
      <c r="AG104" s="240" t="e" cm="1">
        <f t="array" ref="AG104">bdRateExtend($G102:$G105,G102:G105,$R102:$R105,R102:R105)</f>
        <v>#VALUE!</v>
      </c>
      <c r="AH104" s="242"/>
      <c r="AI104" s="242"/>
      <c r="AJ104" s="245"/>
      <c r="AK104" s="240" t="e" cm="1">
        <f t="array" ref="AK104">bdRateExtend($G102:$G105,K102:K105,$R102:$R105,V102:V105)</f>
        <v>#VALUE!</v>
      </c>
      <c r="AL104" s="249"/>
      <c r="AM104" s="240" t="e" cm="1">
        <f t="array" ref="AM104">bdRateExtend($G102:$G105,L102:L105,$R102:$R105,W102:W105)</f>
        <v>#VALUE!</v>
      </c>
      <c r="AN104" s="249"/>
      <c r="AO104" s="252" t="e" cm="1">
        <f t="array" ref="AO104">bdRateExtend($G102:$G105,M102:M105,$R102:$R105,X102:X105)</f>
        <v>#VALUE!</v>
      </c>
      <c r="AP104" s="249"/>
    </row>
    <row r="105" spans="1:42" ht="17.100000000000001" customHeight="1" outlineLevel="4" thickBot="1" x14ac:dyDescent="0.3">
      <c r="A105" s="222"/>
      <c r="B105" s="220"/>
      <c r="C105" s="230"/>
      <c r="D105" s="233"/>
      <c r="E105" s="236"/>
      <c r="F105" s="9">
        <v>63</v>
      </c>
      <c r="G105" s="36"/>
      <c r="H105" s="37"/>
      <c r="I105" s="37"/>
      <c r="J105" s="37"/>
      <c r="K105" s="37"/>
      <c r="L105" s="37"/>
      <c r="M105" s="37"/>
      <c r="N105" s="37"/>
      <c r="O105" s="37"/>
      <c r="P105" s="38"/>
      <c r="Q105" s="18"/>
      <c r="R105" s="36"/>
      <c r="S105" s="37"/>
      <c r="T105" s="37"/>
      <c r="U105" s="37"/>
      <c r="V105" s="37"/>
      <c r="W105" s="37"/>
      <c r="X105" s="37"/>
      <c r="Y105" s="37"/>
      <c r="Z105" s="37"/>
      <c r="AA105" s="38"/>
      <c r="AB105" s="52" t="e">
        <f t="shared" si="5"/>
        <v>#DIV/0!</v>
      </c>
      <c r="AC105" s="53" t="e">
        <f t="shared" si="5"/>
        <v>#DIV/0!</v>
      </c>
      <c r="AD105" s="19"/>
      <c r="AE105" s="19"/>
      <c r="AF105" s="286"/>
      <c r="AG105" s="247"/>
      <c r="AH105" s="243"/>
      <c r="AI105" s="243"/>
      <c r="AJ105" s="246"/>
      <c r="AK105" s="247"/>
      <c r="AL105" s="250"/>
      <c r="AM105" s="247"/>
      <c r="AN105" s="250"/>
      <c r="AO105" s="253"/>
      <c r="AP105" s="250"/>
    </row>
    <row r="106" spans="1:42" ht="17.100000000000001" customHeight="1" outlineLevel="4" x14ac:dyDescent="0.25">
      <c r="A106" s="222"/>
      <c r="B106" s="218" t="s">
        <v>2</v>
      </c>
      <c r="C106" s="228" t="s">
        <v>54</v>
      </c>
      <c r="D106" s="231">
        <v>30</v>
      </c>
      <c r="E106" s="234" t="s">
        <v>23</v>
      </c>
      <c r="F106" s="7">
        <v>23</v>
      </c>
      <c r="G106" s="31"/>
      <c r="H106" s="32"/>
      <c r="I106" s="32"/>
      <c r="J106" s="32"/>
      <c r="K106" s="32"/>
      <c r="L106" s="32"/>
      <c r="M106" s="32"/>
      <c r="N106" s="32"/>
      <c r="O106" s="32"/>
      <c r="P106" s="33"/>
      <c r="Q106" s="18"/>
      <c r="R106" s="31"/>
      <c r="S106" s="32"/>
      <c r="T106" s="32"/>
      <c r="U106" s="32"/>
      <c r="V106" s="32"/>
      <c r="W106" s="32"/>
      <c r="X106" s="32"/>
      <c r="Y106" s="32"/>
      <c r="Z106" s="32"/>
      <c r="AA106" s="33"/>
      <c r="AB106" s="48" t="e">
        <f t="shared" si="5"/>
        <v>#DIV/0!</v>
      </c>
      <c r="AC106" s="49" t="e">
        <f t="shared" si="5"/>
        <v>#DIV/0!</v>
      </c>
      <c r="AD106" s="19"/>
      <c r="AE106" s="19"/>
      <c r="AF106" s="284" t="s">
        <v>126</v>
      </c>
      <c r="AG106" s="239" t="e" cm="1">
        <f t="array" ref="AG106">bdRateExtend($G106:$G109,G106:G109,$R106:$R109,R106:R109)</f>
        <v>#VALUE!</v>
      </c>
      <c r="AH106" s="241" t="e" cm="1">
        <f t="array" ref="AH106">bdRateExtend($G106:$G111,H106:H111,$R106:$R111,S106:S111)</f>
        <v>#VALUE!</v>
      </c>
      <c r="AI106" s="241" t="e" cm="1">
        <f t="array" ref="AI106">bdRateExtend($G106:$G111,I106:I111,$R106:$R111,T106:T111)</f>
        <v>#VALUE!</v>
      </c>
      <c r="AJ106" s="244" t="e" cm="1">
        <f t="array" ref="AJ106">bdRateExtend($G106:$G111,J106:J111,$R106:$R111,U106:U111)</f>
        <v>#VALUE!</v>
      </c>
      <c r="AK106" s="239" t="e" cm="1">
        <f t="array" ref="AK106">bdRateExtend($G106:$G109,K106:K109,$R106:$R109,V106:V109)</f>
        <v>#VALUE!</v>
      </c>
      <c r="AL106" s="248" t="e" cm="1">
        <f t="array" ref="AL106">bdRateExtend($G106:$G111,K106:K111,$R106:$R111,V106:V111)</f>
        <v>#VALUE!</v>
      </c>
      <c r="AM106" s="239" t="e" cm="1">
        <f t="array" ref="AM106">bdRateExtend($G106:$G109,L106:L109,$R106:$R109,W106:W109)</f>
        <v>#VALUE!</v>
      </c>
      <c r="AN106" s="248" t="e" cm="1">
        <f t="array" ref="AN106">bdRateExtend($G106:$G111,L106:L111,$R106:$R111,W106:W111)</f>
        <v>#VALUE!</v>
      </c>
      <c r="AO106" s="254" t="e" cm="1">
        <f t="array" ref="AO106">bdRateExtend($G106:$G109,M106:M109,$R106:$R109,X106:X109)</f>
        <v>#VALUE!</v>
      </c>
      <c r="AP106" s="248" t="e" cm="1">
        <f t="array" ref="AP106">bdRateExtend($G106:$G111,M106:M111,$R106:$R111,X106:X111)</f>
        <v>#VALUE!</v>
      </c>
    </row>
    <row r="107" spans="1:42" ht="17.100000000000001" customHeight="1" outlineLevel="4" x14ac:dyDescent="0.25">
      <c r="A107" s="222"/>
      <c r="B107" s="219"/>
      <c r="C107" s="229"/>
      <c r="D107" s="232"/>
      <c r="E107" s="235"/>
      <c r="F107" s="16">
        <v>31</v>
      </c>
      <c r="G107" s="34"/>
      <c r="H107" s="39"/>
      <c r="I107" s="39"/>
      <c r="J107" s="39"/>
      <c r="K107" s="39"/>
      <c r="L107" s="39"/>
      <c r="M107" s="39"/>
      <c r="N107" s="39"/>
      <c r="O107" s="39"/>
      <c r="P107" s="35"/>
      <c r="Q107" s="18"/>
      <c r="R107" s="34"/>
      <c r="S107" s="39"/>
      <c r="T107" s="39"/>
      <c r="U107" s="39"/>
      <c r="V107" s="39"/>
      <c r="W107" s="39"/>
      <c r="X107" s="39"/>
      <c r="Y107" s="39"/>
      <c r="Z107" s="39"/>
      <c r="AA107" s="35"/>
      <c r="AB107" s="50" t="e">
        <f t="shared" si="5"/>
        <v>#DIV/0!</v>
      </c>
      <c r="AC107" s="51" t="e">
        <f t="shared" si="5"/>
        <v>#DIV/0!</v>
      </c>
      <c r="AD107" s="19"/>
      <c r="AE107" s="19"/>
      <c r="AF107" s="285"/>
      <c r="AG107" s="240"/>
      <c r="AH107" s="242"/>
      <c r="AI107" s="242"/>
      <c r="AJ107" s="245"/>
      <c r="AK107" s="240"/>
      <c r="AL107" s="249"/>
      <c r="AM107" s="240"/>
      <c r="AN107" s="249"/>
      <c r="AO107" s="252"/>
      <c r="AP107" s="249"/>
    </row>
    <row r="108" spans="1:42" ht="17.100000000000001" customHeight="1" outlineLevel="4" x14ac:dyDescent="0.25">
      <c r="A108" s="222"/>
      <c r="B108" s="219"/>
      <c r="C108" s="229"/>
      <c r="D108" s="232"/>
      <c r="E108" s="235"/>
      <c r="F108" s="16">
        <v>39</v>
      </c>
      <c r="G108" s="34"/>
      <c r="H108" s="39"/>
      <c r="I108" s="39"/>
      <c r="J108" s="39"/>
      <c r="K108" s="39"/>
      <c r="L108" s="39"/>
      <c r="M108" s="39"/>
      <c r="N108" s="39"/>
      <c r="O108" s="39"/>
      <c r="P108" s="35"/>
      <c r="Q108" s="18"/>
      <c r="R108" s="34"/>
      <c r="S108" s="39"/>
      <c r="T108" s="39"/>
      <c r="U108" s="39"/>
      <c r="V108" s="39"/>
      <c r="W108" s="39"/>
      <c r="X108" s="39"/>
      <c r="Y108" s="39"/>
      <c r="Z108" s="39"/>
      <c r="AA108" s="35"/>
      <c r="AB108" s="50" t="e">
        <f t="shared" si="5"/>
        <v>#DIV/0!</v>
      </c>
      <c r="AC108" s="51" t="e">
        <f t="shared" si="5"/>
        <v>#DIV/0!</v>
      </c>
      <c r="AD108" s="19"/>
      <c r="AE108" s="19"/>
      <c r="AF108" s="285" t="s">
        <v>127</v>
      </c>
      <c r="AG108" s="240" t="e" cm="1">
        <f t="array" ref="AG108">bdRateExtend($G107:$G110,G107:G110,$R107:$R110,R107:R110)</f>
        <v>#VALUE!</v>
      </c>
      <c r="AH108" s="242"/>
      <c r="AI108" s="242"/>
      <c r="AJ108" s="245"/>
      <c r="AK108" s="240" t="e" cm="1">
        <f t="array" ref="AK108">bdRateExtend($G107:$G110,K107:K110,$R107:$R110,V107:V110)</f>
        <v>#VALUE!</v>
      </c>
      <c r="AL108" s="249"/>
      <c r="AM108" s="240" t="e" cm="1">
        <f t="array" ref="AM108">bdRateExtend($G107:$G110,L107:L110,$R107:$R110,W107:W110)</f>
        <v>#VALUE!</v>
      </c>
      <c r="AN108" s="249"/>
      <c r="AO108" s="252" t="e" cm="1">
        <f t="array" ref="AO108">bdRateExtend($G107:$G110,M107:M110,$R107:$R110,X107:X110)</f>
        <v>#VALUE!</v>
      </c>
      <c r="AP108" s="249"/>
    </row>
    <row r="109" spans="1:42" ht="17.100000000000001" customHeight="1" outlineLevel="4" x14ac:dyDescent="0.25">
      <c r="A109" s="222"/>
      <c r="B109" s="219"/>
      <c r="C109" s="229"/>
      <c r="D109" s="232"/>
      <c r="E109" s="235"/>
      <c r="F109" s="16">
        <v>47</v>
      </c>
      <c r="G109" s="34"/>
      <c r="H109" s="39"/>
      <c r="I109" s="39"/>
      <c r="J109" s="39"/>
      <c r="K109" s="39"/>
      <c r="L109" s="39"/>
      <c r="M109" s="39"/>
      <c r="N109" s="39"/>
      <c r="O109" s="39"/>
      <c r="P109" s="35"/>
      <c r="Q109" s="18"/>
      <c r="R109" s="34"/>
      <c r="S109" s="39"/>
      <c r="T109" s="39"/>
      <c r="U109" s="39"/>
      <c r="V109" s="39"/>
      <c r="W109" s="39"/>
      <c r="X109" s="39"/>
      <c r="Y109" s="39"/>
      <c r="Z109" s="39"/>
      <c r="AA109" s="35"/>
      <c r="AB109" s="50" t="e">
        <f t="shared" si="5"/>
        <v>#DIV/0!</v>
      </c>
      <c r="AC109" s="51" t="e">
        <f t="shared" si="5"/>
        <v>#DIV/0!</v>
      </c>
      <c r="AD109" s="19"/>
      <c r="AE109" s="19"/>
      <c r="AF109" s="285"/>
      <c r="AG109" s="240"/>
      <c r="AH109" s="242"/>
      <c r="AI109" s="242"/>
      <c r="AJ109" s="245"/>
      <c r="AK109" s="240"/>
      <c r="AL109" s="249"/>
      <c r="AM109" s="240"/>
      <c r="AN109" s="249"/>
      <c r="AO109" s="252"/>
      <c r="AP109" s="249"/>
    </row>
    <row r="110" spans="1:42" ht="17.100000000000001" customHeight="1" outlineLevel="4" x14ac:dyDescent="0.25">
      <c r="A110" s="222"/>
      <c r="B110" s="219"/>
      <c r="C110" s="229"/>
      <c r="D110" s="232"/>
      <c r="E110" s="235"/>
      <c r="F110" s="16">
        <v>55</v>
      </c>
      <c r="G110" s="34"/>
      <c r="H110" s="39"/>
      <c r="I110" s="39"/>
      <c r="J110" s="39"/>
      <c r="K110" s="39"/>
      <c r="L110" s="39"/>
      <c r="M110" s="39"/>
      <c r="N110" s="39"/>
      <c r="O110" s="39"/>
      <c r="P110" s="35"/>
      <c r="Q110" s="18"/>
      <c r="R110" s="34"/>
      <c r="S110" s="39"/>
      <c r="T110" s="39"/>
      <c r="U110" s="39"/>
      <c r="V110" s="39"/>
      <c r="W110" s="39"/>
      <c r="X110" s="39"/>
      <c r="Y110" s="39"/>
      <c r="Z110" s="39"/>
      <c r="AA110" s="35"/>
      <c r="AB110" s="50" t="e">
        <f t="shared" si="5"/>
        <v>#DIV/0!</v>
      </c>
      <c r="AC110" s="51" t="e">
        <f t="shared" si="5"/>
        <v>#DIV/0!</v>
      </c>
      <c r="AD110" s="19"/>
      <c r="AE110" s="19"/>
      <c r="AF110" s="285" t="s">
        <v>128</v>
      </c>
      <c r="AG110" s="240" t="e" cm="1">
        <f t="array" ref="AG110">bdRateExtend($G108:$G111,G108:G111,$R108:$R111,R108:R111)</f>
        <v>#VALUE!</v>
      </c>
      <c r="AH110" s="242"/>
      <c r="AI110" s="242"/>
      <c r="AJ110" s="245"/>
      <c r="AK110" s="240" t="e" cm="1">
        <f t="array" ref="AK110">bdRateExtend($G108:$G111,K108:K111,$R108:$R111,V108:V111)</f>
        <v>#VALUE!</v>
      </c>
      <c r="AL110" s="249"/>
      <c r="AM110" s="240" t="e" cm="1">
        <f t="array" ref="AM110">bdRateExtend($G108:$G111,L108:L111,$R108:$R111,W108:W111)</f>
        <v>#VALUE!</v>
      </c>
      <c r="AN110" s="249"/>
      <c r="AO110" s="252" t="e" cm="1">
        <f t="array" ref="AO110">bdRateExtend($G108:$G111,M108:M111,$R108:$R111,X108:X111)</f>
        <v>#VALUE!</v>
      </c>
      <c r="AP110" s="249"/>
    </row>
    <row r="111" spans="1:42" ht="17.100000000000001" customHeight="1" outlineLevel="4" thickBot="1" x14ac:dyDescent="0.3">
      <c r="A111" s="222"/>
      <c r="B111" s="220"/>
      <c r="C111" s="230"/>
      <c r="D111" s="233"/>
      <c r="E111" s="236"/>
      <c r="F111" s="9">
        <v>63</v>
      </c>
      <c r="G111" s="36"/>
      <c r="H111" s="37"/>
      <c r="I111" s="37"/>
      <c r="J111" s="37"/>
      <c r="K111" s="37"/>
      <c r="L111" s="37"/>
      <c r="M111" s="37"/>
      <c r="N111" s="37"/>
      <c r="O111" s="37"/>
      <c r="P111" s="38"/>
      <c r="Q111" s="18"/>
      <c r="R111" s="36"/>
      <c r="S111" s="37"/>
      <c r="T111" s="37"/>
      <c r="U111" s="37"/>
      <c r="V111" s="37"/>
      <c r="W111" s="37"/>
      <c r="X111" s="37"/>
      <c r="Y111" s="37"/>
      <c r="Z111" s="37"/>
      <c r="AA111" s="38"/>
      <c r="AB111" s="52" t="e">
        <f t="shared" si="5"/>
        <v>#DIV/0!</v>
      </c>
      <c r="AC111" s="53" t="e">
        <f t="shared" si="5"/>
        <v>#DIV/0!</v>
      </c>
      <c r="AD111" s="19"/>
      <c r="AE111" s="19"/>
      <c r="AF111" s="286"/>
      <c r="AG111" s="247"/>
      <c r="AH111" s="243"/>
      <c r="AI111" s="243"/>
      <c r="AJ111" s="246"/>
      <c r="AK111" s="247"/>
      <c r="AL111" s="250"/>
      <c r="AM111" s="247"/>
      <c r="AN111" s="250"/>
      <c r="AO111" s="253"/>
      <c r="AP111" s="250"/>
    </row>
    <row r="112" spans="1:42" ht="17.100000000000001" customHeight="1" outlineLevel="4" x14ac:dyDescent="0.25">
      <c r="A112" s="222"/>
      <c r="B112" s="218" t="s">
        <v>2</v>
      </c>
      <c r="C112" s="228" t="s">
        <v>55</v>
      </c>
      <c r="D112" s="231">
        <v>30</v>
      </c>
      <c r="E112" s="234" t="s">
        <v>23</v>
      </c>
      <c r="F112" s="7">
        <v>23</v>
      </c>
      <c r="G112" s="31"/>
      <c r="H112" s="32"/>
      <c r="I112" s="32"/>
      <c r="J112" s="32"/>
      <c r="K112" s="32"/>
      <c r="L112" s="32"/>
      <c r="M112" s="32"/>
      <c r="N112" s="32"/>
      <c r="O112" s="32"/>
      <c r="P112" s="33"/>
      <c r="Q112" s="18"/>
      <c r="R112" s="31"/>
      <c r="S112" s="32"/>
      <c r="T112" s="32"/>
      <c r="U112" s="32"/>
      <c r="V112" s="32"/>
      <c r="W112" s="32"/>
      <c r="X112" s="32"/>
      <c r="Y112" s="32"/>
      <c r="Z112" s="32"/>
      <c r="AA112" s="33"/>
      <c r="AB112" s="48" t="e">
        <f t="shared" si="5"/>
        <v>#DIV/0!</v>
      </c>
      <c r="AC112" s="49" t="e">
        <f t="shared" si="5"/>
        <v>#DIV/0!</v>
      </c>
      <c r="AD112" s="19"/>
      <c r="AE112" s="19"/>
      <c r="AF112" s="284" t="s">
        <v>126</v>
      </c>
      <c r="AG112" s="239" t="e" cm="1">
        <f t="array" ref="AG112">bdRateExtend($G112:$G115,G112:G115,$R112:$R115,R112:R115)</f>
        <v>#VALUE!</v>
      </c>
      <c r="AH112" s="241" t="e" cm="1">
        <f t="array" ref="AH112">bdRateExtend($G112:$G117,H112:H117,$R112:$R117,S112:S117)</f>
        <v>#VALUE!</v>
      </c>
      <c r="AI112" s="241" t="e" cm="1">
        <f t="array" ref="AI112">bdRateExtend($G112:$G117,I112:I117,$R112:$R117,T112:T117)</f>
        <v>#VALUE!</v>
      </c>
      <c r="AJ112" s="244" t="e" cm="1">
        <f t="array" ref="AJ112">bdRateExtend($G112:$G117,J112:J117,$R112:$R117,U112:U117)</f>
        <v>#VALUE!</v>
      </c>
      <c r="AK112" s="239" t="e" cm="1">
        <f t="array" ref="AK112">bdRateExtend($G112:$G115,K112:K115,$R112:$R115,V112:V115)</f>
        <v>#VALUE!</v>
      </c>
      <c r="AL112" s="248" t="e" cm="1">
        <f t="array" ref="AL112">bdRateExtend($G112:$G117,K112:K117,$R112:$R117,V112:V117)</f>
        <v>#VALUE!</v>
      </c>
      <c r="AM112" s="239" t="e" cm="1">
        <f t="array" ref="AM112">bdRateExtend($G112:$G115,L112:L115,$R112:$R115,W112:W115)</f>
        <v>#VALUE!</v>
      </c>
      <c r="AN112" s="248" t="e" cm="1">
        <f t="array" ref="AN112">bdRateExtend($G112:$G117,L112:L117,$R112:$R117,W112:W117)</f>
        <v>#VALUE!</v>
      </c>
      <c r="AO112" s="254" t="e" cm="1">
        <f t="array" ref="AO112">bdRateExtend($G112:$G115,M112:M115,$R112:$R115,X112:X115)</f>
        <v>#VALUE!</v>
      </c>
      <c r="AP112" s="248" t="e" cm="1">
        <f t="array" ref="AP112">bdRateExtend($G112:$G117,M112:M117,$R112:$R117,X112:X117)</f>
        <v>#VALUE!</v>
      </c>
    </row>
    <row r="113" spans="1:42" ht="17.100000000000001" customHeight="1" outlineLevel="4" x14ac:dyDescent="0.25">
      <c r="A113" s="222"/>
      <c r="B113" s="219"/>
      <c r="C113" s="229"/>
      <c r="D113" s="232"/>
      <c r="E113" s="235"/>
      <c r="F113" s="16">
        <v>31</v>
      </c>
      <c r="G113" s="34"/>
      <c r="H113" s="39"/>
      <c r="I113" s="39"/>
      <c r="J113" s="39"/>
      <c r="K113" s="39"/>
      <c r="L113" s="39"/>
      <c r="M113" s="39"/>
      <c r="N113" s="39"/>
      <c r="O113" s="39"/>
      <c r="P113" s="35"/>
      <c r="Q113" s="18"/>
      <c r="R113" s="34"/>
      <c r="S113" s="39"/>
      <c r="T113" s="39"/>
      <c r="U113" s="39"/>
      <c r="V113" s="39"/>
      <c r="W113" s="39"/>
      <c r="X113" s="39"/>
      <c r="Y113" s="39"/>
      <c r="Z113" s="39"/>
      <c r="AA113" s="35"/>
      <c r="AB113" s="50" t="e">
        <f t="shared" si="5"/>
        <v>#DIV/0!</v>
      </c>
      <c r="AC113" s="51" t="e">
        <f t="shared" si="5"/>
        <v>#DIV/0!</v>
      </c>
      <c r="AD113" s="19"/>
      <c r="AE113" s="19"/>
      <c r="AF113" s="285"/>
      <c r="AG113" s="240"/>
      <c r="AH113" s="242"/>
      <c r="AI113" s="242"/>
      <c r="AJ113" s="245"/>
      <c r="AK113" s="240"/>
      <c r="AL113" s="249"/>
      <c r="AM113" s="240"/>
      <c r="AN113" s="249"/>
      <c r="AO113" s="252"/>
      <c r="AP113" s="249"/>
    </row>
    <row r="114" spans="1:42" ht="17.100000000000001" customHeight="1" outlineLevel="4" x14ac:dyDescent="0.25">
      <c r="A114" s="222"/>
      <c r="B114" s="219"/>
      <c r="C114" s="229"/>
      <c r="D114" s="232"/>
      <c r="E114" s="235"/>
      <c r="F114" s="16">
        <v>39</v>
      </c>
      <c r="G114" s="34"/>
      <c r="H114" s="39"/>
      <c r="I114" s="39"/>
      <c r="J114" s="39"/>
      <c r="K114" s="39"/>
      <c r="L114" s="39"/>
      <c r="M114" s="39"/>
      <c r="N114" s="39"/>
      <c r="O114" s="39"/>
      <c r="P114" s="35"/>
      <c r="Q114" s="18"/>
      <c r="R114" s="34"/>
      <c r="S114" s="39"/>
      <c r="T114" s="39"/>
      <c r="U114" s="39"/>
      <c r="V114" s="39"/>
      <c r="W114" s="39"/>
      <c r="X114" s="39"/>
      <c r="Y114" s="39"/>
      <c r="Z114" s="39"/>
      <c r="AA114" s="35"/>
      <c r="AB114" s="50" t="e">
        <f t="shared" si="5"/>
        <v>#DIV/0!</v>
      </c>
      <c r="AC114" s="51" t="e">
        <f t="shared" si="5"/>
        <v>#DIV/0!</v>
      </c>
      <c r="AD114" s="19"/>
      <c r="AE114" s="19"/>
      <c r="AF114" s="285" t="s">
        <v>127</v>
      </c>
      <c r="AG114" s="240" t="e" cm="1">
        <f t="array" ref="AG114">bdRateExtend($G113:$G116,G113:G116,$R113:$R116,R113:R116)</f>
        <v>#VALUE!</v>
      </c>
      <c r="AH114" s="242"/>
      <c r="AI114" s="242"/>
      <c r="AJ114" s="245"/>
      <c r="AK114" s="240" t="e" cm="1">
        <f t="array" ref="AK114">bdRateExtend($G113:$G116,K113:K116,$R113:$R116,V113:V116)</f>
        <v>#VALUE!</v>
      </c>
      <c r="AL114" s="249"/>
      <c r="AM114" s="240" t="e" cm="1">
        <f t="array" ref="AM114">bdRateExtend($G113:$G116,L113:L116,$R113:$R116,W113:W116)</f>
        <v>#VALUE!</v>
      </c>
      <c r="AN114" s="249"/>
      <c r="AO114" s="252" t="e" cm="1">
        <f t="array" ref="AO114">bdRateExtend($G113:$G116,M113:M116,$R113:$R116,X113:X116)</f>
        <v>#VALUE!</v>
      </c>
      <c r="AP114" s="249"/>
    </row>
    <row r="115" spans="1:42" ht="17.100000000000001" customHeight="1" outlineLevel="4" x14ac:dyDescent="0.25">
      <c r="A115" s="222"/>
      <c r="B115" s="219"/>
      <c r="C115" s="229"/>
      <c r="D115" s="232"/>
      <c r="E115" s="235"/>
      <c r="F115" s="16">
        <v>47</v>
      </c>
      <c r="G115" s="34"/>
      <c r="H115" s="39"/>
      <c r="I115" s="39"/>
      <c r="J115" s="39"/>
      <c r="K115" s="39"/>
      <c r="L115" s="39"/>
      <c r="M115" s="39"/>
      <c r="N115" s="39"/>
      <c r="O115" s="39"/>
      <c r="P115" s="35"/>
      <c r="Q115" s="18"/>
      <c r="R115" s="34"/>
      <c r="S115" s="39"/>
      <c r="T115" s="39"/>
      <c r="U115" s="39"/>
      <c r="V115" s="39"/>
      <c r="W115" s="39"/>
      <c r="X115" s="39"/>
      <c r="Y115" s="39"/>
      <c r="Z115" s="39"/>
      <c r="AA115" s="35"/>
      <c r="AB115" s="50" t="e">
        <f t="shared" si="5"/>
        <v>#DIV/0!</v>
      </c>
      <c r="AC115" s="51" t="e">
        <f t="shared" si="5"/>
        <v>#DIV/0!</v>
      </c>
      <c r="AD115" s="19"/>
      <c r="AE115" s="19"/>
      <c r="AF115" s="285"/>
      <c r="AG115" s="240"/>
      <c r="AH115" s="242"/>
      <c r="AI115" s="242"/>
      <c r="AJ115" s="245"/>
      <c r="AK115" s="240"/>
      <c r="AL115" s="249"/>
      <c r="AM115" s="240"/>
      <c r="AN115" s="249"/>
      <c r="AO115" s="252"/>
      <c r="AP115" s="249"/>
    </row>
    <row r="116" spans="1:42" ht="17.100000000000001" customHeight="1" outlineLevel="4" x14ac:dyDescent="0.25">
      <c r="A116" s="222"/>
      <c r="B116" s="219"/>
      <c r="C116" s="229"/>
      <c r="D116" s="232"/>
      <c r="E116" s="235"/>
      <c r="F116" s="16">
        <v>55</v>
      </c>
      <c r="G116" s="34"/>
      <c r="H116" s="39"/>
      <c r="I116" s="39"/>
      <c r="J116" s="39"/>
      <c r="K116" s="39"/>
      <c r="L116" s="39"/>
      <c r="M116" s="39"/>
      <c r="N116" s="39"/>
      <c r="O116" s="39"/>
      <c r="P116" s="35"/>
      <c r="Q116" s="18"/>
      <c r="R116" s="34"/>
      <c r="S116" s="39"/>
      <c r="T116" s="39"/>
      <c r="U116" s="39"/>
      <c r="V116" s="39"/>
      <c r="W116" s="39"/>
      <c r="X116" s="39"/>
      <c r="Y116" s="39"/>
      <c r="Z116" s="39"/>
      <c r="AA116" s="35"/>
      <c r="AB116" s="50" t="e">
        <f t="shared" si="5"/>
        <v>#DIV/0!</v>
      </c>
      <c r="AC116" s="51" t="e">
        <f t="shared" si="5"/>
        <v>#DIV/0!</v>
      </c>
      <c r="AD116" s="19"/>
      <c r="AE116" s="19"/>
      <c r="AF116" s="285" t="s">
        <v>128</v>
      </c>
      <c r="AG116" s="240" t="e" cm="1">
        <f t="array" ref="AG116">bdRateExtend($G114:$G117,G114:G117,$R114:$R117,R114:R117)</f>
        <v>#VALUE!</v>
      </c>
      <c r="AH116" s="242"/>
      <c r="AI116" s="242"/>
      <c r="AJ116" s="245"/>
      <c r="AK116" s="240" t="e" cm="1">
        <f t="array" ref="AK116">bdRateExtend($G114:$G117,K114:K117,$R114:$R117,V114:V117)</f>
        <v>#VALUE!</v>
      </c>
      <c r="AL116" s="249"/>
      <c r="AM116" s="240" t="e" cm="1">
        <f t="array" ref="AM116">bdRateExtend($G114:$G117,L114:L117,$R114:$R117,W114:W117)</f>
        <v>#VALUE!</v>
      </c>
      <c r="AN116" s="249"/>
      <c r="AO116" s="252" t="e" cm="1">
        <f t="array" ref="AO116">bdRateExtend($G114:$G117,M114:M117,$R114:$R117,X114:X117)</f>
        <v>#VALUE!</v>
      </c>
      <c r="AP116" s="249"/>
    </row>
    <row r="117" spans="1:42" ht="17.100000000000001" customHeight="1" outlineLevel="4" thickBot="1" x14ac:dyDescent="0.3">
      <c r="A117" s="222"/>
      <c r="B117" s="220"/>
      <c r="C117" s="230"/>
      <c r="D117" s="233"/>
      <c r="E117" s="236"/>
      <c r="F117" s="9">
        <v>63</v>
      </c>
      <c r="G117" s="36"/>
      <c r="H117" s="37"/>
      <c r="I117" s="37"/>
      <c r="J117" s="37"/>
      <c r="K117" s="37"/>
      <c r="L117" s="37"/>
      <c r="M117" s="37"/>
      <c r="N117" s="37"/>
      <c r="O117" s="37"/>
      <c r="P117" s="38"/>
      <c r="Q117" s="18"/>
      <c r="R117" s="36"/>
      <c r="S117" s="37"/>
      <c r="T117" s="37"/>
      <c r="U117" s="37"/>
      <c r="V117" s="37"/>
      <c r="W117" s="37"/>
      <c r="X117" s="37"/>
      <c r="Y117" s="37"/>
      <c r="Z117" s="37"/>
      <c r="AA117" s="38"/>
      <c r="AB117" s="52" t="e">
        <f t="shared" si="5"/>
        <v>#DIV/0!</v>
      </c>
      <c r="AC117" s="53" t="e">
        <f t="shared" si="5"/>
        <v>#DIV/0!</v>
      </c>
      <c r="AD117" s="19"/>
      <c r="AE117" s="19"/>
      <c r="AF117" s="286"/>
      <c r="AG117" s="247"/>
      <c r="AH117" s="243"/>
      <c r="AI117" s="243"/>
      <c r="AJ117" s="246"/>
      <c r="AK117" s="247"/>
      <c r="AL117" s="250"/>
      <c r="AM117" s="247"/>
      <c r="AN117" s="250"/>
      <c r="AO117" s="253"/>
      <c r="AP117" s="250"/>
    </row>
    <row r="118" spans="1:42" ht="17.100000000000001" customHeight="1" outlineLevel="4" x14ac:dyDescent="0.25">
      <c r="A118" s="221" t="s">
        <v>111</v>
      </c>
      <c r="B118" s="218" t="s">
        <v>24</v>
      </c>
      <c r="C118" s="228" t="s">
        <v>56</v>
      </c>
      <c r="D118" s="231">
        <v>30</v>
      </c>
      <c r="E118" s="234" t="s">
        <v>23</v>
      </c>
      <c r="F118" s="7">
        <v>23</v>
      </c>
      <c r="G118" s="31"/>
      <c r="H118" s="32"/>
      <c r="I118" s="32"/>
      <c r="J118" s="32"/>
      <c r="K118" s="32"/>
      <c r="L118" s="32"/>
      <c r="M118" s="32"/>
      <c r="N118" s="32"/>
      <c r="O118" s="32"/>
      <c r="P118" s="33"/>
      <c r="Q118" s="18"/>
      <c r="R118" s="31"/>
      <c r="S118" s="32"/>
      <c r="T118" s="32"/>
      <c r="U118" s="32"/>
      <c r="V118" s="32"/>
      <c r="W118" s="32"/>
      <c r="X118" s="32"/>
      <c r="Y118" s="32"/>
      <c r="Z118" s="32"/>
      <c r="AA118" s="33"/>
      <c r="AB118" s="48" t="e">
        <f t="shared" ref="AB118:AC181" si="6">Y118/N118</f>
        <v>#DIV/0!</v>
      </c>
      <c r="AC118" s="49" t="e">
        <f t="shared" si="6"/>
        <v>#DIV/0!</v>
      </c>
      <c r="AD118" s="19"/>
      <c r="AE118" s="19"/>
      <c r="AF118" s="284" t="s">
        <v>126</v>
      </c>
      <c r="AG118" s="239" t="e" cm="1">
        <f t="array" ref="AG118">bdRateExtend($G118:$G121,G118:G121,$R118:$R121,R118:R121)</f>
        <v>#VALUE!</v>
      </c>
      <c r="AH118" s="241" t="e" cm="1">
        <f t="array" ref="AH118">bdRateExtend($G118:$G123,H118:H123,$R118:$R123,S118:S123)</f>
        <v>#VALUE!</v>
      </c>
      <c r="AI118" s="241" t="e" cm="1">
        <f t="array" ref="AI118">bdRateExtend($G118:$G123,I118:I123,$R118:$R123,T118:T123)</f>
        <v>#VALUE!</v>
      </c>
      <c r="AJ118" s="244" t="e" cm="1">
        <f t="array" ref="AJ118">bdRateExtend($G118:$G123,J118:J123,$R118:$R123,U118:U123)</f>
        <v>#VALUE!</v>
      </c>
      <c r="AK118" s="239" t="e" cm="1">
        <f t="array" ref="AK118">bdRateExtend($G118:$G121,K118:K121,$R118:$R121,V118:V121)</f>
        <v>#VALUE!</v>
      </c>
      <c r="AL118" s="248" t="e" cm="1">
        <f t="array" ref="AL118">bdRateExtend($G118:$G123,K118:K123,$R118:$R123,V118:V123)</f>
        <v>#VALUE!</v>
      </c>
      <c r="AM118" s="239" t="e" cm="1">
        <f t="array" ref="AM118">bdRateExtend($G118:$G121,L118:L121,$R118:$R121,W118:W121)</f>
        <v>#VALUE!</v>
      </c>
      <c r="AN118" s="248" t="e" cm="1">
        <f t="array" ref="AN118">bdRateExtend($G118:$G123,L118:L123,$R118:$R123,W118:W123)</f>
        <v>#VALUE!</v>
      </c>
      <c r="AO118" s="254" t="e" cm="1">
        <f t="array" ref="AO118">bdRateExtend($G118:$G121,M118:M121,$R118:$R121,X118:X121)</f>
        <v>#VALUE!</v>
      </c>
      <c r="AP118" s="248" t="e" cm="1">
        <f t="array" ref="AP118">bdRateExtend($G118:$G123,M118:M123,$R118:$R123,X118:X123)</f>
        <v>#VALUE!</v>
      </c>
    </row>
    <row r="119" spans="1:42" ht="17.100000000000001" customHeight="1" outlineLevel="4" x14ac:dyDescent="0.25">
      <c r="A119" s="222"/>
      <c r="B119" s="219"/>
      <c r="C119" s="229"/>
      <c r="D119" s="232"/>
      <c r="E119" s="235"/>
      <c r="F119" s="16">
        <v>31</v>
      </c>
      <c r="G119" s="34"/>
      <c r="H119" s="39"/>
      <c r="I119" s="39"/>
      <c r="J119" s="39"/>
      <c r="K119" s="39"/>
      <c r="L119" s="39"/>
      <c r="M119" s="39"/>
      <c r="N119" s="39"/>
      <c r="O119" s="39"/>
      <c r="P119" s="35"/>
      <c r="Q119" s="18"/>
      <c r="R119" s="34"/>
      <c r="S119" s="39"/>
      <c r="T119" s="39"/>
      <c r="U119" s="39"/>
      <c r="V119" s="39"/>
      <c r="W119" s="39"/>
      <c r="X119" s="39"/>
      <c r="Y119" s="39"/>
      <c r="Z119" s="39"/>
      <c r="AA119" s="35"/>
      <c r="AB119" s="50" t="e">
        <f t="shared" si="6"/>
        <v>#DIV/0!</v>
      </c>
      <c r="AC119" s="51" t="e">
        <f t="shared" si="6"/>
        <v>#DIV/0!</v>
      </c>
      <c r="AD119" s="19"/>
      <c r="AE119" s="19"/>
      <c r="AF119" s="285"/>
      <c r="AG119" s="240"/>
      <c r="AH119" s="242"/>
      <c r="AI119" s="242"/>
      <c r="AJ119" s="245"/>
      <c r="AK119" s="240"/>
      <c r="AL119" s="249"/>
      <c r="AM119" s="240"/>
      <c r="AN119" s="249"/>
      <c r="AO119" s="252"/>
      <c r="AP119" s="249"/>
    </row>
    <row r="120" spans="1:42" ht="17.100000000000001" customHeight="1" outlineLevel="4" x14ac:dyDescent="0.25">
      <c r="A120" s="222"/>
      <c r="B120" s="219"/>
      <c r="C120" s="229"/>
      <c r="D120" s="232"/>
      <c r="E120" s="235"/>
      <c r="F120" s="16">
        <v>39</v>
      </c>
      <c r="G120" s="34"/>
      <c r="H120" s="39"/>
      <c r="I120" s="39"/>
      <c r="J120" s="39"/>
      <c r="K120" s="39"/>
      <c r="L120" s="39"/>
      <c r="M120" s="39"/>
      <c r="N120" s="39"/>
      <c r="O120" s="39"/>
      <c r="P120" s="35"/>
      <c r="Q120" s="18"/>
      <c r="R120" s="34"/>
      <c r="S120" s="39"/>
      <c r="T120" s="39"/>
      <c r="U120" s="39"/>
      <c r="V120" s="39"/>
      <c r="W120" s="39"/>
      <c r="X120" s="39"/>
      <c r="Y120" s="39"/>
      <c r="Z120" s="39"/>
      <c r="AA120" s="35"/>
      <c r="AB120" s="50" t="e">
        <f t="shared" si="6"/>
        <v>#DIV/0!</v>
      </c>
      <c r="AC120" s="51" t="e">
        <f t="shared" si="6"/>
        <v>#DIV/0!</v>
      </c>
      <c r="AD120" s="19"/>
      <c r="AE120" s="19"/>
      <c r="AF120" s="285" t="s">
        <v>127</v>
      </c>
      <c r="AG120" s="240" t="e" cm="1">
        <f t="array" ref="AG120">bdRateExtend($G119:$G122,G119:G122,$R119:$R122,R119:R122)</f>
        <v>#VALUE!</v>
      </c>
      <c r="AH120" s="242"/>
      <c r="AI120" s="242"/>
      <c r="AJ120" s="245"/>
      <c r="AK120" s="240" t="e" cm="1">
        <f t="array" ref="AK120">bdRateExtend($G119:$G122,K119:K122,$R119:$R122,V119:V122)</f>
        <v>#VALUE!</v>
      </c>
      <c r="AL120" s="249"/>
      <c r="AM120" s="240" t="e" cm="1">
        <f t="array" ref="AM120">bdRateExtend($G119:$G122,L119:L122,$R119:$R122,W119:W122)</f>
        <v>#VALUE!</v>
      </c>
      <c r="AN120" s="249"/>
      <c r="AO120" s="252" t="e" cm="1">
        <f t="array" ref="AO120">bdRateExtend($G119:$G122,M119:M122,$R119:$R122,X119:X122)</f>
        <v>#VALUE!</v>
      </c>
      <c r="AP120" s="249"/>
    </row>
    <row r="121" spans="1:42" ht="17.100000000000001" customHeight="1" outlineLevel="4" x14ac:dyDescent="0.25">
      <c r="A121" s="222"/>
      <c r="B121" s="219"/>
      <c r="C121" s="229"/>
      <c r="D121" s="232"/>
      <c r="E121" s="235"/>
      <c r="F121" s="16">
        <v>47</v>
      </c>
      <c r="G121" s="34"/>
      <c r="H121" s="39"/>
      <c r="I121" s="39"/>
      <c r="J121" s="39"/>
      <c r="K121" s="39"/>
      <c r="L121" s="39"/>
      <c r="M121" s="39"/>
      <c r="N121" s="39"/>
      <c r="O121" s="39"/>
      <c r="P121" s="35"/>
      <c r="Q121" s="18"/>
      <c r="R121" s="34"/>
      <c r="S121" s="39"/>
      <c r="T121" s="39"/>
      <c r="U121" s="39"/>
      <c r="V121" s="39"/>
      <c r="W121" s="39"/>
      <c r="X121" s="39"/>
      <c r="Y121" s="39"/>
      <c r="Z121" s="39"/>
      <c r="AA121" s="35"/>
      <c r="AB121" s="50" t="e">
        <f t="shared" si="6"/>
        <v>#DIV/0!</v>
      </c>
      <c r="AC121" s="51" t="e">
        <f t="shared" si="6"/>
        <v>#DIV/0!</v>
      </c>
      <c r="AD121" s="19"/>
      <c r="AE121" s="19"/>
      <c r="AF121" s="285"/>
      <c r="AG121" s="240"/>
      <c r="AH121" s="242"/>
      <c r="AI121" s="242"/>
      <c r="AJ121" s="245"/>
      <c r="AK121" s="240"/>
      <c r="AL121" s="249"/>
      <c r="AM121" s="240"/>
      <c r="AN121" s="249"/>
      <c r="AO121" s="252"/>
      <c r="AP121" s="249"/>
    </row>
    <row r="122" spans="1:42" ht="17.100000000000001" customHeight="1" outlineLevel="4" x14ac:dyDescent="0.25">
      <c r="A122" s="222"/>
      <c r="B122" s="219"/>
      <c r="C122" s="229"/>
      <c r="D122" s="232"/>
      <c r="E122" s="235"/>
      <c r="F122" s="16">
        <v>55</v>
      </c>
      <c r="G122" s="34"/>
      <c r="H122" s="39"/>
      <c r="I122" s="39"/>
      <c r="J122" s="39"/>
      <c r="K122" s="39"/>
      <c r="L122" s="39"/>
      <c r="M122" s="39"/>
      <c r="N122" s="39"/>
      <c r="O122" s="39"/>
      <c r="P122" s="35"/>
      <c r="Q122" s="18"/>
      <c r="R122" s="34"/>
      <c r="S122" s="39"/>
      <c r="T122" s="39"/>
      <c r="U122" s="39"/>
      <c r="V122" s="39"/>
      <c r="W122" s="39"/>
      <c r="X122" s="39"/>
      <c r="Y122" s="39"/>
      <c r="Z122" s="39"/>
      <c r="AA122" s="35"/>
      <c r="AB122" s="50" t="e">
        <f t="shared" si="6"/>
        <v>#DIV/0!</v>
      </c>
      <c r="AC122" s="51" t="e">
        <f t="shared" si="6"/>
        <v>#DIV/0!</v>
      </c>
      <c r="AD122" s="19"/>
      <c r="AE122" s="19"/>
      <c r="AF122" s="285" t="s">
        <v>128</v>
      </c>
      <c r="AG122" s="240" t="e" cm="1">
        <f t="array" ref="AG122">bdRateExtend($G120:$G123,G120:G123,$R120:$R123,R120:R123)</f>
        <v>#VALUE!</v>
      </c>
      <c r="AH122" s="242"/>
      <c r="AI122" s="242"/>
      <c r="AJ122" s="245"/>
      <c r="AK122" s="240" t="e" cm="1">
        <f t="array" ref="AK122">bdRateExtend($G120:$G123,K120:K123,$R120:$R123,V120:V123)</f>
        <v>#VALUE!</v>
      </c>
      <c r="AL122" s="249"/>
      <c r="AM122" s="240" t="e" cm="1">
        <f t="array" ref="AM122">bdRateExtend($G120:$G123,L120:L123,$R120:$R123,W120:W123)</f>
        <v>#VALUE!</v>
      </c>
      <c r="AN122" s="249"/>
      <c r="AO122" s="252" t="e" cm="1">
        <f t="array" ref="AO122">bdRateExtend($G120:$G123,M120:M123,$R120:$R123,X120:X123)</f>
        <v>#VALUE!</v>
      </c>
      <c r="AP122" s="249"/>
    </row>
    <row r="123" spans="1:42" ht="17.100000000000001" customHeight="1" outlineLevel="4" thickBot="1" x14ac:dyDescent="0.3">
      <c r="A123" s="222"/>
      <c r="B123" s="220"/>
      <c r="C123" s="230"/>
      <c r="D123" s="233"/>
      <c r="E123" s="236"/>
      <c r="F123" s="9">
        <v>63</v>
      </c>
      <c r="G123" s="36"/>
      <c r="H123" s="37"/>
      <c r="I123" s="37"/>
      <c r="J123" s="37"/>
      <c r="K123" s="37"/>
      <c r="L123" s="37"/>
      <c r="M123" s="37"/>
      <c r="N123" s="37"/>
      <c r="O123" s="37"/>
      <c r="P123" s="38"/>
      <c r="Q123" s="18"/>
      <c r="R123" s="36"/>
      <c r="S123" s="37"/>
      <c r="T123" s="37"/>
      <c r="U123" s="37"/>
      <c r="V123" s="37"/>
      <c r="W123" s="37"/>
      <c r="X123" s="37"/>
      <c r="Y123" s="37"/>
      <c r="Z123" s="37"/>
      <c r="AA123" s="38"/>
      <c r="AB123" s="52" t="e">
        <f t="shared" si="6"/>
        <v>#DIV/0!</v>
      </c>
      <c r="AC123" s="53" t="e">
        <f t="shared" si="6"/>
        <v>#DIV/0!</v>
      </c>
      <c r="AD123" s="19"/>
      <c r="AE123" s="19"/>
      <c r="AF123" s="286"/>
      <c r="AG123" s="247"/>
      <c r="AH123" s="243"/>
      <c r="AI123" s="243"/>
      <c r="AJ123" s="246"/>
      <c r="AK123" s="247"/>
      <c r="AL123" s="250"/>
      <c r="AM123" s="247"/>
      <c r="AN123" s="250"/>
      <c r="AO123" s="253"/>
      <c r="AP123" s="250"/>
    </row>
    <row r="124" spans="1:42" ht="17.100000000000001" customHeight="1" outlineLevel="4" x14ac:dyDescent="0.25">
      <c r="A124" s="222"/>
      <c r="B124" s="218" t="s">
        <v>24</v>
      </c>
      <c r="C124" s="228" t="s">
        <v>57</v>
      </c>
      <c r="D124" s="231">
        <v>59.94</v>
      </c>
      <c r="E124" s="234">
        <v>10</v>
      </c>
      <c r="F124" s="7">
        <v>23</v>
      </c>
      <c r="G124" s="31"/>
      <c r="H124" s="32"/>
      <c r="I124" s="32"/>
      <c r="J124" s="32"/>
      <c r="K124" s="32"/>
      <c r="L124" s="32"/>
      <c r="M124" s="32"/>
      <c r="N124" s="32"/>
      <c r="O124" s="32"/>
      <c r="P124" s="33"/>
      <c r="Q124" s="18"/>
      <c r="R124" s="31"/>
      <c r="S124" s="32"/>
      <c r="T124" s="32"/>
      <c r="U124" s="32"/>
      <c r="V124" s="32"/>
      <c r="W124" s="32"/>
      <c r="X124" s="32"/>
      <c r="Y124" s="32"/>
      <c r="Z124" s="32"/>
      <c r="AA124" s="33"/>
      <c r="AB124" s="48" t="e">
        <f t="shared" si="6"/>
        <v>#DIV/0!</v>
      </c>
      <c r="AC124" s="49" t="e">
        <f t="shared" si="6"/>
        <v>#DIV/0!</v>
      </c>
      <c r="AD124" s="19"/>
      <c r="AE124" s="19"/>
      <c r="AF124" s="284" t="s">
        <v>126</v>
      </c>
      <c r="AG124" s="239" t="e" cm="1">
        <f t="array" ref="AG124">bdRateExtend($G124:$G127,G124:G127,$R124:$R127,R124:R127)</f>
        <v>#VALUE!</v>
      </c>
      <c r="AH124" s="241" t="e" cm="1">
        <f t="array" ref="AH124">bdRateExtend($G124:$G129,H124:H129,$R124:$R129,S124:S129)</f>
        <v>#VALUE!</v>
      </c>
      <c r="AI124" s="241" t="e" cm="1">
        <f t="array" ref="AI124">bdRateExtend($G124:$G129,I124:I129,$R124:$R129,T124:T129)</f>
        <v>#VALUE!</v>
      </c>
      <c r="AJ124" s="244" t="e" cm="1">
        <f t="array" ref="AJ124">bdRateExtend($G124:$G129,J124:J129,$R124:$R129,U124:U129)</f>
        <v>#VALUE!</v>
      </c>
      <c r="AK124" s="239" t="e" cm="1">
        <f t="array" ref="AK124">bdRateExtend($G124:$G127,K124:K127,$R124:$R127,V124:V127)</f>
        <v>#VALUE!</v>
      </c>
      <c r="AL124" s="248" t="e" cm="1">
        <f t="array" ref="AL124">bdRateExtend($G124:$G129,K124:K129,$R124:$R129,V124:V129)</f>
        <v>#VALUE!</v>
      </c>
      <c r="AM124" s="239" t="e" cm="1">
        <f t="array" ref="AM124">bdRateExtend($G124:$G127,L124:L127,$R124:$R127,W124:W127)</f>
        <v>#VALUE!</v>
      </c>
      <c r="AN124" s="248" t="e" cm="1">
        <f t="array" ref="AN124">bdRateExtend($G124:$G129,L124:L129,$R124:$R129,W124:W129)</f>
        <v>#VALUE!</v>
      </c>
      <c r="AO124" s="254" t="e" cm="1">
        <f t="array" ref="AO124">bdRateExtend($G124:$G127,M124:M127,$R124:$R127,X124:X127)</f>
        <v>#VALUE!</v>
      </c>
      <c r="AP124" s="248" t="e" cm="1">
        <f t="array" ref="AP124">bdRateExtend($G124:$G129,M124:M129,$R124:$R129,X124:X129)</f>
        <v>#VALUE!</v>
      </c>
    </row>
    <row r="125" spans="1:42" ht="17.100000000000001" customHeight="1" outlineLevel="4" x14ac:dyDescent="0.25">
      <c r="A125" s="222"/>
      <c r="B125" s="219"/>
      <c r="C125" s="229"/>
      <c r="D125" s="232"/>
      <c r="E125" s="235"/>
      <c r="F125" s="16">
        <v>31</v>
      </c>
      <c r="G125" s="34"/>
      <c r="H125" s="39"/>
      <c r="I125" s="39"/>
      <c r="J125" s="39"/>
      <c r="K125" s="39"/>
      <c r="L125" s="39"/>
      <c r="M125" s="39"/>
      <c r="N125" s="39"/>
      <c r="O125" s="39"/>
      <c r="P125" s="35"/>
      <c r="Q125" s="18"/>
      <c r="R125" s="34"/>
      <c r="S125" s="39"/>
      <c r="T125" s="39"/>
      <c r="U125" s="39"/>
      <c r="V125" s="39"/>
      <c r="W125" s="39"/>
      <c r="X125" s="39"/>
      <c r="Y125" s="39"/>
      <c r="Z125" s="39"/>
      <c r="AA125" s="35"/>
      <c r="AB125" s="50" t="e">
        <f t="shared" si="6"/>
        <v>#DIV/0!</v>
      </c>
      <c r="AC125" s="51" t="e">
        <f t="shared" si="6"/>
        <v>#DIV/0!</v>
      </c>
      <c r="AD125" s="19"/>
      <c r="AE125" s="19"/>
      <c r="AF125" s="285"/>
      <c r="AG125" s="240"/>
      <c r="AH125" s="242"/>
      <c r="AI125" s="242"/>
      <c r="AJ125" s="245"/>
      <c r="AK125" s="240"/>
      <c r="AL125" s="249"/>
      <c r="AM125" s="240"/>
      <c r="AN125" s="249"/>
      <c r="AO125" s="252"/>
      <c r="AP125" s="249"/>
    </row>
    <row r="126" spans="1:42" ht="17.100000000000001" customHeight="1" outlineLevel="4" x14ac:dyDescent="0.25">
      <c r="A126" s="222"/>
      <c r="B126" s="219"/>
      <c r="C126" s="229"/>
      <c r="D126" s="232"/>
      <c r="E126" s="235"/>
      <c r="F126" s="16">
        <v>39</v>
      </c>
      <c r="G126" s="34"/>
      <c r="H126" s="39"/>
      <c r="I126" s="39"/>
      <c r="J126" s="39"/>
      <c r="K126" s="39"/>
      <c r="L126" s="39"/>
      <c r="M126" s="39"/>
      <c r="N126" s="39"/>
      <c r="O126" s="39"/>
      <c r="P126" s="35"/>
      <c r="Q126" s="18"/>
      <c r="R126" s="34"/>
      <c r="S126" s="39"/>
      <c r="T126" s="39"/>
      <c r="U126" s="39"/>
      <c r="V126" s="39"/>
      <c r="W126" s="39"/>
      <c r="X126" s="39"/>
      <c r="Y126" s="39"/>
      <c r="Z126" s="39"/>
      <c r="AA126" s="35"/>
      <c r="AB126" s="50" t="e">
        <f t="shared" si="6"/>
        <v>#DIV/0!</v>
      </c>
      <c r="AC126" s="51" t="e">
        <f t="shared" si="6"/>
        <v>#DIV/0!</v>
      </c>
      <c r="AD126" s="19"/>
      <c r="AE126" s="19"/>
      <c r="AF126" s="285" t="s">
        <v>127</v>
      </c>
      <c r="AG126" s="240" t="e" cm="1">
        <f t="array" ref="AG126">bdRateExtend($G125:$G128,G125:G128,$R125:$R128,R125:R128)</f>
        <v>#VALUE!</v>
      </c>
      <c r="AH126" s="242"/>
      <c r="AI126" s="242"/>
      <c r="AJ126" s="245"/>
      <c r="AK126" s="240" t="e" cm="1">
        <f t="array" ref="AK126">bdRateExtend($G125:$G128,K125:K128,$R125:$R128,V125:V128)</f>
        <v>#VALUE!</v>
      </c>
      <c r="AL126" s="249"/>
      <c r="AM126" s="240" t="e" cm="1">
        <f t="array" ref="AM126">bdRateExtend($G125:$G128,L125:L128,$R125:$R128,W125:W128)</f>
        <v>#VALUE!</v>
      </c>
      <c r="AN126" s="249"/>
      <c r="AO126" s="252" t="e" cm="1">
        <f t="array" ref="AO126">bdRateExtend($G125:$G128,M125:M128,$R125:$R128,X125:X128)</f>
        <v>#VALUE!</v>
      </c>
      <c r="AP126" s="249"/>
    </row>
    <row r="127" spans="1:42" ht="17.100000000000001" customHeight="1" outlineLevel="4" x14ac:dyDescent="0.25">
      <c r="A127" s="222"/>
      <c r="B127" s="219"/>
      <c r="C127" s="229"/>
      <c r="D127" s="232"/>
      <c r="E127" s="235"/>
      <c r="F127" s="16">
        <v>47</v>
      </c>
      <c r="G127" s="34"/>
      <c r="H127" s="39"/>
      <c r="I127" s="39"/>
      <c r="J127" s="39"/>
      <c r="K127" s="39"/>
      <c r="L127" s="39"/>
      <c r="M127" s="39"/>
      <c r="N127" s="39"/>
      <c r="O127" s="39"/>
      <c r="P127" s="35"/>
      <c r="Q127" s="18"/>
      <c r="R127" s="34"/>
      <c r="S127" s="39"/>
      <c r="T127" s="39"/>
      <c r="U127" s="39"/>
      <c r="V127" s="39"/>
      <c r="W127" s="39"/>
      <c r="X127" s="39"/>
      <c r="Y127" s="39"/>
      <c r="Z127" s="39"/>
      <c r="AA127" s="35"/>
      <c r="AB127" s="50" t="e">
        <f t="shared" si="6"/>
        <v>#DIV/0!</v>
      </c>
      <c r="AC127" s="51" t="e">
        <f t="shared" si="6"/>
        <v>#DIV/0!</v>
      </c>
      <c r="AD127" s="19"/>
      <c r="AE127" s="19"/>
      <c r="AF127" s="285"/>
      <c r="AG127" s="240"/>
      <c r="AH127" s="242"/>
      <c r="AI127" s="242"/>
      <c r="AJ127" s="245"/>
      <c r="AK127" s="240"/>
      <c r="AL127" s="249"/>
      <c r="AM127" s="240"/>
      <c r="AN127" s="249"/>
      <c r="AO127" s="252"/>
      <c r="AP127" s="249"/>
    </row>
    <row r="128" spans="1:42" ht="17.100000000000001" customHeight="1" outlineLevel="4" x14ac:dyDescent="0.25">
      <c r="A128" s="222"/>
      <c r="B128" s="219"/>
      <c r="C128" s="229"/>
      <c r="D128" s="232"/>
      <c r="E128" s="235"/>
      <c r="F128" s="16">
        <v>55</v>
      </c>
      <c r="G128" s="34"/>
      <c r="H128" s="39"/>
      <c r="I128" s="39"/>
      <c r="J128" s="39"/>
      <c r="K128" s="39"/>
      <c r="L128" s="39"/>
      <c r="M128" s="39"/>
      <c r="N128" s="39"/>
      <c r="O128" s="39"/>
      <c r="P128" s="35"/>
      <c r="Q128" s="18"/>
      <c r="R128" s="34"/>
      <c r="S128" s="39"/>
      <c r="T128" s="39"/>
      <c r="U128" s="39"/>
      <c r="V128" s="39"/>
      <c r="W128" s="39"/>
      <c r="X128" s="39"/>
      <c r="Y128" s="39"/>
      <c r="Z128" s="39"/>
      <c r="AA128" s="35"/>
      <c r="AB128" s="50" t="e">
        <f t="shared" si="6"/>
        <v>#DIV/0!</v>
      </c>
      <c r="AC128" s="51" t="e">
        <f t="shared" si="6"/>
        <v>#DIV/0!</v>
      </c>
      <c r="AD128" s="19"/>
      <c r="AE128" s="19"/>
      <c r="AF128" s="285" t="s">
        <v>128</v>
      </c>
      <c r="AG128" s="240" t="e" cm="1">
        <f t="array" ref="AG128">bdRateExtend($G126:$G129,G126:G129,$R126:$R129,R126:R129)</f>
        <v>#VALUE!</v>
      </c>
      <c r="AH128" s="242"/>
      <c r="AI128" s="242"/>
      <c r="AJ128" s="245"/>
      <c r="AK128" s="240" t="e" cm="1">
        <f t="array" ref="AK128">bdRateExtend($G126:$G129,K126:K129,$R126:$R129,V126:V129)</f>
        <v>#VALUE!</v>
      </c>
      <c r="AL128" s="249"/>
      <c r="AM128" s="240" t="e" cm="1">
        <f t="array" ref="AM128">bdRateExtend($G126:$G129,L126:L129,$R126:$R129,W126:W129)</f>
        <v>#VALUE!</v>
      </c>
      <c r="AN128" s="249"/>
      <c r="AO128" s="252" t="e" cm="1">
        <f t="array" ref="AO128">bdRateExtend($G126:$G129,M126:M129,$R126:$R129,X126:X129)</f>
        <v>#VALUE!</v>
      </c>
      <c r="AP128" s="249"/>
    </row>
    <row r="129" spans="1:42" ht="17.100000000000001" customHeight="1" outlineLevel="4" thickBot="1" x14ac:dyDescent="0.3">
      <c r="A129" s="222"/>
      <c r="B129" s="220"/>
      <c r="C129" s="230"/>
      <c r="D129" s="233"/>
      <c r="E129" s="236"/>
      <c r="F129" s="9">
        <v>63</v>
      </c>
      <c r="G129" s="36"/>
      <c r="H129" s="37"/>
      <c r="I129" s="37"/>
      <c r="J129" s="37"/>
      <c r="K129" s="37"/>
      <c r="L129" s="37"/>
      <c r="M129" s="37"/>
      <c r="N129" s="37"/>
      <c r="O129" s="37"/>
      <c r="P129" s="38"/>
      <c r="Q129" s="18"/>
      <c r="R129" s="36"/>
      <c r="S129" s="37"/>
      <c r="T129" s="37"/>
      <c r="U129" s="37"/>
      <c r="V129" s="37"/>
      <c r="W129" s="37"/>
      <c r="X129" s="37"/>
      <c r="Y129" s="37"/>
      <c r="Z129" s="37"/>
      <c r="AA129" s="38"/>
      <c r="AB129" s="52" t="e">
        <f t="shared" si="6"/>
        <v>#DIV/0!</v>
      </c>
      <c r="AC129" s="53" t="e">
        <f t="shared" si="6"/>
        <v>#DIV/0!</v>
      </c>
      <c r="AD129" s="19"/>
      <c r="AE129" s="19"/>
      <c r="AF129" s="286"/>
      <c r="AG129" s="247"/>
      <c r="AH129" s="243"/>
      <c r="AI129" s="243"/>
      <c r="AJ129" s="246"/>
      <c r="AK129" s="247"/>
      <c r="AL129" s="250"/>
      <c r="AM129" s="247"/>
      <c r="AN129" s="250"/>
      <c r="AO129" s="253"/>
      <c r="AP129" s="250"/>
    </row>
    <row r="130" spans="1:42" ht="17.100000000000001" customHeight="1" outlineLevel="4" x14ac:dyDescent="0.25">
      <c r="A130" s="222"/>
      <c r="B130" s="218" t="s">
        <v>24</v>
      </c>
      <c r="C130" s="228" t="s">
        <v>58</v>
      </c>
      <c r="D130" s="231">
        <v>60</v>
      </c>
      <c r="E130" s="234" t="s">
        <v>23</v>
      </c>
      <c r="F130" s="7">
        <v>23</v>
      </c>
      <c r="G130" s="31"/>
      <c r="H130" s="32"/>
      <c r="I130" s="32"/>
      <c r="J130" s="32"/>
      <c r="K130" s="32"/>
      <c r="L130" s="32"/>
      <c r="M130" s="32"/>
      <c r="N130" s="32"/>
      <c r="O130" s="32"/>
      <c r="P130" s="33"/>
      <c r="Q130" s="18"/>
      <c r="R130" s="31"/>
      <c r="S130" s="32"/>
      <c r="T130" s="32"/>
      <c r="U130" s="32"/>
      <c r="V130" s="32"/>
      <c r="W130" s="32"/>
      <c r="X130" s="32"/>
      <c r="Y130" s="32"/>
      <c r="Z130" s="32"/>
      <c r="AA130" s="33"/>
      <c r="AB130" s="48" t="e">
        <f t="shared" si="6"/>
        <v>#DIV/0!</v>
      </c>
      <c r="AC130" s="49" t="e">
        <f t="shared" si="6"/>
        <v>#DIV/0!</v>
      </c>
      <c r="AD130" s="19"/>
      <c r="AE130" s="19"/>
      <c r="AF130" s="284" t="s">
        <v>126</v>
      </c>
      <c r="AG130" s="239" t="e" cm="1">
        <f t="array" ref="AG130">bdRateExtend($G130:$G133,G130:G133,$R130:$R133,R130:R133)</f>
        <v>#VALUE!</v>
      </c>
      <c r="AH130" s="241" t="e" cm="1">
        <f t="array" ref="AH130">bdRateExtend($G130:$G135,H130:H135,$R130:$R135,S130:S135)</f>
        <v>#VALUE!</v>
      </c>
      <c r="AI130" s="241" t="e" cm="1">
        <f t="array" ref="AI130">bdRateExtend($G130:$G135,I130:I135,$R130:$R135,T130:T135)</f>
        <v>#VALUE!</v>
      </c>
      <c r="AJ130" s="244" t="e" cm="1">
        <f t="array" ref="AJ130">bdRateExtend($G130:$G135,J130:J135,$R130:$R135,U130:U135)</f>
        <v>#VALUE!</v>
      </c>
      <c r="AK130" s="239" t="e" cm="1">
        <f t="array" ref="AK130">bdRateExtend($G130:$G133,K130:K133,$R130:$R133,V130:V133)</f>
        <v>#VALUE!</v>
      </c>
      <c r="AL130" s="248" t="e" cm="1">
        <f t="array" ref="AL130">bdRateExtend($G130:$G135,K130:K135,$R130:$R135,V130:V135)</f>
        <v>#VALUE!</v>
      </c>
      <c r="AM130" s="239" t="e" cm="1">
        <f t="array" ref="AM130">bdRateExtend($G130:$G133,L130:L133,$R130:$R133,W130:W133)</f>
        <v>#VALUE!</v>
      </c>
      <c r="AN130" s="248" t="e" cm="1">
        <f t="array" ref="AN130">bdRateExtend($G130:$G135,L130:L135,$R130:$R135,W130:W135)</f>
        <v>#VALUE!</v>
      </c>
      <c r="AO130" s="254" t="e" cm="1">
        <f t="array" ref="AO130">bdRateExtend($G130:$G133,M130:M133,$R130:$R133,X130:X133)</f>
        <v>#VALUE!</v>
      </c>
      <c r="AP130" s="248" t="e" cm="1">
        <f t="array" ref="AP130">bdRateExtend($G130:$G135,M130:M135,$R130:$R135,X130:X135)</f>
        <v>#VALUE!</v>
      </c>
    </row>
    <row r="131" spans="1:42" ht="17.100000000000001" customHeight="1" outlineLevel="4" x14ac:dyDescent="0.25">
      <c r="A131" s="222"/>
      <c r="B131" s="219"/>
      <c r="C131" s="229"/>
      <c r="D131" s="232"/>
      <c r="E131" s="235"/>
      <c r="F131" s="16">
        <v>31</v>
      </c>
      <c r="G131" s="34"/>
      <c r="H131" s="39"/>
      <c r="I131" s="39"/>
      <c r="J131" s="39"/>
      <c r="K131" s="39"/>
      <c r="L131" s="39"/>
      <c r="M131" s="39"/>
      <c r="N131" s="39"/>
      <c r="O131" s="39"/>
      <c r="P131" s="35"/>
      <c r="Q131" s="18"/>
      <c r="R131" s="34"/>
      <c r="S131" s="39"/>
      <c r="T131" s="39"/>
      <c r="U131" s="39"/>
      <c r="V131" s="39"/>
      <c r="W131" s="39"/>
      <c r="X131" s="39"/>
      <c r="Y131" s="39"/>
      <c r="Z131" s="39"/>
      <c r="AA131" s="35"/>
      <c r="AB131" s="50" t="e">
        <f t="shared" si="6"/>
        <v>#DIV/0!</v>
      </c>
      <c r="AC131" s="51" t="e">
        <f t="shared" si="6"/>
        <v>#DIV/0!</v>
      </c>
      <c r="AD131" s="19"/>
      <c r="AE131" s="19"/>
      <c r="AF131" s="285"/>
      <c r="AG131" s="240"/>
      <c r="AH131" s="242"/>
      <c r="AI131" s="242"/>
      <c r="AJ131" s="245"/>
      <c r="AK131" s="240"/>
      <c r="AL131" s="249"/>
      <c r="AM131" s="240"/>
      <c r="AN131" s="249"/>
      <c r="AO131" s="252"/>
      <c r="AP131" s="249"/>
    </row>
    <row r="132" spans="1:42" ht="17.100000000000001" customHeight="1" outlineLevel="4" x14ac:dyDescent="0.25">
      <c r="A132" s="222"/>
      <c r="B132" s="219"/>
      <c r="C132" s="229"/>
      <c r="D132" s="232"/>
      <c r="E132" s="235"/>
      <c r="F132" s="16">
        <v>39</v>
      </c>
      <c r="G132" s="34"/>
      <c r="H132" s="39"/>
      <c r="I132" s="39"/>
      <c r="J132" s="39"/>
      <c r="K132" s="39"/>
      <c r="L132" s="39"/>
      <c r="M132" s="39"/>
      <c r="N132" s="39"/>
      <c r="O132" s="39"/>
      <c r="P132" s="35"/>
      <c r="Q132" s="18"/>
      <c r="R132" s="34"/>
      <c r="S132" s="39"/>
      <c r="T132" s="39"/>
      <c r="U132" s="39"/>
      <c r="V132" s="39"/>
      <c r="W132" s="39"/>
      <c r="X132" s="39"/>
      <c r="Y132" s="39"/>
      <c r="Z132" s="39"/>
      <c r="AA132" s="35"/>
      <c r="AB132" s="50" t="e">
        <f t="shared" si="6"/>
        <v>#DIV/0!</v>
      </c>
      <c r="AC132" s="51" t="e">
        <f t="shared" si="6"/>
        <v>#DIV/0!</v>
      </c>
      <c r="AD132" s="19"/>
      <c r="AE132" s="19"/>
      <c r="AF132" s="285" t="s">
        <v>127</v>
      </c>
      <c r="AG132" s="240" t="e" cm="1">
        <f t="array" ref="AG132">bdRateExtend($G131:$G134,G131:G134,$R131:$R134,R131:R134)</f>
        <v>#VALUE!</v>
      </c>
      <c r="AH132" s="242"/>
      <c r="AI132" s="242"/>
      <c r="AJ132" s="245"/>
      <c r="AK132" s="240" t="e" cm="1">
        <f t="array" ref="AK132">bdRateExtend($G131:$G134,K131:K134,$R131:$R134,V131:V134)</f>
        <v>#VALUE!</v>
      </c>
      <c r="AL132" s="249"/>
      <c r="AM132" s="240" t="e" cm="1">
        <f t="array" ref="AM132">bdRateExtend($G131:$G134,L131:L134,$R131:$R134,W131:W134)</f>
        <v>#VALUE!</v>
      </c>
      <c r="AN132" s="249"/>
      <c r="AO132" s="252" t="e" cm="1">
        <f t="array" ref="AO132">bdRateExtend($G131:$G134,M131:M134,$R131:$R134,X131:X134)</f>
        <v>#VALUE!</v>
      </c>
      <c r="AP132" s="249"/>
    </row>
    <row r="133" spans="1:42" ht="17.100000000000001" customHeight="1" outlineLevel="4" x14ac:dyDescent="0.25">
      <c r="A133" s="222"/>
      <c r="B133" s="219"/>
      <c r="C133" s="229"/>
      <c r="D133" s="232"/>
      <c r="E133" s="235"/>
      <c r="F133" s="16">
        <v>47</v>
      </c>
      <c r="G133" s="34"/>
      <c r="H133" s="39"/>
      <c r="I133" s="39"/>
      <c r="J133" s="39"/>
      <c r="K133" s="39"/>
      <c r="L133" s="39"/>
      <c r="M133" s="39"/>
      <c r="N133" s="39"/>
      <c r="O133" s="39"/>
      <c r="P133" s="35"/>
      <c r="Q133" s="18"/>
      <c r="R133" s="34"/>
      <c r="S133" s="39"/>
      <c r="T133" s="39"/>
      <c r="U133" s="39"/>
      <c r="V133" s="39"/>
      <c r="W133" s="39"/>
      <c r="X133" s="39"/>
      <c r="Y133" s="39"/>
      <c r="Z133" s="39"/>
      <c r="AA133" s="35"/>
      <c r="AB133" s="50" t="e">
        <f t="shared" si="6"/>
        <v>#DIV/0!</v>
      </c>
      <c r="AC133" s="51" t="e">
        <f t="shared" si="6"/>
        <v>#DIV/0!</v>
      </c>
      <c r="AD133" s="19"/>
      <c r="AE133" s="19"/>
      <c r="AF133" s="285"/>
      <c r="AG133" s="240"/>
      <c r="AH133" s="242"/>
      <c r="AI133" s="242"/>
      <c r="AJ133" s="245"/>
      <c r="AK133" s="240"/>
      <c r="AL133" s="249"/>
      <c r="AM133" s="240"/>
      <c r="AN133" s="249"/>
      <c r="AO133" s="252"/>
      <c r="AP133" s="249"/>
    </row>
    <row r="134" spans="1:42" ht="17.100000000000001" customHeight="1" outlineLevel="4" x14ac:dyDescent="0.25">
      <c r="A134" s="222"/>
      <c r="B134" s="219"/>
      <c r="C134" s="229"/>
      <c r="D134" s="232"/>
      <c r="E134" s="235"/>
      <c r="F134" s="16">
        <v>55</v>
      </c>
      <c r="G134" s="34"/>
      <c r="H134" s="39"/>
      <c r="I134" s="39"/>
      <c r="J134" s="39"/>
      <c r="K134" s="39"/>
      <c r="L134" s="39"/>
      <c r="M134" s="39"/>
      <c r="N134" s="39"/>
      <c r="O134" s="39"/>
      <c r="P134" s="35"/>
      <c r="Q134" s="18"/>
      <c r="R134" s="34"/>
      <c r="S134" s="39"/>
      <c r="T134" s="39"/>
      <c r="U134" s="39"/>
      <c r="V134" s="39"/>
      <c r="W134" s="39"/>
      <c r="X134" s="39"/>
      <c r="Y134" s="39"/>
      <c r="Z134" s="39"/>
      <c r="AA134" s="35"/>
      <c r="AB134" s="50" t="e">
        <f t="shared" si="6"/>
        <v>#DIV/0!</v>
      </c>
      <c r="AC134" s="51" t="e">
        <f t="shared" si="6"/>
        <v>#DIV/0!</v>
      </c>
      <c r="AD134" s="19"/>
      <c r="AE134" s="19"/>
      <c r="AF134" s="285" t="s">
        <v>128</v>
      </c>
      <c r="AG134" s="240" t="e" cm="1">
        <f t="array" ref="AG134">bdRateExtend($G132:$G135,G132:G135,$R132:$R135,R132:R135)</f>
        <v>#VALUE!</v>
      </c>
      <c r="AH134" s="242"/>
      <c r="AI134" s="242"/>
      <c r="AJ134" s="245"/>
      <c r="AK134" s="240" t="e" cm="1">
        <f t="array" ref="AK134">bdRateExtend($G132:$G135,K132:K135,$R132:$R135,V132:V135)</f>
        <v>#VALUE!</v>
      </c>
      <c r="AL134" s="249"/>
      <c r="AM134" s="240" t="e" cm="1">
        <f t="array" ref="AM134">bdRateExtend($G132:$G135,L132:L135,$R132:$R135,W132:W135)</f>
        <v>#VALUE!</v>
      </c>
      <c r="AN134" s="249"/>
      <c r="AO134" s="252" t="e" cm="1">
        <f t="array" ref="AO134">bdRateExtend($G132:$G135,M132:M135,$R132:$R135,X132:X135)</f>
        <v>#VALUE!</v>
      </c>
      <c r="AP134" s="249"/>
    </row>
    <row r="135" spans="1:42" ht="17.100000000000001" customHeight="1" outlineLevel="4" thickBot="1" x14ac:dyDescent="0.3">
      <c r="A135" s="222"/>
      <c r="B135" s="220"/>
      <c r="C135" s="230"/>
      <c r="D135" s="233"/>
      <c r="E135" s="236"/>
      <c r="F135" s="9">
        <v>63</v>
      </c>
      <c r="G135" s="36"/>
      <c r="H135" s="37"/>
      <c r="I135" s="37"/>
      <c r="J135" s="37"/>
      <c r="K135" s="37"/>
      <c r="L135" s="37"/>
      <c r="M135" s="37"/>
      <c r="N135" s="37"/>
      <c r="O135" s="37"/>
      <c r="P135" s="38"/>
      <c r="Q135" s="18"/>
      <c r="R135" s="36"/>
      <c r="S135" s="37"/>
      <c r="T135" s="37"/>
      <c r="U135" s="37"/>
      <c r="V135" s="37"/>
      <c r="W135" s="37"/>
      <c r="X135" s="37"/>
      <c r="Y135" s="37"/>
      <c r="Z135" s="37"/>
      <c r="AA135" s="38"/>
      <c r="AB135" s="52" t="e">
        <f t="shared" si="6"/>
        <v>#DIV/0!</v>
      </c>
      <c r="AC135" s="53" t="e">
        <f t="shared" si="6"/>
        <v>#DIV/0!</v>
      </c>
      <c r="AD135" s="19"/>
      <c r="AE135" s="19"/>
      <c r="AF135" s="286"/>
      <c r="AG135" s="247"/>
      <c r="AH135" s="243"/>
      <c r="AI135" s="243"/>
      <c r="AJ135" s="246"/>
      <c r="AK135" s="247"/>
      <c r="AL135" s="250"/>
      <c r="AM135" s="247"/>
      <c r="AN135" s="250"/>
      <c r="AO135" s="253"/>
      <c r="AP135" s="250"/>
    </row>
    <row r="136" spans="1:42" ht="17.100000000000001" customHeight="1" outlineLevel="4" x14ac:dyDescent="0.25">
      <c r="A136" s="222"/>
      <c r="B136" s="218" t="s">
        <v>24</v>
      </c>
      <c r="C136" s="228" t="s">
        <v>59</v>
      </c>
      <c r="D136" s="231">
        <v>60</v>
      </c>
      <c r="E136" s="234" t="s">
        <v>23</v>
      </c>
      <c r="F136" s="7">
        <v>23</v>
      </c>
      <c r="G136" s="31"/>
      <c r="H136" s="32"/>
      <c r="I136" s="32"/>
      <c r="J136" s="32"/>
      <c r="K136" s="32"/>
      <c r="L136" s="32"/>
      <c r="M136" s="32"/>
      <c r="N136" s="32"/>
      <c r="O136" s="32"/>
      <c r="P136" s="33"/>
      <c r="Q136" s="18"/>
      <c r="R136" s="31"/>
      <c r="S136" s="32"/>
      <c r="T136" s="32"/>
      <c r="U136" s="32"/>
      <c r="V136" s="32"/>
      <c r="W136" s="32"/>
      <c r="X136" s="32"/>
      <c r="Y136" s="32"/>
      <c r="Z136" s="32"/>
      <c r="AA136" s="33"/>
      <c r="AB136" s="48" t="e">
        <f t="shared" si="6"/>
        <v>#DIV/0!</v>
      </c>
      <c r="AC136" s="49" t="e">
        <f t="shared" si="6"/>
        <v>#DIV/0!</v>
      </c>
      <c r="AD136" s="19"/>
      <c r="AE136" s="19"/>
      <c r="AF136" s="284" t="s">
        <v>126</v>
      </c>
      <c r="AG136" s="239" t="e" cm="1">
        <f t="array" ref="AG136">bdRateExtend($G136:$G139,G136:G139,$R136:$R139,R136:R139)</f>
        <v>#VALUE!</v>
      </c>
      <c r="AH136" s="241" t="e" cm="1">
        <f t="array" ref="AH136">bdRateExtend($G136:$G141,H136:H141,$R136:$R141,S136:S141)</f>
        <v>#VALUE!</v>
      </c>
      <c r="AI136" s="241" t="e" cm="1">
        <f t="array" ref="AI136">bdRateExtend($G136:$G141,I136:I141,$R136:$R141,T136:T141)</f>
        <v>#VALUE!</v>
      </c>
      <c r="AJ136" s="244" t="e" cm="1">
        <f t="array" ref="AJ136">bdRateExtend($G136:$G141,J136:J141,$R136:$R141,U136:U141)</f>
        <v>#VALUE!</v>
      </c>
      <c r="AK136" s="239" t="e" cm="1">
        <f t="array" ref="AK136">bdRateExtend($G136:$G139,K136:K139,$R136:$R139,V136:V139)</f>
        <v>#VALUE!</v>
      </c>
      <c r="AL136" s="248" t="e" cm="1">
        <f t="array" ref="AL136">bdRateExtend($G136:$G141,K136:K141,$R136:$R141,V136:V141)</f>
        <v>#VALUE!</v>
      </c>
      <c r="AM136" s="239" t="e" cm="1">
        <f t="array" ref="AM136">bdRateExtend($G136:$G139,L136:L139,$R136:$R139,W136:W139)</f>
        <v>#VALUE!</v>
      </c>
      <c r="AN136" s="248" t="e" cm="1">
        <f t="array" ref="AN136">bdRateExtend($G136:$G141,L136:L141,$R136:$R141,W136:W141)</f>
        <v>#VALUE!</v>
      </c>
      <c r="AO136" s="254" t="e" cm="1">
        <f t="array" ref="AO136">bdRateExtend($G136:$G139,M136:M139,$R136:$R139,X136:X139)</f>
        <v>#VALUE!</v>
      </c>
      <c r="AP136" s="248" t="e" cm="1">
        <f t="array" ref="AP136">bdRateExtend($G136:$G141,M136:M141,$R136:$R141,X136:X141)</f>
        <v>#VALUE!</v>
      </c>
    </row>
    <row r="137" spans="1:42" ht="17.100000000000001" customHeight="1" outlineLevel="4" x14ac:dyDescent="0.25">
      <c r="A137" s="222"/>
      <c r="B137" s="219"/>
      <c r="C137" s="229"/>
      <c r="D137" s="232"/>
      <c r="E137" s="235"/>
      <c r="F137" s="16">
        <v>31</v>
      </c>
      <c r="G137" s="34"/>
      <c r="H137" s="39"/>
      <c r="I137" s="39"/>
      <c r="J137" s="39"/>
      <c r="K137" s="39"/>
      <c r="L137" s="39"/>
      <c r="M137" s="39"/>
      <c r="N137" s="39"/>
      <c r="O137" s="39"/>
      <c r="P137" s="35"/>
      <c r="Q137" s="18"/>
      <c r="R137" s="34"/>
      <c r="S137" s="39"/>
      <c r="T137" s="39"/>
      <c r="U137" s="39"/>
      <c r="V137" s="39"/>
      <c r="W137" s="39"/>
      <c r="X137" s="39"/>
      <c r="Y137" s="39"/>
      <c r="Z137" s="39"/>
      <c r="AA137" s="35"/>
      <c r="AB137" s="50" t="e">
        <f t="shared" si="6"/>
        <v>#DIV/0!</v>
      </c>
      <c r="AC137" s="51" t="e">
        <f t="shared" si="6"/>
        <v>#DIV/0!</v>
      </c>
      <c r="AD137" s="19"/>
      <c r="AE137" s="19"/>
      <c r="AF137" s="285"/>
      <c r="AG137" s="240"/>
      <c r="AH137" s="242"/>
      <c r="AI137" s="242"/>
      <c r="AJ137" s="245"/>
      <c r="AK137" s="240"/>
      <c r="AL137" s="249"/>
      <c r="AM137" s="240"/>
      <c r="AN137" s="249"/>
      <c r="AO137" s="252"/>
      <c r="AP137" s="249"/>
    </row>
    <row r="138" spans="1:42" ht="17.100000000000001" customHeight="1" outlineLevel="4" x14ac:dyDescent="0.25">
      <c r="A138" s="222"/>
      <c r="B138" s="219"/>
      <c r="C138" s="229"/>
      <c r="D138" s="232"/>
      <c r="E138" s="235"/>
      <c r="F138" s="16">
        <v>39</v>
      </c>
      <c r="G138" s="34"/>
      <c r="H138" s="39"/>
      <c r="I138" s="39"/>
      <c r="J138" s="39"/>
      <c r="K138" s="39"/>
      <c r="L138" s="39"/>
      <c r="M138" s="39"/>
      <c r="N138" s="39"/>
      <c r="O138" s="39"/>
      <c r="P138" s="35"/>
      <c r="Q138" s="18"/>
      <c r="R138" s="34"/>
      <c r="S138" s="39"/>
      <c r="T138" s="39"/>
      <c r="U138" s="39"/>
      <c r="V138" s="39"/>
      <c r="W138" s="39"/>
      <c r="X138" s="39"/>
      <c r="Y138" s="39"/>
      <c r="Z138" s="39"/>
      <c r="AA138" s="35"/>
      <c r="AB138" s="50" t="e">
        <f t="shared" si="6"/>
        <v>#DIV/0!</v>
      </c>
      <c r="AC138" s="51" t="e">
        <f t="shared" si="6"/>
        <v>#DIV/0!</v>
      </c>
      <c r="AD138" s="19"/>
      <c r="AE138" s="19"/>
      <c r="AF138" s="285" t="s">
        <v>127</v>
      </c>
      <c r="AG138" s="240" t="e" cm="1">
        <f t="array" ref="AG138">bdRateExtend($G137:$G140,G137:G140,$R137:$R140,R137:R140)</f>
        <v>#VALUE!</v>
      </c>
      <c r="AH138" s="242"/>
      <c r="AI138" s="242"/>
      <c r="AJ138" s="245"/>
      <c r="AK138" s="240" t="e" cm="1">
        <f t="array" ref="AK138">bdRateExtend($G137:$G140,K137:K140,$R137:$R140,V137:V140)</f>
        <v>#VALUE!</v>
      </c>
      <c r="AL138" s="249"/>
      <c r="AM138" s="240" t="e" cm="1">
        <f t="array" ref="AM138">bdRateExtend($G137:$G140,L137:L140,$R137:$R140,W137:W140)</f>
        <v>#VALUE!</v>
      </c>
      <c r="AN138" s="249"/>
      <c r="AO138" s="252" t="e" cm="1">
        <f t="array" ref="AO138">bdRateExtend($G137:$G140,M137:M140,$R137:$R140,X137:X140)</f>
        <v>#VALUE!</v>
      </c>
      <c r="AP138" s="249"/>
    </row>
    <row r="139" spans="1:42" ht="17.100000000000001" customHeight="1" outlineLevel="4" x14ac:dyDescent="0.25">
      <c r="A139" s="222"/>
      <c r="B139" s="219"/>
      <c r="C139" s="229"/>
      <c r="D139" s="232"/>
      <c r="E139" s="235"/>
      <c r="F139" s="16">
        <v>47</v>
      </c>
      <c r="G139" s="34"/>
      <c r="H139" s="39"/>
      <c r="I139" s="39"/>
      <c r="J139" s="39"/>
      <c r="K139" s="39"/>
      <c r="L139" s="39"/>
      <c r="M139" s="39"/>
      <c r="N139" s="39"/>
      <c r="O139" s="39"/>
      <c r="P139" s="35"/>
      <c r="Q139" s="18"/>
      <c r="R139" s="34"/>
      <c r="S139" s="39"/>
      <c r="T139" s="39"/>
      <c r="U139" s="39"/>
      <c r="V139" s="39"/>
      <c r="W139" s="39"/>
      <c r="X139" s="39"/>
      <c r="Y139" s="39"/>
      <c r="Z139" s="39"/>
      <c r="AA139" s="35"/>
      <c r="AB139" s="50" t="e">
        <f t="shared" si="6"/>
        <v>#DIV/0!</v>
      </c>
      <c r="AC139" s="51" t="e">
        <f t="shared" si="6"/>
        <v>#DIV/0!</v>
      </c>
      <c r="AD139" s="19"/>
      <c r="AE139" s="19"/>
      <c r="AF139" s="285"/>
      <c r="AG139" s="240"/>
      <c r="AH139" s="242"/>
      <c r="AI139" s="242"/>
      <c r="AJ139" s="245"/>
      <c r="AK139" s="240"/>
      <c r="AL139" s="249"/>
      <c r="AM139" s="240"/>
      <c r="AN139" s="249"/>
      <c r="AO139" s="252"/>
      <c r="AP139" s="249"/>
    </row>
    <row r="140" spans="1:42" ht="17.100000000000001" customHeight="1" outlineLevel="4" x14ac:dyDescent="0.25">
      <c r="A140" s="222"/>
      <c r="B140" s="219"/>
      <c r="C140" s="229"/>
      <c r="D140" s="232"/>
      <c r="E140" s="235"/>
      <c r="F140" s="16">
        <v>55</v>
      </c>
      <c r="G140" s="34"/>
      <c r="H140" s="39"/>
      <c r="I140" s="39"/>
      <c r="J140" s="39"/>
      <c r="K140" s="39"/>
      <c r="L140" s="39"/>
      <c r="M140" s="39"/>
      <c r="N140" s="39"/>
      <c r="O140" s="39"/>
      <c r="P140" s="35"/>
      <c r="Q140" s="18"/>
      <c r="R140" s="34"/>
      <c r="S140" s="39"/>
      <c r="T140" s="39"/>
      <c r="U140" s="39"/>
      <c r="V140" s="39"/>
      <c r="W140" s="39"/>
      <c r="X140" s="39"/>
      <c r="Y140" s="39"/>
      <c r="Z140" s="39"/>
      <c r="AA140" s="35"/>
      <c r="AB140" s="50" t="e">
        <f t="shared" si="6"/>
        <v>#DIV/0!</v>
      </c>
      <c r="AC140" s="51" t="e">
        <f t="shared" si="6"/>
        <v>#DIV/0!</v>
      </c>
      <c r="AD140" s="19"/>
      <c r="AE140" s="19"/>
      <c r="AF140" s="285" t="s">
        <v>128</v>
      </c>
      <c r="AG140" s="240" t="e" cm="1">
        <f t="array" ref="AG140">bdRateExtend($G138:$G141,G138:G141,$R138:$R141,R138:R141)</f>
        <v>#VALUE!</v>
      </c>
      <c r="AH140" s="242"/>
      <c r="AI140" s="242"/>
      <c r="AJ140" s="245"/>
      <c r="AK140" s="240" t="e" cm="1">
        <f t="array" ref="AK140">bdRateExtend($G138:$G141,K138:K141,$R138:$R141,V138:V141)</f>
        <v>#VALUE!</v>
      </c>
      <c r="AL140" s="249"/>
      <c r="AM140" s="240" t="e" cm="1">
        <f t="array" ref="AM140">bdRateExtend($G138:$G141,L138:L141,$R138:$R141,W138:W141)</f>
        <v>#VALUE!</v>
      </c>
      <c r="AN140" s="249"/>
      <c r="AO140" s="252" t="e" cm="1">
        <f t="array" ref="AO140">bdRateExtend($G138:$G141,M138:M141,$R138:$R141,X138:X141)</f>
        <v>#VALUE!</v>
      </c>
      <c r="AP140" s="249"/>
    </row>
    <row r="141" spans="1:42" ht="17.100000000000001" customHeight="1" outlineLevel="4" thickBot="1" x14ac:dyDescent="0.3">
      <c r="A141" s="222"/>
      <c r="B141" s="220"/>
      <c r="C141" s="230"/>
      <c r="D141" s="233"/>
      <c r="E141" s="236"/>
      <c r="F141" s="9">
        <v>63</v>
      </c>
      <c r="G141" s="36"/>
      <c r="H141" s="37"/>
      <c r="I141" s="37"/>
      <c r="J141" s="37"/>
      <c r="K141" s="37"/>
      <c r="L141" s="37"/>
      <c r="M141" s="37"/>
      <c r="N141" s="37"/>
      <c r="O141" s="37"/>
      <c r="P141" s="38"/>
      <c r="Q141" s="18"/>
      <c r="R141" s="36"/>
      <c r="S141" s="37"/>
      <c r="T141" s="37"/>
      <c r="U141" s="37"/>
      <c r="V141" s="37"/>
      <c r="W141" s="37"/>
      <c r="X141" s="37"/>
      <c r="Y141" s="37"/>
      <c r="Z141" s="37"/>
      <c r="AA141" s="38"/>
      <c r="AB141" s="52" t="e">
        <f t="shared" si="6"/>
        <v>#DIV/0!</v>
      </c>
      <c r="AC141" s="53" t="e">
        <f t="shared" si="6"/>
        <v>#DIV/0!</v>
      </c>
      <c r="AD141" s="19"/>
      <c r="AE141" s="19"/>
      <c r="AF141" s="286"/>
      <c r="AG141" s="247"/>
      <c r="AH141" s="243"/>
      <c r="AI141" s="243"/>
      <c r="AJ141" s="246"/>
      <c r="AK141" s="247"/>
      <c r="AL141" s="250"/>
      <c r="AM141" s="247"/>
      <c r="AN141" s="250"/>
      <c r="AO141" s="253"/>
      <c r="AP141" s="250"/>
    </row>
    <row r="142" spans="1:42" ht="17.100000000000001" customHeight="1" outlineLevel="4" x14ac:dyDescent="0.25">
      <c r="A142" s="222"/>
      <c r="B142" s="218" t="s">
        <v>24</v>
      </c>
      <c r="C142" s="228" t="s">
        <v>60</v>
      </c>
      <c r="D142" s="231">
        <v>59.94</v>
      </c>
      <c r="E142" s="234">
        <v>10</v>
      </c>
      <c r="F142" s="7">
        <v>23</v>
      </c>
      <c r="G142" s="31"/>
      <c r="H142" s="32"/>
      <c r="I142" s="32"/>
      <c r="J142" s="32"/>
      <c r="K142" s="32"/>
      <c r="L142" s="32"/>
      <c r="M142" s="32"/>
      <c r="N142" s="32"/>
      <c r="O142" s="32"/>
      <c r="P142" s="33"/>
      <c r="Q142" s="18"/>
      <c r="R142" s="31"/>
      <c r="S142" s="32"/>
      <c r="T142" s="32"/>
      <c r="U142" s="32"/>
      <c r="V142" s="32"/>
      <c r="W142" s="32"/>
      <c r="X142" s="32"/>
      <c r="Y142" s="32"/>
      <c r="Z142" s="32"/>
      <c r="AA142" s="33"/>
      <c r="AB142" s="48" t="e">
        <f t="shared" si="6"/>
        <v>#DIV/0!</v>
      </c>
      <c r="AC142" s="49" t="e">
        <f t="shared" si="6"/>
        <v>#DIV/0!</v>
      </c>
      <c r="AD142" s="19"/>
      <c r="AE142" s="19"/>
      <c r="AF142" s="284" t="s">
        <v>126</v>
      </c>
      <c r="AG142" s="239" t="e" cm="1">
        <f t="array" ref="AG142">bdRateExtend($G142:$G145,G142:G145,$R142:$R145,R142:R145)</f>
        <v>#VALUE!</v>
      </c>
      <c r="AH142" s="241" t="e" cm="1">
        <f t="array" ref="AH142">bdRateExtend($G142:$G147,H142:H147,$R142:$R147,S142:S147)</f>
        <v>#VALUE!</v>
      </c>
      <c r="AI142" s="241" t="e" cm="1">
        <f t="array" ref="AI142">bdRateExtend($G142:$G147,I142:I147,$R142:$R147,T142:T147)</f>
        <v>#VALUE!</v>
      </c>
      <c r="AJ142" s="244" t="e" cm="1">
        <f t="array" ref="AJ142">bdRateExtend($G142:$G147,J142:J147,$R142:$R147,U142:U147)</f>
        <v>#VALUE!</v>
      </c>
      <c r="AK142" s="239" t="e" cm="1">
        <f t="array" ref="AK142">bdRateExtend($G142:$G145,K142:K145,$R142:$R145,V142:V145)</f>
        <v>#VALUE!</v>
      </c>
      <c r="AL142" s="248" t="e" cm="1">
        <f t="array" ref="AL142">bdRateExtend($G142:$G147,K142:K147,$R142:$R147,V142:V147)</f>
        <v>#VALUE!</v>
      </c>
      <c r="AM142" s="239" t="e" cm="1">
        <f t="array" ref="AM142">bdRateExtend($G142:$G145,L142:L145,$R142:$R145,W142:W145)</f>
        <v>#VALUE!</v>
      </c>
      <c r="AN142" s="248" t="e" cm="1">
        <f t="array" ref="AN142">bdRateExtend($G142:$G147,L142:L147,$R142:$R147,W142:W147)</f>
        <v>#VALUE!</v>
      </c>
      <c r="AO142" s="254" t="e" cm="1">
        <f t="array" ref="AO142">bdRateExtend($G142:$G145,M142:M145,$R142:$R145,X142:X145)</f>
        <v>#VALUE!</v>
      </c>
      <c r="AP142" s="248" t="e" cm="1">
        <f t="array" ref="AP142">bdRateExtend($G142:$G147,M142:M147,$R142:$R147,X142:X147)</f>
        <v>#VALUE!</v>
      </c>
    </row>
    <row r="143" spans="1:42" ht="17.100000000000001" customHeight="1" outlineLevel="4" x14ac:dyDescent="0.25">
      <c r="A143" s="222"/>
      <c r="B143" s="219"/>
      <c r="C143" s="229"/>
      <c r="D143" s="232"/>
      <c r="E143" s="235"/>
      <c r="F143" s="16">
        <v>31</v>
      </c>
      <c r="G143" s="34"/>
      <c r="H143" s="39"/>
      <c r="I143" s="39"/>
      <c r="J143" s="39"/>
      <c r="K143" s="39"/>
      <c r="L143" s="39"/>
      <c r="M143" s="39"/>
      <c r="N143" s="39"/>
      <c r="O143" s="39"/>
      <c r="P143" s="35"/>
      <c r="Q143" s="18"/>
      <c r="R143" s="34"/>
      <c r="S143" s="39"/>
      <c r="T143" s="39"/>
      <c r="U143" s="39"/>
      <c r="V143" s="39"/>
      <c r="W143" s="39"/>
      <c r="X143" s="39"/>
      <c r="Y143" s="39"/>
      <c r="Z143" s="39"/>
      <c r="AA143" s="35"/>
      <c r="AB143" s="50" t="e">
        <f t="shared" si="6"/>
        <v>#DIV/0!</v>
      </c>
      <c r="AC143" s="51" t="e">
        <f t="shared" si="6"/>
        <v>#DIV/0!</v>
      </c>
      <c r="AD143" s="19"/>
      <c r="AE143" s="19"/>
      <c r="AF143" s="285"/>
      <c r="AG143" s="240"/>
      <c r="AH143" s="242"/>
      <c r="AI143" s="242"/>
      <c r="AJ143" s="245"/>
      <c r="AK143" s="240"/>
      <c r="AL143" s="249"/>
      <c r="AM143" s="240"/>
      <c r="AN143" s="249"/>
      <c r="AO143" s="252"/>
      <c r="AP143" s="249"/>
    </row>
    <row r="144" spans="1:42" ht="17.100000000000001" customHeight="1" outlineLevel="4" x14ac:dyDescent="0.25">
      <c r="A144" s="222"/>
      <c r="B144" s="219"/>
      <c r="C144" s="229"/>
      <c r="D144" s="232"/>
      <c r="E144" s="235"/>
      <c r="F144" s="16">
        <v>39</v>
      </c>
      <c r="G144" s="34"/>
      <c r="H144" s="39"/>
      <c r="I144" s="39"/>
      <c r="J144" s="39"/>
      <c r="K144" s="39"/>
      <c r="L144" s="39"/>
      <c r="M144" s="39"/>
      <c r="N144" s="39"/>
      <c r="O144" s="39"/>
      <c r="P144" s="35"/>
      <c r="Q144" s="18"/>
      <c r="R144" s="34"/>
      <c r="S144" s="39"/>
      <c r="T144" s="39"/>
      <c r="U144" s="39"/>
      <c r="V144" s="39"/>
      <c r="W144" s="39"/>
      <c r="X144" s="39"/>
      <c r="Y144" s="39"/>
      <c r="Z144" s="39"/>
      <c r="AA144" s="35"/>
      <c r="AB144" s="50" t="e">
        <f t="shared" si="6"/>
        <v>#DIV/0!</v>
      </c>
      <c r="AC144" s="51" t="e">
        <f t="shared" si="6"/>
        <v>#DIV/0!</v>
      </c>
      <c r="AD144" s="19"/>
      <c r="AE144" s="19"/>
      <c r="AF144" s="285" t="s">
        <v>127</v>
      </c>
      <c r="AG144" s="240" t="e" cm="1">
        <f t="array" ref="AG144">bdRateExtend($G143:$G146,G143:G146,$R143:$R146,R143:R146)</f>
        <v>#VALUE!</v>
      </c>
      <c r="AH144" s="242"/>
      <c r="AI144" s="242"/>
      <c r="AJ144" s="245"/>
      <c r="AK144" s="240" t="e" cm="1">
        <f t="array" ref="AK144">bdRateExtend($G143:$G146,K143:K146,$R143:$R146,V143:V146)</f>
        <v>#VALUE!</v>
      </c>
      <c r="AL144" s="249"/>
      <c r="AM144" s="240" t="e" cm="1">
        <f t="array" ref="AM144">bdRateExtend($G143:$G146,L143:L146,$R143:$R146,W143:W146)</f>
        <v>#VALUE!</v>
      </c>
      <c r="AN144" s="249"/>
      <c r="AO144" s="252" t="e" cm="1">
        <f t="array" ref="AO144">bdRateExtend($G143:$G146,M143:M146,$R143:$R146,X143:X146)</f>
        <v>#VALUE!</v>
      </c>
      <c r="AP144" s="249"/>
    </row>
    <row r="145" spans="1:42" ht="17.100000000000001" customHeight="1" outlineLevel="4" x14ac:dyDescent="0.25">
      <c r="A145" s="222"/>
      <c r="B145" s="219"/>
      <c r="C145" s="229"/>
      <c r="D145" s="232"/>
      <c r="E145" s="235"/>
      <c r="F145" s="16">
        <v>47</v>
      </c>
      <c r="G145" s="34"/>
      <c r="H145" s="39"/>
      <c r="I145" s="39"/>
      <c r="J145" s="39"/>
      <c r="K145" s="39"/>
      <c r="L145" s="39"/>
      <c r="M145" s="39"/>
      <c r="N145" s="39"/>
      <c r="O145" s="39"/>
      <c r="P145" s="35"/>
      <c r="Q145" s="18"/>
      <c r="R145" s="34"/>
      <c r="S145" s="39"/>
      <c r="T145" s="39"/>
      <c r="U145" s="39"/>
      <c r="V145" s="39"/>
      <c r="W145" s="39"/>
      <c r="X145" s="39"/>
      <c r="Y145" s="39"/>
      <c r="Z145" s="39"/>
      <c r="AA145" s="35"/>
      <c r="AB145" s="50" t="e">
        <f t="shared" si="6"/>
        <v>#DIV/0!</v>
      </c>
      <c r="AC145" s="51" t="e">
        <f t="shared" si="6"/>
        <v>#DIV/0!</v>
      </c>
      <c r="AD145" s="19"/>
      <c r="AE145" s="19"/>
      <c r="AF145" s="285"/>
      <c r="AG145" s="240"/>
      <c r="AH145" s="242"/>
      <c r="AI145" s="242"/>
      <c r="AJ145" s="245"/>
      <c r="AK145" s="240"/>
      <c r="AL145" s="249"/>
      <c r="AM145" s="240"/>
      <c r="AN145" s="249"/>
      <c r="AO145" s="252"/>
      <c r="AP145" s="249"/>
    </row>
    <row r="146" spans="1:42" ht="17.100000000000001" customHeight="1" outlineLevel="4" x14ac:dyDescent="0.25">
      <c r="A146" s="222"/>
      <c r="B146" s="219"/>
      <c r="C146" s="229"/>
      <c r="D146" s="232"/>
      <c r="E146" s="235"/>
      <c r="F146" s="16">
        <v>55</v>
      </c>
      <c r="G146" s="34"/>
      <c r="H146" s="39"/>
      <c r="I146" s="39"/>
      <c r="J146" s="39"/>
      <c r="K146" s="39"/>
      <c r="L146" s="39"/>
      <c r="M146" s="39"/>
      <c r="N146" s="39"/>
      <c r="O146" s="39"/>
      <c r="P146" s="35"/>
      <c r="Q146" s="18"/>
      <c r="R146" s="34"/>
      <c r="S146" s="39"/>
      <c r="T146" s="39"/>
      <c r="U146" s="39"/>
      <c r="V146" s="39"/>
      <c r="W146" s="39"/>
      <c r="X146" s="39"/>
      <c r="Y146" s="39"/>
      <c r="Z146" s="39"/>
      <c r="AA146" s="35"/>
      <c r="AB146" s="50" t="e">
        <f t="shared" si="6"/>
        <v>#DIV/0!</v>
      </c>
      <c r="AC146" s="51" t="e">
        <f t="shared" si="6"/>
        <v>#DIV/0!</v>
      </c>
      <c r="AD146" s="19"/>
      <c r="AE146" s="19"/>
      <c r="AF146" s="285" t="s">
        <v>128</v>
      </c>
      <c r="AG146" s="240" t="e" cm="1">
        <f t="array" ref="AG146">bdRateExtend($G144:$G147,G144:G147,$R144:$R147,R144:R147)</f>
        <v>#VALUE!</v>
      </c>
      <c r="AH146" s="242"/>
      <c r="AI146" s="242"/>
      <c r="AJ146" s="245"/>
      <c r="AK146" s="240" t="e" cm="1">
        <f t="array" ref="AK146">bdRateExtend($G144:$G147,K144:K147,$R144:$R147,V144:V147)</f>
        <v>#VALUE!</v>
      </c>
      <c r="AL146" s="249"/>
      <c r="AM146" s="240" t="e" cm="1">
        <f t="array" ref="AM146">bdRateExtend($G144:$G147,L144:L147,$R144:$R147,W144:W147)</f>
        <v>#VALUE!</v>
      </c>
      <c r="AN146" s="249"/>
      <c r="AO146" s="252" t="e" cm="1">
        <f t="array" ref="AO146">bdRateExtend($G144:$G147,M144:M147,$R144:$R147,X144:X147)</f>
        <v>#VALUE!</v>
      </c>
      <c r="AP146" s="249"/>
    </row>
    <row r="147" spans="1:42" ht="17.100000000000001" customHeight="1" outlineLevel="4" thickBot="1" x14ac:dyDescent="0.3">
      <c r="A147" s="222"/>
      <c r="B147" s="220"/>
      <c r="C147" s="230"/>
      <c r="D147" s="233"/>
      <c r="E147" s="236"/>
      <c r="F147" s="9">
        <v>63</v>
      </c>
      <c r="G147" s="36"/>
      <c r="H147" s="37"/>
      <c r="I147" s="37"/>
      <c r="J147" s="37"/>
      <c r="K147" s="37"/>
      <c r="L147" s="37"/>
      <c r="M147" s="37"/>
      <c r="N147" s="37"/>
      <c r="O147" s="37"/>
      <c r="P147" s="38"/>
      <c r="Q147" s="18"/>
      <c r="R147" s="36"/>
      <c r="S147" s="37"/>
      <c r="T147" s="37"/>
      <c r="U147" s="37"/>
      <c r="V147" s="37"/>
      <c r="W147" s="37"/>
      <c r="X147" s="37"/>
      <c r="Y147" s="37"/>
      <c r="Z147" s="37"/>
      <c r="AA147" s="38"/>
      <c r="AB147" s="52" t="e">
        <f t="shared" si="6"/>
        <v>#DIV/0!</v>
      </c>
      <c r="AC147" s="53" t="e">
        <f t="shared" si="6"/>
        <v>#DIV/0!</v>
      </c>
      <c r="AD147" s="19"/>
      <c r="AE147" s="19"/>
      <c r="AF147" s="286"/>
      <c r="AG147" s="247"/>
      <c r="AH147" s="243"/>
      <c r="AI147" s="243"/>
      <c r="AJ147" s="246"/>
      <c r="AK147" s="247"/>
      <c r="AL147" s="250"/>
      <c r="AM147" s="247"/>
      <c r="AN147" s="250"/>
      <c r="AO147" s="253"/>
      <c r="AP147" s="250"/>
    </row>
    <row r="148" spans="1:42" ht="17.100000000000001" customHeight="1" outlineLevel="4" x14ac:dyDescent="0.25">
      <c r="A148" s="222"/>
      <c r="B148" s="218" t="s">
        <v>24</v>
      </c>
      <c r="C148" s="228" t="s">
        <v>61</v>
      </c>
      <c r="D148" s="231">
        <v>60</v>
      </c>
      <c r="E148" s="234">
        <v>8</v>
      </c>
      <c r="F148" s="7">
        <v>23</v>
      </c>
      <c r="G148" s="31"/>
      <c r="H148" s="32"/>
      <c r="I148" s="32"/>
      <c r="J148" s="32"/>
      <c r="K148" s="32"/>
      <c r="L148" s="32"/>
      <c r="M148" s="32"/>
      <c r="N148" s="32"/>
      <c r="O148" s="32"/>
      <c r="P148" s="33"/>
      <c r="Q148" s="18"/>
      <c r="R148" s="31"/>
      <c r="S148" s="32"/>
      <c r="T148" s="32"/>
      <c r="U148" s="32"/>
      <c r="V148" s="32"/>
      <c r="W148" s="32"/>
      <c r="X148" s="32"/>
      <c r="Y148" s="32"/>
      <c r="Z148" s="32"/>
      <c r="AA148" s="33"/>
      <c r="AB148" s="48" t="e">
        <f t="shared" si="6"/>
        <v>#DIV/0!</v>
      </c>
      <c r="AC148" s="49" t="e">
        <f t="shared" si="6"/>
        <v>#DIV/0!</v>
      </c>
      <c r="AD148" s="19"/>
      <c r="AE148" s="19"/>
      <c r="AF148" s="284" t="s">
        <v>126</v>
      </c>
      <c r="AG148" s="239" t="e" cm="1">
        <f t="array" ref="AG148">bdRateExtend($G148:$G151,G148:G151,$R148:$R151,R148:R151)</f>
        <v>#VALUE!</v>
      </c>
      <c r="AH148" s="241" t="e" cm="1">
        <f t="array" ref="AH148">bdRateExtend($G148:$G153,H148:H153,$R148:$R153,S148:S153)</f>
        <v>#VALUE!</v>
      </c>
      <c r="AI148" s="241" t="e" cm="1">
        <f t="array" ref="AI148">bdRateExtend($G148:$G153,I148:I153,$R148:$R153,T148:T153)</f>
        <v>#VALUE!</v>
      </c>
      <c r="AJ148" s="244" t="e" cm="1">
        <f t="array" ref="AJ148">bdRateExtend($G148:$G153,J148:J153,$R148:$R153,U148:U153)</f>
        <v>#VALUE!</v>
      </c>
      <c r="AK148" s="239" t="e" cm="1">
        <f t="array" ref="AK148">bdRateExtend($G148:$G151,K148:K151,$R148:$R151,V148:V151)</f>
        <v>#VALUE!</v>
      </c>
      <c r="AL148" s="248" t="e" cm="1">
        <f t="array" ref="AL148">bdRateExtend($G148:$G153,K148:K153,$R148:$R153,V148:V153)</f>
        <v>#VALUE!</v>
      </c>
      <c r="AM148" s="239" t="e" cm="1">
        <f t="array" ref="AM148">bdRateExtend($G148:$G151,L148:L151,$R148:$R151,W148:W151)</f>
        <v>#VALUE!</v>
      </c>
      <c r="AN148" s="248" t="e" cm="1">
        <f t="array" ref="AN148">bdRateExtend($G148:$G153,L148:L153,$R148:$R153,W148:W153)</f>
        <v>#VALUE!</v>
      </c>
      <c r="AO148" s="254" t="e" cm="1">
        <f t="array" ref="AO148">bdRateExtend($G148:$G151,M148:M151,$R148:$R151,X148:X151)</f>
        <v>#VALUE!</v>
      </c>
      <c r="AP148" s="248" t="e" cm="1">
        <f t="array" ref="AP148">bdRateExtend($G148:$G153,M148:M153,$R148:$R153,X148:X153)</f>
        <v>#VALUE!</v>
      </c>
    </row>
    <row r="149" spans="1:42" ht="17.100000000000001" customHeight="1" outlineLevel="4" x14ac:dyDescent="0.25">
      <c r="A149" s="222"/>
      <c r="B149" s="219"/>
      <c r="C149" s="229"/>
      <c r="D149" s="232"/>
      <c r="E149" s="235"/>
      <c r="F149" s="16">
        <v>31</v>
      </c>
      <c r="G149" s="34"/>
      <c r="H149" s="39"/>
      <c r="I149" s="39"/>
      <c r="J149" s="39"/>
      <c r="K149" s="39"/>
      <c r="L149" s="39"/>
      <c r="M149" s="39"/>
      <c r="N149" s="39"/>
      <c r="O149" s="39"/>
      <c r="P149" s="35"/>
      <c r="Q149" s="18"/>
      <c r="R149" s="34"/>
      <c r="S149" s="39"/>
      <c r="T149" s="39"/>
      <c r="U149" s="39"/>
      <c r="V149" s="39"/>
      <c r="W149" s="39"/>
      <c r="X149" s="39"/>
      <c r="Y149" s="39"/>
      <c r="Z149" s="39"/>
      <c r="AA149" s="35"/>
      <c r="AB149" s="50" t="e">
        <f t="shared" si="6"/>
        <v>#DIV/0!</v>
      </c>
      <c r="AC149" s="51" t="e">
        <f t="shared" si="6"/>
        <v>#DIV/0!</v>
      </c>
      <c r="AD149" s="19"/>
      <c r="AE149" s="19"/>
      <c r="AF149" s="285"/>
      <c r="AG149" s="240"/>
      <c r="AH149" s="242"/>
      <c r="AI149" s="242"/>
      <c r="AJ149" s="245"/>
      <c r="AK149" s="240"/>
      <c r="AL149" s="249"/>
      <c r="AM149" s="240"/>
      <c r="AN149" s="249"/>
      <c r="AO149" s="252"/>
      <c r="AP149" s="249"/>
    </row>
    <row r="150" spans="1:42" ht="17.100000000000001" customHeight="1" outlineLevel="4" x14ac:dyDescent="0.25">
      <c r="A150" s="222"/>
      <c r="B150" s="219"/>
      <c r="C150" s="229"/>
      <c r="D150" s="232"/>
      <c r="E150" s="235"/>
      <c r="F150" s="16">
        <v>39</v>
      </c>
      <c r="G150" s="34"/>
      <c r="H150" s="39"/>
      <c r="I150" s="39"/>
      <c r="J150" s="39"/>
      <c r="K150" s="39"/>
      <c r="L150" s="39"/>
      <c r="M150" s="39"/>
      <c r="N150" s="39"/>
      <c r="O150" s="39"/>
      <c r="P150" s="35"/>
      <c r="Q150" s="18"/>
      <c r="R150" s="34"/>
      <c r="S150" s="39"/>
      <c r="T150" s="39"/>
      <c r="U150" s="39"/>
      <c r="V150" s="39"/>
      <c r="W150" s="39"/>
      <c r="X150" s="39"/>
      <c r="Y150" s="39"/>
      <c r="Z150" s="39"/>
      <c r="AA150" s="35"/>
      <c r="AB150" s="50" t="e">
        <f t="shared" si="6"/>
        <v>#DIV/0!</v>
      </c>
      <c r="AC150" s="51" t="e">
        <f t="shared" si="6"/>
        <v>#DIV/0!</v>
      </c>
      <c r="AD150" s="19"/>
      <c r="AE150" s="19"/>
      <c r="AF150" s="285" t="s">
        <v>127</v>
      </c>
      <c r="AG150" s="240" t="e" cm="1">
        <f t="array" ref="AG150">bdRateExtend($G149:$G152,G149:G152,$R149:$R152,R149:R152)</f>
        <v>#VALUE!</v>
      </c>
      <c r="AH150" s="242"/>
      <c r="AI150" s="242"/>
      <c r="AJ150" s="245"/>
      <c r="AK150" s="240" t="e" cm="1">
        <f t="array" ref="AK150">bdRateExtend($G149:$G152,K149:K152,$R149:$R152,V149:V152)</f>
        <v>#VALUE!</v>
      </c>
      <c r="AL150" s="249"/>
      <c r="AM150" s="240" t="e" cm="1">
        <f t="array" ref="AM150">bdRateExtend($G149:$G152,L149:L152,$R149:$R152,W149:W152)</f>
        <v>#VALUE!</v>
      </c>
      <c r="AN150" s="249"/>
      <c r="AO150" s="252" t="e" cm="1">
        <f t="array" ref="AO150">bdRateExtend($G149:$G152,M149:M152,$R149:$R152,X149:X152)</f>
        <v>#VALUE!</v>
      </c>
      <c r="AP150" s="249"/>
    </row>
    <row r="151" spans="1:42" ht="17.100000000000001" customHeight="1" outlineLevel="4" x14ac:dyDescent="0.25">
      <c r="A151" s="222"/>
      <c r="B151" s="219"/>
      <c r="C151" s="229"/>
      <c r="D151" s="232"/>
      <c r="E151" s="235"/>
      <c r="F151" s="16">
        <v>47</v>
      </c>
      <c r="G151" s="34"/>
      <c r="H151" s="39"/>
      <c r="I151" s="39"/>
      <c r="J151" s="39"/>
      <c r="K151" s="39"/>
      <c r="L151" s="39"/>
      <c r="M151" s="39"/>
      <c r="N151" s="39"/>
      <c r="O151" s="39"/>
      <c r="P151" s="35"/>
      <c r="Q151" s="18"/>
      <c r="R151" s="34"/>
      <c r="S151" s="39"/>
      <c r="T151" s="39"/>
      <c r="U151" s="39"/>
      <c r="V151" s="39"/>
      <c r="W151" s="39"/>
      <c r="X151" s="39"/>
      <c r="Y151" s="39"/>
      <c r="Z151" s="39"/>
      <c r="AA151" s="35"/>
      <c r="AB151" s="50" t="e">
        <f t="shared" si="6"/>
        <v>#DIV/0!</v>
      </c>
      <c r="AC151" s="51" t="e">
        <f t="shared" si="6"/>
        <v>#DIV/0!</v>
      </c>
      <c r="AD151" s="19"/>
      <c r="AE151" s="19"/>
      <c r="AF151" s="285"/>
      <c r="AG151" s="240"/>
      <c r="AH151" s="242"/>
      <c r="AI151" s="242"/>
      <c r="AJ151" s="245"/>
      <c r="AK151" s="240"/>
      <c r="AL151" s="249"/>
      <c r="AM151" s="240"/>
      <c r="AN151" s="249"/>
      <c r="AO151" s="252"/>
      <c r="AP151" s="249"/>
    </row>
    <row r="152" spans="1:42" ht="17.100000000000001" customHeight="1" outlineLevel="4" x14ac:dyDescent="0.25">
      <c r="A152" s="222"/>
      <c r="B152" s="219"/>
      <c r="C152" s="229"/>
      <c r="D152" s="232"/>
      <c r="E152" s="235"/>
      <c r="F152" s="16">
        <v>55</v>
      </c>
      <c r="G152" s="34"/>
      <c r="H152" s="39"/>
      <c r="I152" s="39"/>
      <c r="J152" s="39"/>
      <c r="K152" s="39"/>
      <c r="L152" s="39"/>
      <c r="M152" s="39"/>
      <c r="N152" s="39"/>
      <c r="O152" s="39"/>
      <c r="P152" s="35"/>
      <c r="Q152" s="18"/>
      <c r="R152" s="34"/>
      <c r="S152" s="39"/>
      <c r="T152" s="39"/>
      <c r="U152" s="39"/>
      <c r="V152" s="39"/>
      <c r="W152" s="39"/>
      <c r="X152" s="39"/>
      <c r="Y152" s="39"/>
      <c r="Z152" s="39"/>
      <c r="AA152" s="35"/>
      <c r="AB152" s="50" t="e">
        <f t="shared" si="6"/>
        <v>#DIV/0!</v>
      </c>
      <c r="AC152" s="51" t="e">
        <f t="shared" si="6"/>
        <v>#DIV/0!</v>
      </c>
      <c r="AD152" s="19"/>
      <c r="AE152" s="19"/>
      <c r="AF152" s="285" t="s">
        <v>128</v>
      </c>
      <c r="AG152" s="240" t="e" cm="1">
        <f t="array" ref="AG152">bdRateExtend($G150:$G153,G150:G153,$R150:$R153,R150:R153)</f>
        <v>#VALUE!</v>
      </c>
      <c r="AH152" s="242"/>
      <c r="AI152" s="242"/>
      <c r="AJ152" s="245"/>
      <c r="AK152" s="240" t="e" cm="1">
        <f t="array" ref="AK152">bdRateExtend($G150:$G153,K150:K153,$R150:$R153,V150:V153)</f>
        <v>#VALUE!</v>
      </c>
      <c r="AL152" s="249"/>
      <c r="AM152" s="240" t="e" cm="1">
        <f t="array" ref="AM152">bdRateExtend($G150:$G153,L150:L153,$R150:$R153,W150:W153)</f>
        <v>#VALUE!</v>
      </c>
      <c r="AN152" s="249"/>
      <c r="AO152" s="252" t="e" cm="1">
        <f t="array" ref="AO152">bdRateExtend($G150:$G153,M150:M153,$R150:$R153,X150:X153)</f>
        <v>#VALUE!</v>
      </c>
      <c r="AP152" s="249"/>
    </row>
    <row r="153" spans="1:42" ht="17.100000000000001" customHeight="1" outlineLevel="4" thickBot="1" x14ac:dyDescent="0.3">
      <c r="A153" s="222"/>
      <c r="B153" s="220"/>
      <c r="C153" s="230"/>
      <c r="D153" s="233"/>
      <c r="E153" s="236"/>
      <c r="F153" s="9">
        <v>63</v>
      </c>
      <c r="G153" s="36"/>
      <c r="H153" s="37"/>
      <c r="I153" s="37"/>
      <c r="J153" s="37"/>
      <c r="K153" s="37"/>
      <c r="L153" s="37"/>
      <c r="M153" s="37"/>
      <c r="N153" s="37"/>
      <c r="O153" s="37"/>
      <c r="P153" s="38"/>
      <c r="Q153" s="18"/>
      <c r="R153" s="36"/>
      <c r="S153" s="37"/>
      <c r="T153" s="37"/>
      <c r="U153" s="37"/>
      <c r="V153" s="37"/>
      <c r="W153" s="37"/>
      <c r="X153" s="37"/>
      <c r="Y153" s="37"/>
      <c r="Z153" s="37"/>
      <c r="AA153" s="38"/>
      <c r="AB153" s="52" t="e">
        <f t="shared" si="6"/>
        <v>#DIV/0!</v>
      </c>
      <c r="AC153" s="53" t="e">
        <f t="shared" si="6"/>
        <v>#DIV/0!</v>
      </c>
      <c r="AD153" s="19"/>
      <c r="AE153" s="19"/>
      <c r="AF153" s="286"/>
      <c r="AG153" s="247"/>
      <c r="AH153" s="243"/>
      <c r="AI153" s="243"/>
      <c r="AJ153" s="246"/>
      <c r="AK153" s="247"/>
      <c r="AL153" s="250"/>
      <c r="AM153" s="247"/>
      <c r="AN153" s="250"/>
      <c r="AO153" s="253"/>
      <c r="AP153" s="250"/>
    </row>
    <row r="154" spans="1:42" ht="17.100000000000001" customHeight="1" outlineLevel="4" x14ac:dyDescent="0.25">
      <c r="A154" s="222"/>
      <c r="B154" s="218" t="s">
        <v>24</v>
      </c>
      <c r="C154" s="228" t="s">
        <v>62</v>
      </c>
      <c r="D154" s="231">
        <v>60</v>
      </c>
      <c r="E154" s="234">
        <v>8</v>
      </c>
      <c r="F154" s="7">
        <v>23</v>
      </c>
      <c r="G154" s="31"/>
      <c r="H154" s="32"/>
      <c r="I154" s="32"/>
      <c r="J154" s="32"/>
      <c r="K154" s="32"/>
      <c r="L154" s="32"/>
      <c r="M154" s="32"/>
      <c r="N154" s="32"/>
      <c r="O154" s="32"/>
      <c r="P154" s="33"/>
      <c r="Q154" s="18"/>
      <c r="R154" s="31"/>
      <c r="S154" s="32"/>
      <c r="T154" s="32"/>
      <c r="U154" s="32"/>
      <c r="V154" s="32"/>
      <c r="W154" s="32"/>
      <c r="X154" s="32"/>
      <c r="Y154" s="32"/>
      <c r="Z154" s="32"/>
      <c r="AA154" s="33"/>
      <c r="AB154" s="48" t="e">
        <f t="shared" si="6"/>
        <v>#DIV/0!</v>
      </c>
      <c r="AC154" s="49" t="e">
        <f t="shared" si="6"/>
        <v>#DIV/0!</v>
      </c>
      <c r="AD154" s="19"/>
      <c r="AE154" s="19"/>
      <c r="AF154" s="284" t="s">
        <v>126</v>
      </c>
      <c r="AG154" s="239" t="e" cm="1">
        <f t="array" ref="AG154">bdRateExtend($G154:$G157,G154:G157,$R154:$R157,R154:R157)</f>
        <v>#VALUE!</v>
      </c>
      <c r="AH154" s="241" t="e" cm="1">
        <f t="array" ref="AH154">bdRateExtend($G154:$G159,H154:H159,$R154:$R159,S154:S159)</f>
        <v>#VALUE!</v>
      </c>
      <c r="AI154" s="241" t="e" cm="1">
        <f t="array" ref="AI154">bdRateExtend($G154:$G159,I154:I159,$R154:$R159,T154:T159)</f>
        <v>#VALUE!</v>
      </c>
      <c r="AJ154" s="244" t="e" cm="1">
        <f t="array" ref="AJ154">bdRateExtend($G154:$G159,J154:J159,$R154:$R159,U154:U159)</f>
        <v>#VALUE!</v>
      </c>
      <c r="AK154" s="239" t="e" cm="1">
        <f t="array" ref="AK154">bdRateExtend($G154:$G157,K154:K157,$R154:$R157,V154:V157)</f>
        <v>#VALUE!</v>
      </c>
      <c r="AL154" s="248" t="e" cm="1">
        <f t="array" ref="AL154">bdRateExtend($G154:$G159,K154:K159,$R154:$R159,V154:V159)</f>
        <v>#VALUE!</v>
      </c>
      <c r="AM154" s="239" t="e" cm="1">
        <f t="array" ref="AM154">bdRateExtend($G154:$G157,L154:L157,$R154:$R157,W154:W157)</f>
        <v>#VALUE!</v>
      </c>
      <c r="AN154" s="248" t="e" cm="1">
        <f t="array" ref="AN154">bdRateExtend($G154:$G159,L154:L159,$R154:$R159,W154:W159)</f>
        <v>#VALUE!</v>
      </c>
      <c r="AO154" s="254" t="e" cm="1">
        <f t="array" ref="AO154">bdRateExtend($G154:$G157,M154:M157,$R154:$R157,X154:X157)</f>
        <v>#VALUE!</v>
      </c>
      <c r="AP154" s="248" t="e" cm="1">
        <f t="array" ref="AP154">bdRateExtend($G154:$G159,M154:M159,$R154:$R159,X154:X159)</f>
        <v>#VALUE!</v>
      </c>
    </row>
    <row r="155" spans="1:42" ht="17.100000000000001" customHeight="1" outlineLevel="4" x14ac:dyDescent="0.25">
      <c r="A155" s="222"/>
      <c r="B155" s="219"/>
      <c r="C155" s="229"/>
      <c r="D155" s="232"/>
      <c r="E155" s="235"/>
      <c r="F155" s="16">
        <v>31</v>
      </c>
      <c r="G155" s="34"/>
      <c r="H155" s="39"/>
      <c r="I155" s="39"/>
      <c r="J155" s="39"/>
      <c r="K155" s="39"/>
      <c r="L155" s="39"/>
      <c r="M155" s="39"/>
      <c r="N155" s="39"/>
      <c r="O155" s="39"/>
      <c r="P155" s="35"/>
      <c r="Q155" s="18"/>
      <c r="R155" s="34"/>
      <c r="S155" s="39"/>
      <c r="T155" s="39"/>
      <c r="U155" s="39"/>
      <c r="V155" s="39"/>
      <c r="W155" s="39"/>
      <c r="X155" s="39"/>
      <c r="Y155" s="39"/>
      <c r="Z155" s="39"/>
      <c r="AA155" s="35"/>
      <c r="AB155" s="50" t="e">
        <f t="shared" si="6"/>
        <v>#DIV/0!</v>
      </c>
      <c r="AC155" s="51" t="e">
        <f t="shared" si="6"/>
        <v>#DIV/0!</v>
      </c>
      <c r="AD155" s="19"/>
      <c r="AE155" s="19"/>
      <c r="AF155" s="285"/>
      <c r="AG155" s="240"/>
      <c r="AH155" s="242"/>
      <c r="AI155" s="242"/>
      <c r="AJ155" s="245"/>
      <c r="AK155" s="240"/>
      <c r="AL155" s="249"/>
      <c r="AM155" s="240"/>
      <c r="AN155" s="249"/>
      <c r="AO155" s="252"/>
      <c r="AP155" s="249"/>
    </row>
    <row r="156" spans="1:42" ht="17.100000000000001" customHeight="1" outlineLevel="4" x14ac:dyDescent="0.25">
      <c r="A156" s="222"/>
      <c r="B156" s="219"/>
      <c r="C156" s="229"/>
      <c r="D156" s="232"/>
      <c r="E156" s="235"/>
      <c r="F156" s="16">
        <v>39</v>
      </c>
      <c r="G156" s="34"/>
      <c r="H156" s="39"/>
      <c r="I156" s="39"/>
      <c r="J156" s="39"/>
      <c r="K156" s="39"/>
      <c r="L156" s="39"/>
      <c r="M156" s="39"/>
      <c r="N156" s="39"/>
      <c r="O156" s="39"/>
      <c r="P156" s="35"/>
      <c r="Q156" s="18"/>
      <c r="R156" s="34"/>
      <c r="S156" s="39"/>
      <c r="T156" s="39"/>
      <c r="U156" s="39"/>
      <c r="V156" s="39"/>
      <c r="W156" s="39"/>
      <c r="X156" s="39"/>
      <c r="Y156" s="39"/>
      <c r="Z156" s="39"/>
      <c r="AA156" s="35"/>
      <c r="AB156" s="50" t="e">
        <f t="shared" si="6"/>
        <v>#DIV/0!</v>
      </c>
      <c r="AC156" s="51" t="e">
        <f t="shared" si="6"/>
        <v>#DIV/0!</v>
      </c>
      <c r="AD156" s="19"/>
      <c r="AE156" s="19"/>
      <c r="AF156" s="285" t="s">
        <v>127</v>
      </c>
      <c r="AG156" s="240" t="e" cm="1">
        <f t="array" ref="AG156">bdRateExtend($G155:$G158,G155:G158,$R155:$R158,R155:R158)</f>
        <v>#VALUE!</v>
      </c>
      <c r="AH156" s="242"/>
      <c r="AI156" s="242"/>
      <c r="AJ156" s="245"/>
      <c r="AK156" s="240" t="e" cm="1">
        <f t="array" ref="AK156">bdRateExtend($G155:$G158,K155:K158,$R155:$R158,V155:V158)</f>
        <v>#VALUE!</v>
      </c>
      <c r="AL156" s="249"/>
      <c r="AM156" s="240" t="e" cm="1">
        <f t="array" ref="AM156">bdRateExtend($G155:$G158,L155:L158,$R155:$R158,W155:W158)</f>
        <v>#VALUE!</v>
      </c>
      <c r="AN156" s="249"/>
      <c r="AO156" s="252" t="e" cm="1">
        <f t="array" ref="AO156">bdRateExtend($G155:$G158,M155:M158,$R155:$R158,X155:X158)</f>
        <v>#VALUE!</v>
      </c>
      <c r="AP156" s="249"/>
    </row>
    <row r="157" spans="1:42" ht="17.100000000000001" customHeight="1" outlineLevel="4" x14ac:dyDescent="0.25">
      <c r="A157" s="222"/>
      <c r="B157" s="219"/>
      <c r="C157" s="229"/>
      <c r="D157" s="232"/>
      <c r="E157" s="235"/>
      <c r="F157" s="16">
        <v>47</v>
      </c>
      <c r="G157" s="34"/>
      <c r="H157" s="39"/>
      <c r="I157" s="39"/>
      <c r="J157" s="39"/>
      <c r="K157" s="39"/>
      <c r="L157" s="39"/>
      <c r="M157" s="39"/>
      <c r="N157" s="39"/>
      <c r="O157" s="39"/>
      <c r="P157" s="35"/>
      <c r="Q157" s="18"/>
      <c r="R157" s="34"/>
      <c r="S157" s="39"/>
      <c r="T157" s="39"/>
      <c r="U157" s="39"/>
      <c r="V157" s="39"/>
      <c r="W157" s="39"/>
      <c r="X157" s="39"/>
      <c r="Y157" s="39"/>
      <c r="Z157" s="39"/>
      <c r="AA157" s="35"/>
      <c r="AB157" s="50" t="e">
        <f t="shared" si="6"/>
        <v>#DIV/0!</v>
      </c>
      <c r="AC157" s="51" t="e">
        <f t="shared" si="6"/>
        <v>#DIV/0!</v>
      </c>
      <c r="AD157" s="19"/>
      <c r="AE157" s="19"/>
      <c r="AF157" s="285"/>
      <c r="AG157" s="240"/>
      <c r="AH157" s="242"/>
      <c r="AI157" s="242"/>
      <c r="AJ157" s="245"/>
      <c r="AK157" s="240"/>
      <c r="AL157" s="249"/>
      <c r="AM157" s="240"/>
      <c r="AN157" s="249"/>
      <c r="AO157" s="252"/>
      <c r="AP157" s="249"/>
    </row>
    <row r="158" spans="1:42" ht="17.100000000000001" customHeight="1" outlineLevel="4" x14ac:dyDescent="0.25">
      <c r="A158" s="222"/>
      <c r="B158" s="219"/>
      <c r="C158" s="229"/>
      <c r="D158" s="232"/>
      <c r="E158" s="235"/>
      <c r="F158" s="16">
        <v>55</v>
      </c>
      <c r="G158" s="34"/>
      <c r="H158" s="39"/>
      <c r="I158" s="39"/>
      <c r="J158" s="39"/>
      <c r="K158" s="39"/>
      <c r="L158" s="39"/>
      <c r="M158" s="39"/>
      <c r="N158" s="39"/>
      <c r="O158" s="39"/>
      <c r="P158" s="35"/>
      <c r="Q158" s="18"/>
      <c r="R158" s="34"/>
      <c r="S158" s="39"/>
      <c r="T158" s="39"/>
      <c r="U158" s="39"/>
      <c r="V158" s="39"/>
      <c r="W158" s="39"/>
      <c r="X158" s="39"/>
      <c r="Y158" s="39"/>
      <c r="Z158" s="39"/>
      <c r="AA158" s="35"/>
      <c r="AB158" s="50" t="e">
        <f t="shared" si="6"/>
        <v>#DIV/0!</v>
      </c>
      <c r="AC158" s="51" t="e">
        <f t="shared" si="6"/>
        <v>#DIV/0!</v>
      </c>
      <c r="AD158" s="19"/>
      <c r="AE158" s="19"/>
      <c r="AF158" s="285" t="s">
        <v>128</v>
      </c>
      <c r="AG158" s="240" t="e" cm="1">
        <f t="array" ref="AG158">bdRateExtend($G156:$G159,G156:G159,$R156:$R159,R156:R159)</f>
        <v>#VALUE!</v>
      </c>
      <c r="AH158" s="242"/>
      <c r="AI158" s="242"/>
      <c r="AJ158" s="245"/>
      <c r="AK158" s="240" t="e" cm="1">
        <f t="array" ref="AK158">bdRateExtend($G156:$G159,K156:K159,$R156:$R159,V156:V159)</f>
        <v>#VALUE!</v>
      </c>
      <c r="AL158" s="249"/>
      <c r="AM158" s="240" t="e" cm="1">
        <f t="array" ref="AM158">bdRateExtend($G156:$G159,L156:L159,$R156:$R159,W156:W159)</f>
        <v>#VALUE!</v>
      </c>
      <c r="AN158" s="249"/>
      <c r="AO158" s="252" t="e" cm="1">
        <f t="array" ref="AO158">bdRateExtend($G156:$G159,M156:M159,$R156:$R159,X156:X159)</f>
        <v>#VALUE!</v>
      </c>
      <c r="AP158" s="249"/>
    </row>
    <row r="159" spans="1:42" ht="17.100000000000001" customHeight="1" outlineLevel="4" thickBot="1" x14ac:dyDescent="0.3">
      <c r="A159" s="222"/>
      <c r="B159" s="220"/>
      <c r="C159" s="230"/>
      <c r="D159" s="233"/>
      <c r="E159" s="236"/>
      <c r="F159" s="9">
        <v>63</v>
      </c>
      <c r="G159" s="36"/>
      <c r="H159" s="37"/>
      <c r="I159" s="37"/>
      <c r="J159" s="37"/>
      <c r="K159" s="37"/>
      <c r="L159" s="37"/>
      <c r="M159" s="37"/>
      <c r="N159" s="37"/>
      <c r="O159" s="37"/>
      <c r="P159" s="38"/>
      <c r="Q159" s="18"/>
      <c r="R159" s="36"/>
      <c r="S159" s="37"/>
      <c r="T159" s="37"/>
      <c r="U159" s="37"/>
      <c r="V159" s="37"/>
      <c r="W159" s="37"/>
      <c r="X159" s="37"/>
      <c r="Y159" s="37"/>
      <c r="Z159" s="37"/>
      <c r="AA159" s="38"/>
      <c r="AB159" s="52" t="e">
        <f t="shared" si="6"/>
        <v>#DIV/0!</v>
      </c>
      <c r="AC159" s="53" t="e">
        <f t="shared" si="6"/>
        <v>#DIV/0!</v>
      </c>
      <c r="AD159" s="19"/>
      <c r="AE159" s="19"/>
      <c r="AF159" s="286"/>
      <c r="AG159" s="247"/>
      <c r="AH159" s="243"/>
      <c r="AI159" s="243"/>
      <c r="AJ159" s="246"/>
      <c r="AK159" s="247"/>
      <c r="AL159" s="250"/>
      <c r="AM159" s="247"/>
      <c r="AN159" s="250"/>
      <c r="AO159" s="253"/>
      <c r="AP159" s="250"/>
    </row>
    <row r="160" spans="1:42" ht="17.100000000000001" customHeight="1" outlineLevel="4" x14ac:dyDescent="0.25">
      <c r="A160" s="222"/>
      <c r="B160" s="218" t="s">
        <v>24</v>
      </c>
      <c r="C160" s="228" t="s">
        <v>63</v>
      </c>
      <c r="D160" s="231">
        <v>30</v>
      </c>
      <c r="E160" s="234" t="s">
        <v>23</v>
      </c>
      <c r="F160" s="7">
        <v>23</v>
      </c>
      <c r="G160" s="31"/>
      <c r="H160" s="32"/>
      <c r="I160" s="32"/>
      <c r="J160" s="32"/>
      <c r="K160" s="32"/>
      <c r="L160" s="32"/>
      <c r="M160" s="32"/>
      <c r="N160" s="32"/>
      <c r="O160" s="32"/>
      <c r="P160" s="33"/>
      <c r="Q160" s="18"/>
      <c r="R160" s="31"/>
      <c r="S160" s="32"/>
      <c r="T160" s="32"/>
      <c r="U160" s="32"/>
      <c r="V160" s="32"/>
      <c r="W160" s="32"/>
      <c r="X160" s="32"/>
      <c r="Y160" s="32"/>
      <c r="Z160" s="32"/>
      <c r="AA160" s="33"/>
      <c r="AB160" s="48" t="e">
        <f t="shared" si="6"/>
        <v>#DIV/0!</v>
      </c>
      <c r="AC160" s="49" t="e">
        <f t="shared" si="6"/>
        <v>#DIV/0!</v>
      </c>
      <c r="AD160" s="19"/>
      <c r="AE160" s="19"/>
      <c r="AF160" s="284" t="s">
        <v>126</v>
      </c>
      <c r="AG160" s="239" t="e" cm="1">
        <f t="array" ref="AG160">bdRateExtend($G160:$G163,G160:G163,$R160:$R163,R160:R163)</f>
        <v>#VALUE!</v>
      </c>
      <c r="AH160" s="241" t="e" cm="1">
        <f t="array" ref="AH160">bdRateExtend($G160:$G165,H160:H165,$R160:$R165,S160:S165)</f>
        <v>#VALUE!</v>
      </c>
      <c r="AI160" s="241" t="e" cm="1">
        <f t="array" ref="AI160">bdRateExtend($G160:$G165,I160:I165,$R160:$R165,T160:T165)</f>
        <v>#VALUE!</v>
      </c>
      <c r="AJ160" s="244" t="e" cm="1">
        <f t="array" ref="AJ160">bdRateExtend($G160:$G165,J160:J165,$R160:$R165,U160:U165)</f>
        <v>#VALUE!</v>
      </c>
      <c r="AK160" s="239" t="e" cm="1">
        <f t="array" ref="AK160">bdRateExtend($G160:$G163,K160:K163,$R160:$R163,V160:V163)</f>
        <v>#VALUE!</v>
      </c>
      <c r="AL160" s="248" t="e" cm="1">
        <f t="array" ref="AL160">bdRateExtend($G160:$G165,K160:K165,$R160:$R165,V160:V165)</f>
        <v>#VALUE!</v>
      </c>
      <c r="AM160" s="239" t="e" cm="1">
        <f t="array" ref="AM160">bdRateExtend($G160:$G163,L160:L163,$R160:$R163,W160:W163)</f>
        <v>#VALUE!</v>
      </c>
      <c r="AN160" s="248" t="e" cm="1">
        <f t="array" ref="AN160">bdRateExtend($G160:$G165,L160:L165,$R160:$R165,W160:W165)</f>
        <v>#VALUE!</v>
      </c>
      <c r="AO160" s="254" t="e" cm="1">
        <f t="array" ref="AO160">bdRateExtend($G160:$G163,M160:M163,$R160:$R163,X160:X163)</f>
        <v>#VALUE!</v>
      </c>
      <c r="AP160" s="248" t="e" cm="1">
        <f t="array" ref="AP160">bdRateExtend($G160:$G165,M160:M165,$R160:$R165,X160:X165)</f>
        <v>#VALUE!</v>
      </c>
    </row>
    <row r="161" spans="1:42" ht="17.100000000000001" customHeight="1" outlineLevel="4" x14ac:dyDescent="0.25">
      <c r="A161" s="222"/>
      <c r="B161" s="219"/>
      <c r="C161" s="229"/>
      <c r="D161" s="232"/>
      <c r="E161" s="235"/>
      <c r="F161" s="16">
        <v>31</v>
      </c>
      <c r="G161" s="34"/>
      <c r="H161" s="39"/>
      <c r="I161" s="39"/>
      <c r="J161" s="39"/>
      <c r="K161" s="39"/>
      <c r="L161" s="39"/>
      <c r="M161" s="39"/>
      <c r="N161" s="39"/>
      <c r="O161" s="39"/>
      <c r="P161" s="35"/>
      <c r="Q161" s="18"/>
      <c r="R161" s="34"/>
      <c r="S161" s="39"/>
      <c r="T161" s="39"/>
      <c r="U161" s="39"/>
      <c r="V161" s="39"/>
      <c r="W161" s="39"/>
      <c r="X161" s="39"/>
      <c r="Y161" s="39"/>
      <c r="Z161" s="39"/>
      <c r="AA161" s="35"/>
      <c r="AB161" s="50" t="e">
        <f t="shared" si="6"/>
        <v>#DIV/0!</v>
      </c>
      <c r="AC161" s="51" t="e">
        <f t="shared" si="6"/>
        <v>#DIV/0!</v>
      </c>
      <c r="AD161" s="19"/>
      <c r="AE161" s="19"/>
      <c r="AF161" s="285"/>
      <c r="AG161" s="240"/>
      <c r="AH161" s="242"/>
      <c r="AI161" s="242"/>
      <c r="AJ161" s="245"/>
      <c r="AK161" s="240"/>
      <c r="AL161" s="249"/>
      <c r="AM161" s="240"/>
      <c r="AN161" s="249"/>
      <c r="AO161" s="252"/>
      <c r="AP161" s="249"/>
    </row>
    <row r="162" spans="1:42" ht="17.100000000000001" customHeight="1" outlineLevel="4" x14ac:dyDescent="0.25">
      <c r="A162" s="222"/>
      <c r="B162" s="219"/>
      <c r="C162" s="229"/>
      <c r="D162" s="232"/>
      <c r="E162" s="235"/>
      <c r="F162" s="16">
        <v>39</v>
      </c>
      <c r="G162" s="34"/>
      <c r="H162" s="39"/>
      <c r="I162" s="39"/>
      <c r="J162" s="39"/>
      <c r="K162" s="39"/>
      <c r="L162" s="39"/>
      <c r="M162" s="39"/>
      <c r="N162" s="39"/>
      <c r="O162" s="39"/>
      <c r="P162" s="35"/>
      <c r="Q162" s="18"/>
      <c r="R162" s="34"/>
      <c r="S162" s="39"/>
      <c r="T162" s="39"/>
      <c r="U162" s="39"/>
      <c r="V162" s="39"/>
      <c r="W162" s="39"/>
      <c r="X162" s="39"/>
      <c r="Y162" s="39"/>
      <c r="Z162" s="39"/>
      <c r="AA162" s="35"/>
      <c r="AB162" s="50" t="e">
        <f t="shared" si="6"/>
        <v>#DIV/0!</v>
      </c>
      <c r="AC162" s="51" t="e">
        <f t="shared" si="6"/>
        <v>#DIV/0!</v>
      </c>
      <c r="AD162" s="19"/>
      <c r="AE162" s="19"/>
      <c r="AF162" s="285" t="s">
        <v>127</v>
      </c>
      <c r="AG162" s="240" t="e" cm="1">
        <f t="array" ref="AG162">bdRateExtend($G161:$G164,G161:G164,$R161:$R164,R161:R164)</f>
        <v>#VALUE!</v>
      </c>
      <c r="AH162" s="242"/>
      <c r="AI162" s="242"/>
      <c r="AJ162" s="245"/>
      <c r="AK162" s="240" t="e" cm="1">
        <f t="array" ref="AK162">bdRateExtend($G161:$G164,K161:K164,$R161:$R164,V161:V164)</f>
        <v>#VALUE!</v>
      </c>
      <c r="AL162" s="249"/>
      <c r="AM162" s="240" t="e" cm="1">
        <f t="array" ref="AM162">bdRateExtend($G161:$G164,L161:L164,$R161:$R164,W161:W164)</f>
        <v>#VALUE!</v>
      </c>
      <c r="AN162" s="249"/>
      <c r="AO162" s="252" t="e" cm="1">
        <f t="array" ref="AO162">bdRateExtend($G161:$G164,M161:M164,$R161:$R164,X161:X164)</f>
        <v>#VALUE!</v>
      </c>
      <c r="AP162" s="249"/>
    </row>
    <row r="163" spans="1:42" ht="17.100000000000001" customHeight="1" outlineLevel="4" x14ac:dyDescent="0.25">
      <c r="A163" s="222"/>
      <c r="B163" s="219"/>
      <c r="C163" s="229"/>
      <c r="D163" s="232"/>
      <c r="E163" s="235"/>
      <c r="F163" s="16">
        <v>47</v>
      </c>
      <c r="G163" s="34"/>
      <c r="H163" s="39"/>
      <c r="I163" s="39"/>
      <c r="J163" s="39"/>
      <c r="K163" s="39"/>
      <c r="L163" s="39"/>
      <c r="M163" s="39"/>
      <c r="N163" s="39"/>
      <c r="O163" s="39"/>
      <c r="P163" s="35"/>
      <c r="Q163" s="18"/>
      <c r="R163" s="34"/>
      <c r="S163" s="39"/>
      <c r="T163" s="39"/>
      <c r="U163" s="39"/>
      <c r="V163" s="39"/>
      <c r="W163" s="39"/>
      <c r="X163" s="39"/>
      <c r="Y163" s="39"/>
      <c r="Z163" s="39"/>
      <c r="AA163" s="35"/>
      <c r="AB163" s="50" t="e">
        <f t="shared" si="6"/>
        <v>#DIV/0!</v>
      </c>
      <c r="AC163" s="51" t="e">
        <f t="shared" si="6"/>
        <v>#DIV/0!</v>
      </c>
      <c r="AD163" s="19"/>
      <c r="AE163" s="19"/>
      <c r="AF163" s="285"/>
      <c r="AG163" s="240"/>
      <c r="AH163" s="242"/>
      <c r="AI163" s="242"/>
      <c r="AJ163" s="245"/>
      <c r="AK163" s="240"/>
      <c r="AL163" s="249"/>
      <c r="AM163" s="240"/>
      <c r="AN163" s="249"/>
      <c r="AO163" s="252"/>
      <c r="AP163" s="249"/>
    </row>
    <row r="164" spans="1:42" ht="17.100000000000001" customHeight="1" outlineLevel="4" x14ac:dyDescent="0.25">
      <c r="A164" s="222"/>
      <c r="B164" s="219"/>
      <c r="C164" s="229"/>
      <c r="D164" s="232"/>
      <c r="E164" s="235"/>
      <c r="F164" s="16">
        <v>55</v>
      </c>
      <c r="G164" s="34"/>
      <c r="H164" s="39"/>
      <c r="I164" s="39"/>
      <c r="J164" s="39"/>
      <c r="K164" s="39"/>
      <c r="L164" s="39"/>
      <c r="M164" s="39"/>
      <c r="N164" s="39"/>
      <c r="O164" s="39"/>
      <c r="P164" s="35"/>
      <c r="Q164" s="18"/>
      <c r="R164" s="34"/>
      <c r="S164" s="39"/>
      <c r="T164" s="39"/>
      <c r="U164" s="39"/>
      <c r="V164" s="39"/>
      <c r="W164" s="39"/>
      <c r="X164" s="39"/>
      <c r="Y164" s="39"/>
      <c r="Z164" s="39"/>
      <c r="AA164" s="35"/>
      <c r="AB164" s="50" t="e">
        <f t="shared" si="6"/>
        <v>#DIV/0!</v>
      </c>
      <c r="AC164" s="51" t="e">
        <f t="shared" si="6"/>
        <v>#DIV/0!</v>
      </c>
      <c r="AD164" s="19"/>
      <c r="AE164" s="19"/>
      <c r="AF164" s="285" t="s">
        <v>128</v>
      </c>
      <c r="AG164" s="240" t="e" cm="1">
        <f t="array" ref="AG164">bdRateExtend($G162:$G165,G162:G165,$R162:$R165,R162:R165)</f>
        <v>#VALUE!</v>
      </c>
      <c r="AH164" s="242"/>
      <c r="AI164" s="242"/>
      <c r="AJ164" s="245"/>
      <c r="AK164" s="240" t="e" cm="1">
        <f t="array" ref="AK164">bdRateExtend($G162:$G165,K162:K165,$R162:$R165,V162:V165)</f>
        <v>#VALUE!</v>
      </c>
      <c r="AL164" s="249"/>
      <c r="AM164" s="240" t="e" cm="1">
        <f t="array" ref="AM164">bdRateExtend($G162:$G165,L162:L165,$R162:$R165,W162:W165)</f>
        <v>#VALUE!</v>
      </c>
      <c r="AN164" s="249"/>
      <c r="AO164" s="252" t="e" cm="1">
        <f t="array" ref="AO164">bdRateExtend($G162:$G165,M162:M165,$R162:$R165,X162:X165)</f>
        <v>#VALUE!</v>
      </c>
      <c r="AP164" s="249"/>
    </row>
    <row r="165" spans="1:42" ht="17.100000000000001" customHeight="1" outlineLevel="4" thickBot="1" x14ac:dyDescent="0.3">
      <c r="A165" s="222"/>
      <c r="B165" s="220"/>
      <c r="C165" s="230"/>
      <c r="D165" s="233"/>
      <c r="E165" s="236"/>
      <c r="F165" s="9">
        <v>63</v>
      </c>
      <c r="G165" s="36"/>
      <c r="H165" s="37"/>
      <c r="I165" s="37"/>
      <c r="J165" s="37"/>
      <c r="K165" s="37"/>
      <c r="L165" s="37"/>
      <c r="M165" s="37"/>
      <c r="N165" s="37"/>
      <c r="O165" s="37"/>
      <c r="P165" s="38"/>
      <c r="Q165" s="18"/>
      <c r="R165" s="36"/>
      <c r="S165" s="37"/>
      <c r="T165" s="37"/>
      <c r="U165" s="37"/>
      <c r="V165" s="37"/>
      <c r="W165" s="37"/>
      <c r="X165" s="37"/>
      <c r="Y165" s="37"/>
      <c r="Z165" s="37"/>
      <c r="AA165" s="38"/>
      <c r="AB165" s="52" t="e">
        <f t="shared" si="6"/>
        <v>#DIV/0!</v>
      </c>
      <c r="AC165" s="53" t="e">
        <f t="shared" si="6"/>
        <v>#DIV/0!</v>
      </c>
      <c r="AD165" s="19"/>
      <c r="AE165" s="19"/>
      <c r="AF165" s="286"/>
      <c r="AG165" s="247"/>
      <c r="AH165" s="243"/>
      <c r="AI165" s="243"/>
      <c r="AJ165" s="246"/>
      <c r="AK165" s="247"/>
      <c r="AL165" s="250"/>
      <c r="AM165" s="247"/>
      <c r="AN165" s="250"/>
      <c r="AO165" s="253"/>
      <c r="AP165" s="250"/>
    </row>
    <row r="166" spans="1:42" ht="17.100000000000001" customHeight="1" outlineLevel="4" x14ac:dyDescent="0.25">
      <c r="A166" s="221" t="s">
        <v>110</v>
      </c>
      <c r="B166" s="218" t="s">
        <v>25</v>
      </c>
      <c r="C166" s="228" t="s">
        <v>64</v>
      </c>
      <c r="D166" s="231">
        <v>25</v>
      </c>
      <c r="E166" s="234"/>
      <c r="F166" s="7">
        <v>23</v>
      </c>
      <c r="G166" s="31"/>
      <c r="H166" s="32"/>
      <c r="I166" s="32"/>
      <c r="J166" s="32"/>
      <c r="K166" s="32"/>
      <c r="L166" s="32"/>
      <c r="M166" s="32"/>
      <c r="N166" s="32"/>
      <c r="O166" s="32"/>
      <c r="P166" s="33"/>
      <c r="Q166" s="18"/>
      <c r="R166" s="31"/>
      <c r="S166" s="32"/>
      <c r="T166" s="32"/>
      <c r="U166" s="32"/>
      <c r="V166" s="32"/>
      <c r="W166" s="32"/>
      <c r="X166" s="32"/>
      <c r="Y166" s="32"/>
      <c r="Z166" s="32"/>
      <c r="AA166" s="33"/>
      <c r="AB166" s="48" t="e">
        <f t="shared" si="6"/>
        <v>#DIV/0!</v>
      </c>
      <c r="AC166" s="49" t="e">
        <f t="shared" si="6"/>
        <v>#DIV/0!</v>
      </c>
      <c r="AD166" s="19"/>
      <c r="AE166" s="19"/>
      <c r="AF166" s="284" t="s">
        <v>126</v>
      </c>
      <c r="AG166" s="239" t="e" cm="1">
        <f t="array" ref="AG166">bdRateExtend($G166:$G169,G166:G169,$R166:$R169,R166:R169)</f>
        <v>#VALUE!</v>
      </c>
      <c r="AH166" s="241" t="e" cm="1">
        <f t="array" ref="AH166">bdRateExtend($G166:$G171,H166:H171,$R166:$R171,S166:S171)</f>
        <v>#VALUE!</v>
      </c>
      <c r="AI166" s="241" t="e" cm="1">
        <f t="array" ref="AI166">bdRateExtend($G166:$G171,I166:I171,$R166:$R171,T166:T171)</f>
        <v>#VALUE!</v>
      </c>
      <c r="AJ166" s="244" t="e" cm="1">
        <f t="array" ref="AJ166">bdRateExtend($G166:$G171,J166:J171,$R166:$R171,U166:U171)</f>
        <v>#VALUE!</v>
      </c>
      <c r="AK166" s="239" t="e" cm="1">
        <f t="array" ref="AK166">bdRateExtend($G166:$G169,K166:K169,$R166:$R169,V166:V169)</f>
        <v>#VALUE!</v>
      </c>
      <c r="AL166" s="248" t="e" cm="1">
        <f t="array" ref="AL166">bdRateExtend($G166:$G171,K166:K171,$R166:$R171,V166:V171)</f>
        <v>#VALUE!</v>
      </c>
      <c r="AM166" s="239" t="e" cm="1">
        <f t="array" ref="AM166">bdRateExtend($G166:$G169,L166:L169,$R166:$R169,W166:W169)</f>
        <v>#VALUE!</v>
      </c>
      <c r="AN166" s="248" t="e" cm="1">
        <f t="array" ref="AN166">bdRateExtend($G166:$G171,L166:L171,$R166:$R171,W166:W171)</f>
        <v>#VALUE!</v>
      </c>
      <c r="AO166" s="254" t="e" cm="1">
        <f t="array" ref="AO166">bdRateExtend($G166:$G169,M166:M169,$R166:$R169,X166:X169)</f>
        <v>#VALUE!</v>
      </c>
      <c r="AP166" s="248" t="e" cm="1">
        <f t="array" ref="AP166">bdRateExtend($G166:$G171,M166:M171,$R166:$R171,X166:X171)</f>
        <v>#VALUE!</v>
      </c>
    </row>
    <row r="167" spans="1:42" ht="17.100000000000001" customHeight="1" outlineLevel="4" x14ac:dyDescent="0.25">
      <c r="A167" s="222"/>
      <c r="B167" s="219"/>
      <c r="C167" s="229"/>
      <c r="D167" s="232"/>
      <c r="E167" s="235"/>
      <c r="F167" s="16">
        <v>31</v>
      </c>
      <c r="G167" s="34"/>
      <c r="H167" s="39"/>
      <c r="I167" s="39"/>
      <c r="J167" s="39"/>
      <c r="K167" s="39"/>
      <c r="L167" s="39"/>
      <c r="M167" s="39"/>
      <c r="N167" s="39"/>
      <c r="O167" s="39"/>
      <c r="P167" s="35"/>
      <c r="Q167" s="18"/>
      <c r="R167" s="34"/>
      <c r="S167" s="39"/>
      <c r="T167" s="39"/>
      <c r="U167" s="39"/>
      <c r="V167" s="39"/>
      <c r="W167" s="39"/>
      <c r="X167" s="39"/>
      <c r="Y167" s="39"/>
      <c r="Z167" s="39"/>
      <c r="AA167" s="35"/>
      <c r="AB167" s="50" t="e">
        <f t="shared" si="6"/>
        <v>#DIV/0!</v>
      </c>
      <c r="AC167" s="51" t="e">
        <f t="shared" si="6"/>
        <v>#DIV/0!</v>
      </c>
      <c r="AD167" s="19"/>
      <c r="AE167" s="19"/>
      <c r="AF167" s="285"/>
      <c r="AG167" s="240"/>
      <c r="AH167" s="242"/>
      <c r="AI167" s="242"/>
      <c r="AJ167" s="245"/>
      <c r="AK167" s="240"/>
      <c r="AL167" s="249"/>
      <c r="AM167" s="240"/>
      <c r="AN167" s="249"/>
      <c r="AO167" s="252"/>
      <c r="AP167" s="249"/>
    </row>
    <row r="168" spans="1:42" ht="17.100000000000001" customHeight="1" outlineLevel="4" x14ac:dyDescent="0.25">
      <c r="A168" s="222"/>
      <c r="B168" s="219"/>
      <c r="C168" s="229"/>
      <c r="D168" s="232"/>
      <c r="E168" s="235"/>
      <c r="F168" s="16">
        <v>39</v>
      </c>
      <c r="G168" s="34"/>
      <c r="H168" s="39"/>
      <c r="I168" s="39"/>
      <c r="J168" s="39"/>
      <c r="K168" s="39"/>
      <c r="L168" s="39"/>
      <c r="M168" s="39"/>
      <c r="N168" s="39"/>
      <c r="O168" s="39"/>
      <c r="P168" s="35"/>
      <c r="Q168" s="18"/>
      <c r="R168" s="34"/>
      <c r="S168" s="39"/>
      <c r="T168" s="39"/>
      <c r="U168" s="39"/>
      <c r="V168" s="39"/>
      <c r="W168" s="39"/>
      <c r="X168" s="39"/>
      <c r="Y168" s="39"/>
      <c r="Z168" s="39"/>
      <c r="AA168" s="35"/>
      <c r="AB168" s="50" t="e">
        <f t="shared" si="6"/>
        <v>#DIV/0!</v>
      </c>
      <c r="AC168" s="51" t="e">
        <f t="shared" si="6"/>
        <v>#DIV/0!</v>
      </c>
      <c r="AD168" s="19"/>
      <c r="AE168" s="19"/>
      <c r="AF168" s="285" t="s">
        <v>127</v>
      </c>
      <c r="AG168" s="240" t="e" cm="1">
        <f t="array" ref="AG168">bdRateExtend($G167:$G170,G167:G170,$R167:$R170,R167:R170)</f>
        <v>#VALUE!</v>
      </c>
      <c r="AH168" s="242"/>
      <c r="AI168" s="242"/>
      <c r="AJ168" s="245"/>
      <c r="AK168" s="240" t="e" cm="1">
        <f t="array" ref="AK168">bdRateExtend($G167:$G170,K167:K170,$R167:$R170,V167:V170)</f>
        <v>#VALUE!</v>
      </c>
      <c r="AL168" s="249"/>
      <c r="AM168" s="240" t="e" cm="1">
        <f t="array" ref="AM168">bdRateExtend($G167:$G170,L167:L170,$R167:$R170,W167:W170)</f>
        <v>#VALUE!</v>
      </c>
      <c r="AN168" s="249"/>
      <c r="AO168" s="252" t="e" cm="1">
        <f t="array" ref="AO168">bdRateExtend($G167:$G170,M167:M170,$R167:$R170,X167:X170)</f>
        <v>#VALUE!</v>
      </c>
      <c r="AP168" s="249"/>
    </row>
    <row r="169" spans="1:42" ht="17.100000000000001" customHeight="1" outlineLevel="4" x14ac:dyDescent="0.25">
      <c r="A169" s="222"/>
      <c r="B169" s="219"/>
      <c r="C169" s="229"/>
      <c r="D169" s="232"/>
      <c r="E169" s="235"/>
      <c r="F169" s="16">
        <v>47</v>
      </c>
      <c r="G169" s="34"/>
      <c r="H169" s="39"/>
      <c r="I169" s="39"/>
      <c r="J169" s="39"/>
      <c r="K169" s="39"/>
      <c r="L169" s="39"/>
      <c r="M169" s="39"/>
      <c r="N169" s="39"/>
      <c r="O169" s="39"/>
      <c r="P169" s="35"/>
      <c r="Q169" s="18"/>
      <c r="R169" s="34"/>
      <c r="S169" s="39"/>
      <c r="T169" s="39"/>
      <c r="U169" s="39"/>
      <c r="V169" s="39"/>
      <c r="W169" s="39"/>
      <c r="X169" s="39"/>
      <c r="Y169" s="39"/>
      <c r="Z169" s="39"/>
      <c r="AA169" s="35"/>
      <c r="AB169" s="50" t="e">
        <f t="shared" si="6"/>
        <v>#DIV/0!</v>
      </c>
      <c r="AC169" s="51" t="e">
        <f t="shared" si="6"/>
        <v>#DIV/0!</v>
      </c>
      <c r="AD169" s="19"/>
      <c r="AE169" s="19"/>
      <c r="AF169" s="285"/>
      <c r="AG169" s="240"/>
      <c r="AH169" s="242"/>
      <c r="AI169" s="242"/>
      <c r="AJ169" s="245"/>
      <c r="AK169" s="240"/>
      <c r="AL169" s="249"/>
      <c r="AM169" s="240"/>
      <c r="AN169" s="249"/>
      <c r="AO169" s="252"/>
      <c r="AP169" s="249"/>
    </row>
    <row r="170" spans="1:42" ht="17.100000000000001" customHeight="1" outlineLevel="4" x14ac:dyDescent="0.25">
      <c r="A170" s="222"/>
      <c r="B170" s="219"/>
      <c r="C170" s="229"/>
      <c r="D170" s="232"/>
      <c r="E170" s="235"/>
      <c r="F170" s="16">
        <v>55</v>
      </c>
      <c r="G170" s="34"/>
      <c r="H170" s="39"/>
      <c r="I170" s="39"/>
      <c r="J170" s="39"/>
      <c r="K170" s="39"/>
      <c r="L170" s="39"/>
      <c r="M170" s="39"/>
      <c r="N170" s="39"/>
      <c r="O170" s="39"/>
      <c r="P170" s="35"/>
      <c r="Q170" s="18"/>
      <c r="R170" s="34"/>
      <c r="S170" s="39"/>
      <c r="T170" s="39"/>
      <c r="U170" s="39"/>
      <c r="V170" s="39"/>
      <c r="W170" s="39"/>
      <c r="X170" s="39"/>
      <c r="Y170" s="39"/>
      <c r="Z170" s="39"/>
      <c r="AA170" s="35"/>
      <c r="AB170" s="50" t="e">
        <f t="shared" si="6"/>
        <v>#DIV/0!</v>
      </c>
      <c r="AC170" s="51" t="e">
        <f t="shared" si="6"/>
        <v>#DIV/0!</v>
      </c>
      <c r="AD170" s="19"/>
      <c r="AE170" s="19"/>
      <c r="AF170" s="285" t="s">
        <v>128</v>
      </c>
      <c r="AG170" s="240" t="e" cm="1">
        <f t="array" ref="AG170">bdRateExtend($G168:$G171,G168:G171,$R168:$R171,R168:R171)</f>
        <v>#VALUE!</v>
      </c>
      <c r="AH170" s="242"/>
      <c r="AI170" s="242"/>
      <c r="AJ170" s="245"/>
      <c r="AK170" s="240" t="e" cm="1">
        <f t="array" ref="AK170">bdRateExtend($G168:$G171,K168:K171,$R168:$R171,V168:V171)</f>
        <v>#VALUE!</v>
      </c>
      <c r="AL170" s="249"/>
      <c r="AM170" s="240" t="e" cm="1">
        <f t="array" ref="AM170">bdRateExtend($G168:$G171,L168:L171,$R168:$R171,W168:W171)</f>
        <v>#VALUE!</v>
      </c>
      <c r="AN170" s="249"/>
      <c r="AO170" s="252" t="e" cm="1">
        <f t="array" ref="AO170">bdRateExtend($G168:$G171,M168:M171,$R168:$R171,X168:X171)</f>
        <v>#VALUE!</v>
      </c>
      <c r="AP170" s="249"/>
    </row>
    <row r="171" spans="1:42" ht="17.100000000000001" customHeight="1" outlineLevel="4" thickBot="1" x14ac:dyDescent="0.3">
      <c r="A171" s="222"/>
      <c r="B171" s="220"/>
      <c r="C171" s="230"/>
      <c r="D171" s="233"/>
      <c r="E171" s="236"/>
      <c r="F171" s="9">
        <v>63</v>
      </c>
      <c r="G171" s="36"/>
      <c r="H171" s="37"/>
      <c r="I171" s="37"/>
      <c r="J171" s="37"/>
      <c r="K171" s="37"/>
      <c r="L171" s="37"/>
      <c r="M171" s="37"/>
      <c r="N171" s="37"/>
      <c r="O171" s="37"/>
      <c r="P171" s="38"/>
      <c r="Q171" s="18"/>
      <c r="R171" s="36"/>
      <c r="S171" s="37"/>
      <c r="T171" s="37"/>
      <c r="U171" s="37"/>
      <c r="V171" s="37"/>
      <c r="W171" s="37"/>
      <c r="X171" s="37"/>
      <c r="Y171" s="37"/>
      <c r="Z171" s="37"/>
      <c r="AA171" s="38"/>
      <c r="AB171" s="52" t="e">
        <f t="shared" si="6"/>
        <v>#DIV/0!</v>
      </c>
      <c r="AC171" s="53" t="e">
        <f t="shared" si="6"/>
        <v>#DIV/0!</v>
      </c>
      <c r="AD171" s="19"/>
      <c r="AE171" s="19"/>
      <c r="AF171" s="286"/>
      <c r="AG171" s="247"/>
      <c r="AH171" s="243"/>
      <c r="AI171" s="243"/>
      <c r="AJ171" s="246"/>
      <c r="AK171" s="247"/>
      <c r="AL171" s="250"/>
      <c r="AM171" s="247"/>
      <c r="AN171" s="250"/>
      <c r="AO171" s="253"/>
      <c r="AP171" s="250"/>
    </row>
    <row r="172" spans="1:42" ht="17.100000000000001" customHeight="1" outlineLevel="4" x14ac:dyDescent="0.25">
      <c r="A172" s="222"/>
      <c r="B172" s="218" t="s">
        <v>25</v>
      </c>
      <c r="C172" s="228" t="s">
        <v>65</v>
      </c>
      <c r="D172" s="231">
        <v>29.97</v>
      </c>
      <c r="E172" s="234" t="s">
        <v>23</v>
      </c>
      <c r="F172" s="7">
        <v>23</v>
      </c>
      <c r="G172" s="31"/>
      <c r="H172" s="32"/>
      <c r="I172" s="32"/>
      <c r="J172" s="32"/>
      <c r="K172" s="32"/>
      <c r="L172" s="32"/>
      <c r="M172" s="32"/>
      <c r="N172" s="32"/>
      <c r="O172" s="32"/>
      <c r="P172" s="33"/>
      <c r="Q172" s="18"/>
      <c r="R172" s="31"/>
      <c r="S172" s="32"/>
      <c r="T172" s="32"/>
      <c r="U172" s="32"/>
      <c r="V172" s="32"/>
      <c r="W172" s="32"/>
      <c r="X172" s="32"/>
      <c r="Y172" s="32"/>
      <c r="Z172" s="32"/>
      <c r="AA172" s="33"/>
      <c r="AB172" s="48" t="e">
        <f t="shared" si="6"/>
        <v>#DIV/0!</v>
      </c>
      <c r="AC172" s="49" t="e">
        <f t="shared" si="6"/>
        <v>#DIV/0!</v>
      </c>
      <c r="AD172" s="19"/>
      <c r="AE172" s="19"/>
      <c r="AF172" s="284" t="s">
        <v>126</v>
      </c>
      <c r="AG172" s="239" t="e" cm="1">
        <f t="array" ref="AG172">bdRateExtend($G172:$G175,G172:G175,$R172:$R175,R172:R175)</f>
        <v>#VALUE!</v>
      </c>
      <c r="AH172" s="241" t="e" cm="1">
        <f t="array" ref="AH172">bdRateExtend($G172:$G177,H172:H177,$R172:$R177,S172:S177)</f>
        <v>#VALUE!</v>
      </c>
      <c r="AI172" s="241" t="e" cm="1">
        <f t="array" ref="AI172">bdRateExtend($G172:$G177,I172:I177,$R172:$R177,T172:T177)</f>
        <v>#VALUE!</v>
      </c>
      <c r="AJ172" s="244" t="e" cm="1">
        <f t="array" ref="AJ172">bdRateExtend($G172:$G177,J172:J177,$R172:$R177,U172:U177)</f>
        <v>#VALUE!</v>
      </c>
      <c r="AK172" s="239" t="e" cm="1">
        <f t="array" ref="AK172">bdRateExtend($G172:$G175,K172:K175,$R172:$R175,V172:V175)</f>
        <v>#VALUE!</v>
      </c>
      <c r="AL172" s="248" t="e" cm="1">
        <f t="array" ref="AL172">bdRateExtend($G172:$G177,K172:K177,$R172:$R177,V172:V177)</f>
        <v>#VALUE!</v>
      </c>
      <c r="AM172" s="239" t="e" cm="1">
        <f t="array" ref="AM172">bdRateExtend($G172:$G175,L172:L175,$R172:$R175,W172:W175)</f>
        <v>#VALUE!</v>
      </c>
      <c r="AN172" s="248" t="e" cm="1">
        <f t="array" ref="AN172">bdRateExtend($G172:$G177,L172:L177,$R172:$R177,W172:W177)</f>
        <v>#VALUE!</v>
      </c>
      <c r="AO172" s="254" t="e" cm="1">
        <f t="array" ref="AO172">bdRateExtend($G172:$G175,M172:M175,$R172:$R175,X172:X175)</f>
        <v>#VALUE!</v>
      </c>
      <c r="AP172" s="248" t="e" cm="1">
        <f t="array" ref="AP172">bdRateExtend($G172:$G177,M172:M177,$R172:$R177,X172:X177)</f>
        <v>#VALUE!</v>
      </c>
    </row>
    <row r="173" spans="1:42" ht="17.100000000000001" customHeight="1" outlineLevel="4" x14ac:dyDescent="0.25">
      <c r="A173" s="222"/>
      <c r="B173" s="219"/>
      <c r="C173" s="229"/>
      <c r="D173" s="232"/>
      <c r="E173" s="235"/>
      <c r="F173" s="16">
        <v>31</v>
      </c>
      <c r="G173" s="34"/>
      <c r="H173" s="39"/>
      <c r="I173" s="39"/>
      <c r="J173" s="39"/>
      <c r="K173" s="39"/>
      <c r="L173" s="39"/>
      <c r="M173" s="39"/>
      <c r="N173" s="39"/>
      <c r="O173" s="39"/>
      <c r="P173" s="35"/>
      <c r="Q173" s="18"/>
      <c r="R173" s="34"/>
      <c r="S173" s="39"/>
      <c r="T173" s="39"/>
      <c r="U173" s="39"/>
      <c r="V173" s="39"/>
      <c r="W173" s="39"/>
      <c r="X173" s="39"/>
      <c r="Y173" s="39"/>
      <c r="Z173" s="39"/>
      <c r="AA173" s="35"/>
      <c r="AB173" s="50" t="e">
        <f t="shared" si="6"/>
        <v>#DIV/0!</v>
      </c>
      <c r="AC173" s="51" t="e">
        <f t="shared" si="6"/>
        <v>#DIV/0!</v>
      </c>
      <c r="AD173" s="19"/>
      <c r="AE173" s="19"/>
      <c r="AF173" s="285"/>
      <c r="AG173" s="240"/>
      <c r="AH173" s="242"/>
      <c r="AI173" s="242"/>
      <c r="AJ173" s="245"/>
      <c r="AK173" s="240"/>
      <c r="AL173" s="249"/>
      <c r="AM173" s="240"/>
      <c r="AN173" s="249"/>
      <c r="AO173" s="252"/>
      <c r="AP173" s="249"/>
    </row>
    <row r="174" spans="1:42" ht="17.100000000000001" customHeight="1" outlineLevel="4" x14ac:dyDescent="0.25">
      <c r="A174" s="222"/>
      <c r="B174" s="219"/>
      <c r="C174" s="229"/>
      <c r="D174" s="232"/>
      <c r="E174" s="235"/>
      <c r="F174" s="16">
        <v>39</v>
      </c>
      <c r="G174" s="34"/>
      <c r="H174" s="39"/>
      <c r="I174" s="39"/>
      <c r="J174" s="39"/>
      <c r="K174" s="39"/>
      <c r="L174" s="39"/>
      <c r="M174" s="39"/>
      <c r="N174" s="39"/>
      <c r="O174" s="39"/>
      <c r="P174" s="35"/>
      <c r="Q174" s="18"/>
      <c r="R174" s="34"/>
      <c r="S174" s="39"/>
      <c r="T174" s="39"/>
      <c r="U174" s="39"/>
      <c r="V174" s="39"/>
      <c r="W174" s="39"/>
      <c r="X174" s="39"/>
      <c r="Y174" s="39"/>
      <c r="Z174" s="39"/>
      <c r="AA174" s="35"/>
      <c r="AB174" s="50" t="e">
        <f t="shared" si="6"/>
        <v>#DIV/0!</v>
      </c>
      <c r="AC174" s="51" t="e">
        <f t="shared" si="6"/>
        <v>#DIV/0!</v>
      </c>
      <c r="AD174" s="19"/>
      <c r="AE174" s="19"/>
      <c r="AF174" s="285" t="s">
        <v>127</v>
      </c>
      <c r="AG174" s="240" t="e" cm="1">
        <f t="array" ref="AG174">bdRateExtend($G173:$G176,G173:G176,$R173:$R176,R173:R176)</f>
        <v>#VALUE!</v>
      </c>
      <c r="AH174" s="242"/>
      <c r="AI174" s="242"/>
      <c r="AJ174" s="245"/>
      <c r="AK174" s="240" t="e" cm="1">
        <f t="array" ref="AK174">bdRateExtend($G173:$G176,K173:K176,$R173:$R176,V173:V176)</f>
        <v>#VALUE!</v>
      </c>
      <c r="AL174" s="249"/>
      <c r="AM174" s="240" t="e" cm="1">
        <f t="array" ref="AM174">bdRateExtend($G173:$G176,L173:L176,$R173:$R176,W173:W176)</f>
        <v>#VALUE!</v>
      </c>
      <c r="AN174" s="249"/>
      <c r="AO174" s="252" t="e" cm="1">
        <f t="array" ref="AO174">bdRateExtend($G173:$G176,M173:M176,$R173:$R176,X173:X176)</f>
        <v>#VALUE!</v>
      </c>
      <c r="AP174" s="249"/>
    </row>
    <row r="175" spans="1:42" ht="17.100000000000001" customHeight="1" outlineLevel="4" x14ac:dyDescent="0.25">
      <c r="A175" s="222"/>
      <c r="B175" s="219"/>
      <c r="C175" s="229"/>
      <c r="D175" s="232"/>
      <c r="E175" s="235"/>
      <c r="F175" s="16">
        <v>47</v>
      </c>
      <c r="G175" s="34"/>
      <c r="H175" s="39"/>
      <c r="I175" s="39"/>
      <c r="J175" s="39"/>
      <c r="K175" s="39"/>
      <c r="L175" s="39"/>
      <c r="M175" s="39"/>
      <c r="N175" s="39"/>
      <c r="O175" s="39"/>
      <c r="P175" s="35"/>
      <c r="Q175" s="18"/>
      <c r="R175" s="34"/>
      <c r="S175" s="39"/>
      <c r="T175" s="39"/>
      <c r="U175" s="39"/>
      <c r="V175" s="39"/>
      <c r="W175" s="39"/>
      <c r="X175" s="39"/>
      <c r="Y175" s="39"/>
      <c r="Z175" s="39"/>
      <c r="AA175" s="35"/>
      <c r="AB175" s="50" t="e">
        <f t="shared" si="6"/>
        <v>#DIV/0!</v>
      </c>
      <c r="AC175" s="51" t="e">
        <f t="shared" si="6"/>
        <v>#DIV/0!</v>
      </c>
      <c r="AD175" s="19"/>
      <c r="AE175" s="19"/>
      <c r="AF175" s="285"/>
      <c r="AG175" s="240"/>
      <c r="AH175" s="242"/>
      <c r="AI175" s="242"/>
      <c r="AJ175" s="245"/>
      <c r="AK175" s="240"/>
      <c r="AL175" s="249"/>
      <c r="AM175" s="240"/>
      <c r="AN175" s="249"/>
      <c r="AO175" s="252"/>
      <c r="AP175" s="249"/>
    </row>
    <row r="176" spans="1:42" ht="17.100000000000001" customHeight="1" outlineLevel="4" x14ac:dyDescent="0.25">
      <c r="A176" s="222"/>
      <c r="B176" s="219"/>
      <c r="C176" s="229"/>
      <c r="D176" s="232"/>
      <c r="E176" s="235"/>
      <c r="F176" s="16">
        <v>55</v>
      </c>
      <c r="G176" s="34"/>
      <c r="H176" s="39"/>
      <c r="I176" s="39"/>
      <c r="J176" s="39"/>
      <c r="K176" s="39"/>
      <c r="L176" s="39"/>
      <c r="M176" s="39"/>
      <c r="N176" s="39"/>
      <c r="O176" s="39"/>
      <c r="P176" s="35"/>
      <c r="Q176" s="18"/>
      <c r="R176" s="34"/>
      <c r="S176" s="39"/>
      <c r="T176" s="39"/>
      <c r="U176" s="39"/>
      <c r="V176" s="39"/>
      <c r="W176" s="39"/>
      <c r="X176" s="39"/>
      <c r="Y176" s="39"/>
      <c r="Z176" s="39"/>
      <c r="AA176" s="35"/>
      <c r="AB176" s="50" t="e">
        <f t="shared" si="6"/>
        <v>#DIV/0!</v>
      </c>
      <c r="AC176" s="51" t="e">
        <f t="shared" si="6"/>
        <v>#DIV/0!</v>
      </c>
      <c r="AD176" s="19"/>
      <c r="AE176" s="19"/>
      <c r="AF176" s="285" t="s">
        <v>128</v>
      </c>
      <c r="AG176" s="240" t="e" cm="1">
        <f t="array" ref="AG176">bdRateExtend($G174:$G177,G174:G177,$R174:$R177,R174:R177)</f>
        <v>#VALUE!</v>
      </c>
      <c r="AH176" s="242"/>
      <c r="AI176" s="242"/>
      <c r="AJ176" s="245"/>
      <c r="AK176" s="240" t="e" cm="1">
        <f t="array" ref="AK176">bdRateExtend($G174:$G177,K174:K177,$R174:$R177,V174:V177)</f>
        <v>#VALUE!</v>
      </c>
      <c r="AL176" s="249"/>
      <c r="AM176" s="240" t="e" cm="1">
        <f t="array" ref="AM176">bdRateExtend($G174:$G177,L174:L177,$R174:$R177,W174:W177)</f>
        <v>#VALUE!</v>
      </c>
      <c r="AN176" s="249"/>
      <c r="AO176" s="252" t="e" cm="1">
        <f t="array" ref="AO176">bdRateExtend($G174:$G177,M174:M177,$R174:$R177,X174:X177)</f>
        <v>#VALUE!</v>
      </c>
      <c r="AP176" s="249"/>
    </row>
    <row r="177" spans="1:42" ht="17.100000000000001" customHeight="1" outlineLevel="4" thickBot="1" x14ac:dyDescent="0.3">
      <c r="A177" s="222"/>
      <c r="B177" s="220"/>
      <c r="C177" s="230"/>
      <c r="D177" s="233"/>
      <c r="E177" s="236"/>
      <c r="F177" s="9">
        <v>63</v>
      </c>
      <c r="G177" s="36"/>
      <c r="H177" s="37"/>
      <c r="I177" s="37"/>
      <c r="J177" s="37"/>
      <c r="K177" s="37"/>
      <c r="L177" s="37"/>
      <c r="M177" s="37"/>
      <c r="N177" s="37"/>
      <c r="O177" s="37"/>
      <c r="P177" s="38"/>
      <c r="Q177" s="18"/>
      <c r="R177" s="36"/>
      <c r="S177" s="37"/>
      <c r="T177" s="37"/>
      <c r="U177" s="37"/>
      <c r="V177" s="37"/>
      <c r="W177" s="37"/>
      <c r="X177" s="37"/>
      <c r="Y177" s="37"/>
      <c r="Z177" s="37"/>
      <c r="AA177" s="38"/>
      <c r="AB177" s="52" t="e">
        <f t="shared" si="6"/>
        <v>#DIV/0!</v>
      </c>
      <c r="AC177" s="53" t="e">
        <f t="shared" si="6"/>
        <v>#DIV/0!</v>
      </c>
      <c r="AD177" s="19"/>
      <c r="AE177" s="19"/>
      <c r="AF177" s="286"/>
      <c r="AG177" s="247"/>
      <c r="AH177" s="243"/>
      <c r="AI177" s="243"/>
      <c r="AJ177" s="246"/>
      <c r="AK177" s="247"/>
      <c r="AL177" s="250"/>
      <c r="AM177" s="247"/>
      <c r="AN177" s="250"/>
      <c r="AO177" s="253"/>
      <c r="AP177" s="250"/>
    </row>
    <row r="178" spans="1:42" ht="17.100000000000001" customHeight="1" outlineLevel="4" x14ac:dyDescent="0.25">
      <c r="A178" s="222"/>
      <c r="B178" s="218" t="s">
        <v>25</v>
      </c>
      <c r="C178" s="228" t="s">
        <v>66</v>
      </c>
      <c r="D178" s="231">
        <v>29.97</v>
      </c>
      <c r="E178" s="234" t="s">
        <v>23</v>
      </c>
      <c r="F178" s="7">
        <v>23</v>
      </c>
      <c r="G178" s="31"/>
      <c r="H178" s="32"/>
      <c r="I178" s="32"/>
      <c r="J178" s="32"/>
      <c r="K178" s="32"/>
      <c r="L178" s="32"/>
      <c r="M178" s="32"/>
      <c r="N178" s="32"/>
      <c r="O178" s="32"/>
      <c r="P178" s="33"/>
      <c r="Q178" s="18"/>
      <c r="R178" s="31"/>
      <c r="S178" s="32"/>
      <c r="T178" s="32"/>
      <c r="U178" s="32"/>
      <c r="V178" s="32"/>
      <c r="W178" s="32"/>
      <c r="X178" s="32"/>
      <c r="Y178" s="32"/>
      <c r="Z178" s="32"/>
      <c r="AA178" s="33"/>
      <c r="AB178" s="48" t="e">
        <f t="shared" si="6"/>
        <v>#DIV/0!</v>
      </c>
      <c r="AC178" s="49" t="e">
        <f t="shared" si="6"/>
        <v>#DIV/0!</v>
      </c>
      <c r="AD178" s="19"/>
      <c r="AE178" s="19"/>
      <c r="AF178" s="284" t="s">
        <v>126</v>
      </c>
      <c r="AG178" s="239" t="e" cm="1">
        <f t="array" ref="AG178">bdRateExtend($G178:$G181,G178:G181,$R178:$R181,R178:R181)</f>
        <v>#VALUE!</v>
      </c>
      <c r="AH178" s="241" t="e" cm="1">
        <f t="array" ref="AH178">bdRateExtend($G178:$G183,H178:H183,$R178:$R183,S178:S183)</f>
        <v>#VALUE!</v>
      </c>
      <c r="AI178" s="241" t="e" cm="1">
        <f t="array" ref="AI178">bdRateExtend($G178:$G183,I178:I183,$R178:$R183,T178:T183)</f>
        <v>#VALUE!</v>
      </c>
      <c r="AJ178" s="244" t="e" cm="1">
        <f t="array" ref="AJ178">bdRateExtend($G178:$G183,J178:J183,$R178:$R183,U178:U183)</f>
        <v>#VALUE!</v>
      </c>
      <c r="AK178" s="239" t="e" cm="1">
        <f t="array" ref="AK178">bdRateExtend($G178:$G181,K178:K181,$R178:$R181,V178:V181)</f>
        <v>#VALUE!</v>
      </c>
      <c r="AL178" s="248" t="e" cm="1">
        <f t="array" ref="AL178">bdRateExtend($G178:$G183,K178:K183,$R178:$R183,V178:V183)</f>
        <v>#VALUE!</v>
      </c>
      <c r="AM178" s="239" t="e" cm="1">
        <f t="array" ref="AM178">bdRateExtend($G178:$G181,L178:L181,$R178:$R181,W178:W181)</f>
        <v>#VALUE!</v>
      </c>
      <c r="AN178" s="248" t="e" cm="1">
        <f t="array" ref="AN178">bdRateExtend($G178:$G183,L178:L183,$R178:$R183,W178:W183)</f>
        <v>#VALUE!</v>
      </c>
      <c r="AO178" s="254" t="e" cm="1">
        <f t="array" ref="AO178">bdRateExtend($G178:$G181,M178:M181,$R178:$R181,X178:X181)</f>
        <v>#VALUE!</v>
      </c>
      <c r="AP178" s="248" t="e" cm="1">
        <f t="array" ref="AP178">bdRateExtend($G178:$G183,M178:M183,$R178:$R183,X178:X183)</f>
        <v>#VALUE!</v>
      </c>
    </row>
    <row r="179" spans="1:42" ht="17.100000000000001" customHeight="1" outlineLevel="4" x14ac:dyDescent="0.25">
      <c r="A179" s="222"/>
      <c r="B179" s="219"/>
      <c r="C179" s="229"/>
      <c r="D179" s="232"/>
      <c r="E179" s="235"/>
      <c r="F179" s="16">
        <v>31</v>
      </c>
      <c r="G179" s="34"/>
      <c r="H179" s="39"/>
      <c r="I179" s="39"/>
      <c r="J179" s="39"/>
      <c r="K179" s="39"/>
      <c r="L179" s="39"/>
      <c r="M179" s="39"/>
      <c r="N179" s="39"/>
      <c r="O179" s="39"/>
      <c r="P179" s="35"/>
      <c r="Q179" s="18"/>
      <c r="R179" s="34"/>
      <c r="S179" s="39"/>
      <c r="T179" s="39"/>
      <c r="U179" s="39"/>
      <c r="V179" s="39"/>
      <c r="W179" s="39"/>
      <c r="X179" s="39"/>
      <c r="Y179" s="39"/>
      <c r="Z179" s="39"/>
      <c r="AA179" s="35"/>
      <c r="AB179" s="50" t="e">
        <f t="shared" si="6"/>
        <v>#DIV/0!</v>
      </c>
      <c r="AC179" s="51" t="e">
        <f t="shared" si="6"/>
        <v>#DIV/0!</v>
      </c>
      <c r="AD179" s="19"/>
      <c r="AE179" s="19"/>
      <c r="AF179" s="285"/>
      <c r="AG179" s="240"/>
      <c r="AH179" s="242"/>
      <c r="AI179" s="242"/>
      <c r="AJ179" s="245"/>
      <c r="AK179" s="240"/>
      <c r="AL179" s="249"/>
      <c r="AM179" s="240"/>
      <c r="AN179" s="249"/>
      <c r="AO179" s="252"/>
      <c r="AP179" s="249"/>
    </row>
    <row r="180" spans="1:42" ht="17.100000000000001" customHeight="1" outlineLevel="4" x14ac:dyDescent="0.25">
      <c r="A180" s="222"/>
      <c r="B180" s="219"/>
      <c r="C180" s="229"/>
      <c r="D180" s="232"/>
      <c r="E180" s="235"/>
      <c r="F180" s="16">
        <v>39</v>
      </c>
      <c r="G180" s="34"/>
      <c r="H180" s="39"/>
      <c r="I180" s="39"/>
      <c r="J180" s="39"/>
      <c r="K180" s="39"/>
      <c r="L180" s="39"/>
      <c r="M180" s="39"/>
      <c r="N180" s="39"/>
      <c r="O180" s="39"/>
      <c r="P180" s="35"/>
      <c r="Q180" s="18"/>
      <c r="R180" s="34"/>
      <c r="S180" s="39"/>
      <c r="T180" s="39"/>
      <c r="U180" s="39"/>
      <c r="V180" s="39"/>
      <c r="W180" s="39"/>
      <c r="X180" s="39"/>
      <c r="Y180" s="39"/>
      <c r="Z180" s="39"/>
      <c r="AA180" s="35"/>
      <c r="AB180" s="50" t="e">
        <f t="shared" si="6"/>
        <v>#DIV/0!</v>
      </c>
      <c r="AC180" s="51" t="e">
        <f t="shared" si="6"/>
        <v>#DIV/0!</v>
      </c>
      <c r="AD180" s="19"/>
      <c r="AE180" s="19"/>
      <c r="AF180" s="285" t="s">
        <v>127</v>
      </c>
      <c r="AG180" s="240" t="e" cm="1">
        <f t="array" ref="AG180">bdRateExtend($G179:$G182,G179:G182,$R179:$R182,R179:R182)</f>
        <v>#VALUE!</v>
      </c>
      <c r="AH180" s="242"/>
      <c r="AI180" s="242"/>
      <c r="AJ180" s="245"/>
      <c r="AK180" s="240" t="e" cm="1">
        <f t="array" ref="AK180">bdRateExtend($G179:$G182,K179:K182,$R179:$R182,V179:V182)</f>
        <v>#VALUE!</v>
      </c>
      <c r="AL180" s="249"/>
      <c r="AM180" s="240" t="e" cm="1">
        <f t="array" ref="AM180">bdRateExtend($G179:$G182,L179:L182,$R179:$R182,W179:W182)</f>
        <v>#VALUE!</v>
      </c>
      <c r="AN180" s="249"/>
      <c r="AO180" s="252" t="e" cm="1">
        <f t="array" ref="AO180">bdRateExtend($G179:$G182,M179:M182,$R179:$R182,X179:X182)</f>
        <v>#VALUE!</v>
      </c>
      <c r="AP180" s="249"/>
    </row>
    <row r="181" spans="1:42" ht="17.100000000000001" customHeight="1" outlineLevel="4" x14ac:dyDescent="0.25">
      <c r="A181" s="222"/>
      <c r="B181" s="219"/>
      <c r="C181" s="229"/>
      <c r="D181" s="232"/>
      <c r="E181" s="235"/>
      <c r="F181" s="16">
        <v>47</v>
      </c>
      <c r="G181" s="34"/>
      <c r="H181" s="39"/>
      <c r="I181" s="39"/>
      <c r="J181" s="39"/>
      <c r="K181" s="39"/>
      <c r="L181" s="39"/>
      <c r="M181" s="39"/>
      <c r="N181" s="39"/>
      <c r="O181" s="39"/>
      <c r="P181" s="35"/>
      <c r="Q181" s="18"/>
      <c r="R181" s="34"/>
      <c r="S181" s="39"/>
      <c r="T181" s="39"/>
      <c r="U181" s="39"/>
      <c r="V181" s="39"/>
      <c r="W181" s="39"/>
      <c r="X181" s="39"/>
      <c r="Y181" s="39"/>
      <c r="Z181" s="39"/>
      <c r="AA181" s="35"/>
      <c r="AB181" s="50" t="e">
        <f t="shared" si="6"/>
        <v>#DIV/0!</v>
      </c>
      <c r="AC181" s="51" t="e">
        <f t="shared" si="6"/>
        <v>#DIV/0!</v>
      </c>
      <c r="AD181" s="19"/>
      <c r="AE181" s="19"/>
      <c r="AF181" s="285"/>
      <c r="AG181" s="240"/>
      <c r="AH181" s="242"/>
      <c r="AI181" s="242"/>
      <c r="AJ181" s="245"/>
      <c r="AK181" s="240"/>
      <c r="AL181" s="249"/>
      <c r="AM181" s="240"/>
      <c r="AN181" s="249"/>
      <c r="AO181" s="252"/>
      <c r="AP181" s="249"/>
    </row>
    <row r="182" spans="1:42" ht="17.100000000000001" customHeight="1" outlineLevel="4" x14ac:dyDescent="0.25">
      <c r="A182" s="222"/>
      <c r="B182" s="219"/>
      <c r="C182" s="229"/>
      <c r="D182" s="232"/>
      <c r="E182" s="235"/>
      <c r="F182" s="16">
        <v>55</v>
      </c>
      <c r="G182" s="34"/>
      <c r="H182" s="39"/>
      <c r="I182" s="39"/>
      <c r="J182" s="39"/>
      <c r="K182" s="39"/>
      <c r="L182" s="39"/>
      <c r="M182" s="39"/>
      <c r="N182" s="39"/>
      <c r="O182" s="39"/>
      <c r="P182" s="35"/>
      <c r="Q182" s="18"/>
      <c r="R182" s="34"/>
      <c r="S182" s="39"/>
      <c r="T182" s="39"/>
      <c r="U182" s="39"/>
      <c r="V182" s="39"/>
      <c r="W182" s="39"/>
      <c r="X182" s="39"/>
      <c r="Y182" s="39"/>
      <c r="Z182" s="39"/>
      <c r="AA182" s="35"/>
      <c r="AB182" s="50" t="e">
        <f t="shared" ref="AB182:AC245" si="7">Y182/N182</f>
        <v>#DIV/0!</v>
      </c>
      <c r="AC182" s="51" t="e">
        <f t="shared" si="7"/>
        <v>#DIV/0!</v>
      </c>
      <c r="AD182" s="19"/>
      <c r="AE182" s="19"/>
      <c r="AF182" s="285" t="s">
        <v>128</v>
      </c>
      <c r="AG182" s="240" t="e" cm="1">
        <f t="array" ref="AG182">bdRateExtend($G180:$G183,G180:G183,$R180:$R183,R180:R183)</f>
        <v>#VALUE!</v>
      </c>
      <c r="AH182" s="242"/>
      <c r="AI182" s="242"/>
      <c r="AJ182" s="245"/>
      <c r="AK182" s="240" t="e" cm="1">
        <f t="array" ref="AK182">bdRateExtend($G180:$G183,K180:K183,$R180:$R183,V180:V183)</f>
        <v>#VALUE!</v>
      </c>
      <c r="AL182" s="249"/>
      <c r="AM182" s="240" t="e" cm="1">
        <f t="array" ref="AM182">bdRateExtend($G180:$G183,L180:L183,$R180:$R183,W180:W183)</f>
        <v>#VALUE!</v>
      </c>
      <c r="AN182" s="249"/>
      <c r="AO182" s="252" t="e" cm="1">
        <f t="array" ref="AO182">bdRateExtend($G180:$G183,M180:M183,$R180:$R183,X180:X183)</f>
        <v>#VALUE!</v>
      </c>
      <c r="AP182" s="249"/>
    </row>
    <row r="183" spans="1:42" ht="17.100000000000001" customHeight="1" outlineLevel="4" thickBot="1" x14ac:dyDescent="0.3">
      <c r="A183" s="222"/>
      <c r="B183" s="220"/>
      <c r="C183" s="230"/>
      <c r="D183" s="233"/>
      <c r="E183" s="236"/>
      <c r="F183" s="9">
        <v>63</v>
      </c>
      <c r="G183" s="36"/>
      <c r="H183" s="37"/>
      <c r="I183" s="37"/>
      <c r="J183" s="37"/>
      <c r="K183" s="37"/>
      <c r="L183" s="37"/>
      <c r="M183" s="37"/>
      <c r="N183" s="37"/>
      <c r="O183" s="37"/>
      <c r="P183" s="38"/>
      <c r="Q183" s="18"/>
      <c r="R183" s="36"/>
      <c r="S183" s="37"/>
      <c r="T183" s="37"/>
      <c r="U183" s="37"/>
      <c r="V183" s="37"/>
      <c r="W183" s="37"/>
      <c r="X183" s="37"/>
      <c r="Y183" s="37"/>
      <c r="Z183" s="37"/>
      <c r="AA183" s="38"/>
      <c r="AB183" s="52" t="e">
        <f t="shared" si="7"/>
        <v>#DIV/0!</v>
      </c>
      <c r="AC183" s="53" t="e">
        <f t="shared" si="7"/>
        <v>#DIV/0!</v>
      </c>
      <c r="AD183" s="19"/>
      <c r="AE183" s="19"/>
      <c r="AF183" s="286"/>
      <c r="AG183" s="247"/>
      <c r="AH183" s="243"/>
      <c r="AI183" s="243"/>
      <c r="AJ183" s="246"/>
      <c r="AK183" s="247"/>
      <c r="AL183" s="250"/>
      <c r="AM183" s="247"/>
      <c r="AN183" s="250"/>
      <c r="AO183" s="253"/>
      <c r="AP183" s="250"/>
    </row>
    <row r="184" spans="1:42" ht="17.100000000000001" customHeight="1" outlineLevel="4" x14ac:dyDescent="0.25">
      <c r="A184" s="222"/>
      <c r="B184" s="218" t="s">
        <v>25</v>
      </c>
      <c r="C184" s="228" t="s">
        <v>67</v>
      </c>
      <c r="D184" s="231">
        <v>29.97</v>
      </c>
      <c r="E184" s="234"/>
      <c r="F184" s="7">
        <v>23</v>
      </c>
      <c r="G184" s="31"/>
      <c r="H184" s="32"/>
      <c r="I184" s="32"/>
      <c r="J184" s="32"/>
      <c r="K184" s="32"/>
      <c r="L184" s="32"/>
      <c r="M184" s="32"/>
      <c r="N184" s="32"/>
      <c r="O184" s="32"/>
      <c r="P184" s="33"/>
      <c r="Q184" s="18"/>
      <c r="R184" s="31"/>
      <c r="S184" s="32"/>
      <c r="T184" s="32"/>
      <c r="U184" s="32"/>
      <c r="V184" s="32"/>
      <c r="W184" s="32"/>
      <c r="X184" s="32"/>
      <c r="Y184" s="32"/>
      <c r="Z184" s="32"/>
      <c r="AA184" s="33"/>
      <c r="AB184" s="48" t="e">
        <f t="shared" si="7"/>
        <v>#DIV/0!</v>
      </c>
      <c r="AC184" s="49" t="e">
        <f t="shared" si="7"/>
        <v>#DIV/0!</v>
      </c>
      <c r="AD184" s="19"/>
      <c r="AE184" s="19"/>
      <c r="AF184" s="284" t="s">
        <v>126</v>
      </c>
      <c r="AG184" s="239" t="e" cm="1">
        <f t="array" ref="AG184">bdRateExtend($G184:$G187,G184:G187,$R184:$R187,R184:R187)</f>
        <v>#VALUE!</v>
      </c>
      <c r="AH184" s="241" t="e" cm="1">
        <f t="array" ref="AH184">bdRateExtend($G184:$G189,H184:H189,$R184:$R189,S184:S189)</f>
        <v>#VALUE!</v>
      </c>
      <c r="AI184" s="241" t="e" cm="1">
        <f t="array" ref="AI184">bdRateExtend($G184:$G189,I184:I189,$R184:$R189,T184:T189)</f>
        <v>#VALUE!</v>
      </c>
      <c r="AJ184" s="244" t="e" cm="1">
        <f t="array" ref="AJ184">bdRateExtend($G184:$G189,J184:J189,$R184:$R189,U184:U189)</f>
        <v>#VALUE!</v>
      </c>
      <c r="AK184" s="239" t="e" cm="1">
        <f t="array" ref="AK184">bdRateExtend($G184:$G187,K184:K187,$R184:$R187,V184:V187)</f>
        <v>#VALUE!</v>
      </c>
      <c r="AL184" s="248" t="e" cm="1">
        <f t="array" ref="AL184">bdRateExtend($G184:$G189,K184:K189,$R184:$R189,V184:V189)</f>
        <v>#VALUE!</v>
      </c>
      <c r="AM184" s="239" t="e" cm="1">
        <f t="array" ref="AM184">bdRateExtend($G184:$G187,L184:L187,$R184:$R187,W184:W187)</f>
        <v>#VALUE!</v>
      </c>
      <c r="AN184" s="248" t="e" cm="1">
        <f t="array" ref="AN184">bdRateExtend($G184:$G189,L184:L189,$R184:$R189,W184:W189)</f>
        <v>#VALUE!</v>
      </c>
      <c r="AO184" s="254" t="e" cm="1">
        <f t="array" ref="AO184">bdRateExtend($G184:$G187,M184:M187,$R184:$R187,X184:X187)</f>
        <v>#VALUE!</v>
      </c>
      <c r="AP184" s="248" t="e" cm="1">
        <f t="array" ref="AP184">bdRateExtend($G184:$G189,M184:M189,$R184:$R189,X184:X189)</f>
        <v>#VALUE!</v>
      </c>
    </row>
    <row r="185" spans="1:42" ht="17.100000000000001" customHeight="1" outlineLevel="4" x14ac:dyDescent="0.25">
      <c r="A185" s="222"/>
      <c r="B185" s="219"/>
      <c r="C185" s="229"/>
      <c r="D185" s="232"/>
      <c r="E185" s="235"/>
      <c r="F185" s="16">
        <v>31</v>
      </c>
      <c r="G185" s="34"/>
      <c r="H185" s="39"/>
      <c r="I185" s="39"/>
      <c r="J185" s="39"/>
      <c r="K185" s="39"/>
      <c r="L185" s="39"/>
      <c r="M185" s="39"/>
      <c r="N185" s="39"/>
      <c r="O185" s="39"/>
      <c r="P185" s="35"/>
      <c r="Q185" s="18"/>
      <c r="R185" s="34"/>
      <c r="S185" s="39"/>
      <c r="T185" s="39"/>
      <c r="U185" s="39"/>
      <c r="V185" s="39"/>
      <c r="W185" s="39"/>
      <c r="X185" s="39"/>
      <c r="Y185" s="39"/>
      <c r="Z185" s="39"/>
      <c r="AA185" s="35"/>
      <c r="AB185" s="50" t="e">
        <f t="shared" si="7"/>
        <v>#DIV/0!</v>
      </c>
      <c r="AC185" s="51" t="e">
        <f t="shared" si="7"/>
        <v>#DIV/0!</v>
      </c>
      <c r="AD185" s="19"/>
      <c r="AE185" s="19"/>
      <c r="AF185" s="285"/>
      <c r="AG185" s="240"/>
      <c r="AH185" s="242"/>
      <c r="AI185" s="242"/>
      <c r="AJ185" s="245"/>
      <c r="AK185" s="240"/>
      <c r="AL185" s="249"/>
      <c r="AM185" s="240"/>
      <c r="AN185" s="249"/>
      <c r="AO185" s="252"/>
      <c r="AP185" s="249"/>
    </row>
    <row r="186" spans="1:42" ht="17.100000000000001" customHeight="1" outlineLevel="4" x14ac:dyDescent="0.25">
      <c r="A186" s="222"/>
      <c r="B186" s="219"/>
      <c r="C186" s="229"/>
      <c r="D186" s="232"/>
      <c r="E186" s="235"/>
      <c r="F186" s="16">
        <v>39</v>
      </c>
      <c r="G186" s="34"/>
      <c r="H186" s="39"/>
      <c r="I186" s="39"/>
      <c r="J186" s="39"/>
      <c r="K186" s="39"/>
      <c r="L186" s="39"/>
      <c r="M186" s="39"/>
      <c r="N186" s="39"/>
      <c r="O186" s="39"/>
      <c r="P186" s="35"/>
      <c r="Q186" s="18"/>
      <c r="R186" s="34"/>
      <c r="S186" s="39"/>
      <c r="T186" s="39"/>
      <c r="U186" s="39"/>
      <c r="V186" s="39"/>
      <c r="W186" s="39"/>
      <c r="X186" s="39"/>
      <c r="Y186" s="39"/>
      <c r="Z186" s="39"/>
      <c r="AA186" s="35"/>
      <c r="AB186" s="50" t="e">
        <f t="shared" si="7"/>
        <v>#DIV/0!</v>
      </c>
      <c r="AC186" s="51" t="e">
        <f t="shared" si="7"/>
        <v>#DIV/0!</v>
      </c>
      <c r="AD186" s="19"/>
      <c r="AE186" s="19"/>
      <c r="AF186" s="285" t="s">
        <v>127</v>
      </c>
      <c r="AG186" s="240" t="e" cm="1">
        <f t="array" ref="AG186">bdRateExtend($G185:$G188,G185:G188,$R185:$R188,R185:R188)</f>
        <v>#VALUE!</v>
      </c>
      <c r="AH186" s="242"/>
      <c r="AI186" s="242"/>
      <c r="AJ186" s="245"/>
      <c r="AK186" s="240" t="e" cm="1">
        <f t="array" ref="AK186">bdRateExtend($G185:$G188,K185:K188,$R185:$R188,V185:V188)</f>
        <v>#VALUE!</v>
      </c>
      <c r="AL186" s="249"/>
      <c r="AM186" s="240" t="e" cm="1">
        <f t="array" ref="AM186">bdRateExtend($G185:$G188,L185:L188,$R185:$R188,W185:W188)</f>
        <v>#VALUE!</v>
      </c>
      <c r="AN186" s="249"/>
      <c r="AO186" s="252" t="e" cm="1">
        <f t="array" ref="AO186">bdRateExtend($G185:$G188,M185:M188,$R185:$R188,X185:X188)</f>
        <v>#VALUE!</v>
      </c>
      <c r="AP186" s="249"/>
    </row>
    <row r="187" spans="1:42" ht="17.100000000000001" customHeight="1" outlineLevel="4" x14ac:dyDescent="0.25">
      <c r="A187" s="222"/>
      <c r="B187" s="219"/>
      <c r="C187" s="229"/>
      <c r="D187" s="232"/>
      <c r="E187" s="235"/>
      <c r="F187" s="16">
        <v>47</v>
      </c>
      <c r="G187" s="34"/>
      <c r="H187" s="39"/>
      <c r="I187" s="39"/>
      <c r="J187" s="39"/>
      <c r="K187" s="39"/>
      <c r="L187" s="39"/>
      <c r="M187" s="39"/>
      <c r="N187" s="39"/>
      <c r="O187" s="39"/>
      <c r="P187" s="35"/>
      <c r="Q187" s="18"/>
      <c r="R187" s="34"/>
      <c r="S187" s="39"/>
      <c r="T187" s="39"/>
      <c r="U187" s="39"/>
      <c r="V187" s="39"/>
      <c r="W187" s="39"/>
      <c r="X187" s="39"/>
      <c r="Y187" s="39"/>
      <c r="Z187" s="39"/>
      <c r="AA187" s="35"/>
      <c r="AB187" s="50" t="e">
        <f t="shared" si="7"/>
        <v>#DIV/0!</v>
      </c>
      <c r="AC187" s="51" t="e">
        <f t="shared" si="7"/>
        <v>#DIV/0!</v>
      </c>
      <c r="AD187" s="19"/>
      <c r="AE187" s="19"/>
      <c r="AF187" s="285"/>
      <c r="AG187" s="240"/>
      <c r="AH187" s="242"/>
      <c r="AI187" s="242"/>
      <c r="AJ187" s="245"/>
      <c r="AK187" s="240"/>
      <c r="AL187" s="249"/>
      <c r="AM187" s="240"/>
      <c r="AN187" s="249"/>
      <c r="AO187" s="252"/>
      <c r="AP187" s="249"/>
    </row>
    <row r="188" spans="1:42" ht="17.100000000000001" customHeight="1" outlineLevel="4" x14ac:dyDescent="0.25">
      <c r="A188" s="222"/>
      <c r="B188" s="219"/>
      <c r="C188" s="229"/>
      <c r="D188" s="232"/>
      <c r="E188" s="235"/>
      <c r="F188" s="16">
        <v>55</v>
      </c>
      <c r="G188" s="34"/>
      <c r="H188" s="39"/>
      <c r="I188" s="39"/>
      <c r="J188" s="39"/>
      <c r="K188" s="39"/>
      <c r="L188" s="39"/>
      <c r="M188" s="39"/>
      <c r="N188" s="39"/>
      <c r="O188" s="39"/>
      <c r="P188" s="35"/>
      <c r="Q188" s="18"/>
      <c r="R188" s="34"/>
      <c r="S188" s="39"/>
      <c r="T188" s="39"/>
      <c r="U188" s="39"/>
      <c r="V188" s="39"/>
      <c r="W188" s="39"/>
      <c r="X188" s="39"/>
      <c r="Y188" s="39"/>
      <c r="Z188" s="39"/>
      <c r="AA188" s="35"/>
      <c r="AB188" s="50" t="e">
        <f t="shared" si="7"/>
        <v>#DIV/0!</v>
      </c>
      <c r="AC188" s="51" t="e">
        <f t="shared" si="7"/>
        <v>#DIV/0!</v>
      </c>
      <c r="AD188" s="19"/>
      <c r="AE188" s="19"/>
      <c r="AF188" s="285" t="s">
        <v>128</v>
      </c>
      <c r="AG188" s="240" t="e" cm="1">
        <f t="array" ref="AG188">bdRateExtend($G186:$G189,G186:G189,$R186:$R189,R186:R189)</f>
        <v>#VALUE!</v>
      </c>
      <c r="AH188" s="242"/>
      <c r="AI188" s="242"/>
      <c r="AJ188" s="245"/>
      <c r="AK188" s="240" t="e" cm="1">
        <f t="array" ref="AK188">bdRateExtend($G186:$G189,K186:K189,$R186:$R189,V186:V189)</f>
        <v>#VALUE!</v>
      </c>
      <c r="AL188" s="249"/>
      <c r="AM188" s="240" t="e" cm="1">
        <f t="array" ref="AM188">bdRateExtend($G186:$G189,L186:L189,$R186:$R189,W186:W189)</f>
        <v>#VALUE!</v>
      </c>
      <c r="AN188" s="249"/>
      <c r="AO188" s="252" t="e" cm="1">
        <f t="array" ref="AO188">bdRateExtend($G186:$G189,M186:M189,$R186:$R189,X186:X189)</f>
        <v>#VALUE!</v>
      </c>
      <c r="AP188" s="249"/>
    </row>
    <row r="189" spans="1:42" ht="17.100000000000001" customHeight="1" outlineLevel="4" thickBot="1" x14ac:dyDescent="0.3">
      <c r="A189" s="222"/>
      <c r="B189" s="220"/>
      <c r="C189" s="230"/>
      <c r="D189" s="233"/>
      <c r="E189" s="236"/>
      <c r="F189" s="9">
        <v>63</v>
      </c>
      <c r="G189" s="36"/>
      <c r="H189" s="37"/>
      <c r="I189" s="37"/>
      <c r="J189" s="37"/>
      <c r="K189" s="37"/>
      <c r="L189" s="37"/>
      <c r="M189" s="37"/>
      <c r="N189" s="37"/>
      <c r="O189" s="37"/>
      <c r="P189" s="38"/>
      <c r="Q189" s="18"/>
      <c r="R189" s="36"/>
      <c r="S189" s="37"/>
      <c r="T189" s="37"/>
      <c r="U189" s="37"/>
      <c r="V189" s="37"/>
      <c r="W189" s="37"/>
      <c r="X189" s="37"/>
      <c r="Y189" s="37"/>
      <c r="Z189" s="37"/>
      <c r="AA189" s="38"/>
      <c r="AB189" s="52" t="e">
        <f t="shared" si="7"/>
        <v>#DIV/0!</v>
      </c>
      <c r="AC189" s="53" t="e">
        <f t="shared" si="7"/>
        <v>#DIV/0!</v>
      </c>
      <c r="AD189" s="19"/>
      <c r="AE189" s="19"/>
      <c r="AF189" s="286"/>
      <c r="AG189" s="247"/>
      <c r="AH189" s="243"/>
      <c r="AI189" s="243"/>
      <c r="AJ189" s="246"/>
      <c r="AK189" s="247"/>
      <c r="AL189" s="250"/>
      <c r="AM189" s="247"/>
      <c r="AN189" s="250"/>
      <c r="AO189" s="253"/>
      <c r="AP189" s="250"/>
    </row>
    <row r="190" spans="1:42" ht="17.100000000000001" customHeight="1" outlineLevel="4" x14ac:dyDescent="0.25">
      <c r="A190" s="222"/>
      <c r="B190" s="218" t="s">
        <v>25</v>
      </c>
      <c r="C190" s="228" t="s">
        <v>68</v>
      </c>
      <c r="D190" s="231">
        <v>59.94</v>
      </c>
      <c r="E190" s="234"/>
      <c r="F190" s="7">
        <v>23</v>
      </c>
      <c r="G190" s="31"/>
      <c r="H190" s="32"/>
      <c r="I190" s="32"/>
      <c r="J190" s="32"/>
      <c r="K190" s="32"/>
      <c r="L190" s="32"/>
      <c r="M190" s="32"/>
      <c r="N190" s="32"/>
      <c r="O190" s="32"/>
      <c r="P190" s="33"/>
      <c r="Q190" s="18"/>
      <c r="R190" s="31"/>
      <c r="S190" s="32"/>
      <c r="T190" s="32"/>
      <c r="U190" s="32"/>
      <c r="V190" s="32"/>
      <c r="W190" s="32"/>
      <c r="X190" s="32"/>
      <c r="Y190" s="32"/>
      <c r="Z190" s="32"/>
      <c r="AA190" s="33"/>
      <c r="AB190" s="48" t="e">
        <f t="shared" si="7"/>
        <v>#DIV/0!</v>
      </c>
      <c r="AC190" s="49" t="e">
        <f t="shared" si="7"/>
        <v>#DIV/0!</v>
      </c>
      <c r="AD190" s="19"/>
      <c r="AE190" s="19"/>
      <c r="AF190" s="284" t="s">
        <v>126</v>
      </c>
      <c r="AG190" s="239" t="e" cm="1">
        <f t="array" ref="AG190">bdRateExtend($G190:$G193,G190:G193,$R190:$R193,R190:R193)</f>
        <v>#VALUE!</v>
      </c>
      <c r="AH190" s="241" t="e" cm="1">
        <f t="array" ref="AH190">bdRateExtend($G190:$G195,H190:H195,$R190:$R195,S190:S195)</f>
        <v>#VALUE!</v>
      </c>
      <c r="AI190" s="241" t="e" cm="1">
        <f t="array" ref="AI190">bdRateExtend($G190:$G195,I190:I195,$R190:$R195,T190:T195)</f>
        <v>#VALUE!</v>
      </c>
      <c r="AJ190" s="244" t="e" cm="1">
        <f t="array" ref="AJ190">bdRateExtend($G190:$G195,J190:J195,$R190:$R195,U190:U195)</f>
        <v>#VALUE!</v>
      </c>
      <c r="AK190" s="239" t="e" cm="1">
        <f t="array" ref="AK190">bdRateExtend($G190:$G193,K190:K193,$R190:$R193,V190:V193)</f>
        <v>#VALUE!</v>
      </c>
      <c r="AL190" s="248" t="e" cm="1">
        <f t="array" ref="AL190">bdRateExtend($G190:$G195,K190:K195,$R190:$R195,V190:V195)</f>
        <v>#VALUE!</v>
      </c>
      <c r="AM190" s="239" t="e" cm="1">
        <f t="array" ref="AM190">bdRateExtend($G190:$G193,L190:L193,$R190:$R193,W190:W193)</f>
        <v>#VALUE!</v>
      </c>
      <c r="AN190" s="248" t="e" cm="1">
        <f t="array" ref="AN190">bdRateExtend($G190:$G195,L190:L195,$R190:$R195,W190:W195)</f>
        <v>#VALUE!</v>
      </c>
      <c r="AO190" s="254" t="e" cm="1">
        <f t="array" ref="AO190">bdRateExtend($G190:$G193,M190:M193,$R190:$R193,X190:X193)</f>
        <v>#VALUE!</v>
      </c>
      <c r="AP190" s="248" t="e" cm="1">
        <f t="array" ref="AP190">bdRateExtend($G190:$G195,M190:M195,$R190:$R195,X190:X195)</f>
        <v>#VALUE!</v>
      </c>
    </row>
    <row r="191" spans="1:42" ht="17.100000000000001" customHeight="1" outlineLevel="4" x14ac:dyDescent="0.25">
      <c r="A191" s="222"/>
      <c r="B191" s="219"/>
      <c r="C191" s="229"/>
      <c r="D191" s="232"/>
      <c r="E191" s="235"/>
      <c r="F191" s="16">
        <v>31</v>
      </c>
      <c r="G191" s="34"/>
      <c r="H191" s="39"/>
      <c r="I191" s="39"/>
      <c r="J191" s="39"/>
      <c r="K191" s="39"/>
      <c r="L191" s="39"/>
      <c r="M191" s="39"/>
      <c r="N191" s="39"/>
      <c r="O191" s="39"/>
      <c r="P191" s="35"/>
      <c r="Q191" s="18"/>
      <c r="R191" s="34"/>
      <c r="S191" s="39"/>
      <c r="T191" s="39"/>
      <c r="U191" s="39"/>
      <c r="V191" s="39"/>
      <c r="W191" s="39"/>
      <c r="X191" s="39"/>
      <c r="Y191" s="39"/>
      <c r="Z191" s="39"/>
      <c r="AA191" s="35"/>
      <c r="AB191" s="50" t="e">
        <f t="shared" si="7"/>
        <v>#DIV/0!</v>
      </c>
      <c r="AC191" s="51" t="e">
        <f t="shared" si="7"/>
        <v>#DIV/0!</v>
      </c>
      <c r="AD191" s="19"/>
      <c r="AE191" s="19"/>
      <c r="AF191" s="285"/>
      <c r="AG191" s="240"/>
      <c r="AH191" s="242"/>
      <c r="AI191" s="242"/>
      <c r="AJ191" s="245"/>
      <c r="AK191" s="240"/>
      <c r="AL191" s="249"/>
      <c r="AM191" s="240"/>
      <c r="AN191" s="249"/>
      <c r="AO191" s="252"/>
      <c r="AP191" s="249"/>
    </row>
    <row r="192" spans="1:42" ht="17.100000000000001" customHeight="1" outlineLevel="4" x14ac:dyDescent="0.25">
      <c r="A192" s="222"/>
      <c r="B192" s="219"/>
      <c r="C192" s="229"/>
      <c r="D192" s="232"/>
      <c r="E192" s="235"/>
      <c r="F192" s="16">
        <v>39</v>
      </c>
      <c r="G192" s="34"/>
      <c r="H192" s="39"/>
      <c r="I192" s="39"/>
      <c r="J192" s="39"/>
      <c r="K192" s="39"/>
      <c r="L192" s="39"/>
      <c r="M192" s="39"/>
      <c r="N192" s="39"/>
      <c r="O192" s="39"/>
      <c r="P192" s="35"/>
      <c r="Q192" s="18"/>
      <c r="R192" s="34"/>
      <c r="S192" s="39"/>
      <c r="T192" s="39"/>
      <c r="U192" s="39"/>
      <c r="V192" s="39"/>
      <c r="W192" s="39"/>
      <c r="X192" s="39"/>
      <c r="Y192" s="39"/>
      <c r="Z192" s="39"/>
      <c r="AA192" s="35"/>
      <c r="AB192" s="50" t="e">
        <f t="shared" si="7"/>
        <v>#DIV/0!</v>
      </c>
      <c r="AC192" s="51" t="e">
        <f t="shared" si="7"/>
        <v>#DIV/0!</v>
      </c>
      <c r="AD192" s="19"/>
      <c r="AE192" s="19"/>
      <c r="AF192" s="285" t="s">
        <v>127</v>
      </c>
      <c r="AG192" s="240" t="e" cm="1">
        <f t="array" ref="AG192">bdRateExtend($G191:$G194,G191:G194,$R191:$R194,R191:R194)</f>
        <v>#VALUE!</v>
      </c>
      <c r="AH192" s="242"/>
      <c r="AI192" s="242"/>
      <c r="AJ192" s="245"/>
      <c r="AK192" s="240" t="e" cm="1">
        <f t="array" ref="AK192">bdRateExtend($G191:$G194,K191:K194,$R191:$R194,V191:V194)</f>
        <v>#VALUE!</v>
      </c>
      <c r="AL192" s="249"/>
      <c r="AM192" s="240" t="e" cm="1">
        <f t="array" ref="AM192">bdRateExtend($G191:$G194,L191:L194,$R191:$R194,W191:W194)</f>
        <v>#VALUE!</v>
      </c>
      <c r="AN192" s="249"/>
      <c r="AO192" s="252" t="e" cm="1">
        <f t="array" ref="AO192">bdRateExtend($G191:$G194,M191:M194,$R191:$R194,X191:X194)</f>
        <v>#VALUE!</v>
      </c>
      <c r="AP192" s="249"/>
    </row>
    <row r="193" spans="1:42" ht="17.100000000000001" customHeight="1" outlineLevel="4" x14ac:dyDescent="0.25">
      <c r="A193" s="222"/>
      <c r="B193" s="219"/>
      <c r="C193" s="229"/>
      <c r="D193" s="232"/>
      <c r="E193" s="235"/>
      <c r="F193" s="16">
        <v>47</v>
      </c>
      <c r="G193" s="34"/>
      <c r="H193" s="39"/>
      <c r="I193" s="39"/>
      <c r="J193" s="39"/>
      <c r="K193" s="39"/>
      <c r="L193" s="39"/>
      <c r="M193" s="39"/>
      <c r="N193" s="39"/>
      <c r="O193" s="39"/>
      <c r="P193" s="35"/>
      <c r="Q193" s="18"/>
      <c r="R193" s="34"/>
      <c r="S193" s="39"/>
      <c r="T193" s="39"/>
      <c r="U193" s="39"/>
      <c r="V193" s="39"/>
      <c r="W193" s="39"/>
      <c r="X193" s="39"/>
      <c r="Y193" s="39"/>
      <c r="Z193" s="39"/>
      <c r="AA193" s="35"/>
      <c r="AB193" s="50" t="e">
        <f t="shared" si="7"/>
        <v>#DIV/0!</v>
      </c>
      <c r="AC193" s="51" t="e">
        <f t="shared" si="7"/>
        <v>#DIV/0!</v>
      </c>
      <c r="AD193" s="19"/>
      <c r="AE193" s="19"/>
      <c r="AF193" s="285"/>
      <c r="AG193" s="240"/>
      <c r="AH193" s="242"/>
      <c r="AI193" s="242"/>
      <c r="AJ193" s="245"/>
      <c r="AK193" s="240"/>
      <c r="AL193" s="249"/>
      <c r="AM193" s="240"/>
      <c r="AN193" s="249"/>
      <c r="AO193" s="252"/>
      <c r="AP193" s="249"/>
    </row>
    <row r="194" spans="1:42" ht="17.100000000000001" customHeight="1" outlineLevel="4" x14ac:dyDescent="0.25">
      <c r="A194" s="222"/>
      <c r="B194" s="219"/>
      <c r="C194" s="229"/>
      <c r="D194" s="232"/>
      <c r="E194" s="235"/>
      <c r="F194" s="16">
        <v>55</v>
      </c>
      <c r="G194" s="34"/>
      <c r="H194" s="39"/>
      <c r="I194" s="39"/>
      <c r="J194" s="39"/>
      <c r="K194" s="39"/>
      <c r="L194" s="39"/>
      <c r="M194" s="39"/>
      <c r="N194" s="39"/>
      <c r="O194" s="39"/>
      <c r="P194" s="35"/>
      <c r="Q194" s="18"/>
      <c r="R194" s="34"/>
      <c r="S194" s="39"/>
      <c r="T194" s="39"/>
      <c r="U194" s="39"/>
      <c r="V194" s="39"/>
      <c r="W194" s="39"/>
      <c r="X194" s="39"/>
      <c r="Y194" s="39"/>
      <c r="Z194" s="39"/>
      <c r="AA194" s="35"/>
      <c r="AB194" s="50" t="e">
        <f t="shared" si="7"/>
        <v>#DIV/0!</v>
      </c>
      <c r="AC194" s="51" t="e">
        <f t="shared" si="7"/>
        <v>#DIV/0!</v>
      </c>
      <c r="AD194" s="19"/>
      <c r="AE194" s="19"/>
      <c r="AF194" s="285" t="s">
        <v>128</v>
      </c>
      <c r="AG194" s="240" t="e" cm="1">
        <f t="array" ref="AG194">bdRateExtend($G192:$G195,G192:G195,$R192:$R195,R192:R195)</f>
        <v>#VALUE!</v>
      </c>
      <c r="AH194" s="242"/>
      <c r="AI194" s="242"/>
      <c r="AJ194" s="245"/>
      <c r="AK194" s="240" t="e" cm="1">
        <f t="array" ref="AK194">bdRateExtend($G192:$G195,K192:K195,$R192:$R195,V192:V195)</f>
        <v>#VALUE!</v>
      </c>
      <c r="AL194" s="249"/>
      <c r="AM194" s="240" t="e" cm="1">
        <f t="array" ref="AM194">bdRateExtend($G192:$G195,L192:L195,$R192:$R195,W192:W195)</f>
        <v>#VALUE!</v>
      </c>
      <c r="AN194" s="249"/>
      <c r="AO194" s="252" t="e" cm="1">
        <f t="array" ref="AO194">bdRateExtend($G192:$G195,M192:M195,$R192:$R195,X192:X195)</f>
        <v>#VALUE!</v>
      </c>
      <c r="AP194" s="249"/>
    </row>
    <row r="195" spans="1:42" ht="17.100000000000001" customHeight="1" outlineLevel="4" thickBot="1" x14ac:dyDescent="0.3">
      <c r="A195" s="222"/>
      <c r="B195" s="220"/>
      <c r="C195" s="230"/>
      <c r="D195" s="233"/>
      <c r="E195" s="236"/>
      <c r="F195" s="9">
        <v>63</v>
      </c>
      <c r="G195" s="36"/>
      <c r="H195" s="37"/>
      <c r="I195" s="37"/>
      <c r="J195" s="37"/>
      <c r="K195" s="37"/>
      <c r="L195" s="37"/>
      <c r="M195" s="37"/>
      <c r="N195" s="37"/>
      <c r="O195" s="37"/>
      <c r="P195" s="38"/>
      <c r="Q195" s="18"/>
      <c r="R195" s="36"/>
      <c r="S195" s="37"/>
      <c r="T195" s="37"/>
      <c r="U195" s="37"/>
      <c r="V195" s="37"/>
      <c r="W195" s="37"/>
      <c r="X195" s="37"/>
      <c r="Y195" s="37"/>
      <c r="Z195" s="37"/>
      <c r="AA195" s="38"/>
      <c r="AB195" s="52" t="e">
        <f t="shared" si="7"/>
        <v>#DIV/0!</v>
      </c>
      <c r="AC195" s="53" t="e">
        <f t="shared" si="7"/>
        <v>#DIV/0!</v>
      </c>
      <c r="AD195" s="19"/>
      <c r="AE195" s="19"/>
      <c r="AF195" s="286"/>
      <c r="AG195" s="247"/>
      <c r="AH195" s="243"/>
      <c r="AI195" s="243"/>
      <c r="AJ195" s="246"/>
      <c r="AK195" s="247"/>
      <c r="AL195" s="250"/>
      <c r="AM195" s="247"/>
      <c r="AN195" s="250"/>
      <c r="AO195" s="253"/>
      <c r="AP195" s="250"/>
    </row>
    <row r="196" spans="1:42" ht="17.100000000000001" customHeight="1" outlineLevel="4" x14ac:dyDescent="0.25">
      <c r="A196" s="222"/>
      <c r="B196" s="218" t="s">
        <v>25</v>
      </c>
      <c r="C196" s="228" t="s">
        <v>69</v>
      </c>
      <c r="D196" s="231">
        <v>29.97</v>
      </c>
      <c r="E196" s="234" t="s">
        <v>23</v>
      </c>
      <c r="F196" s="7">
        <v>23</v>
      </c>
      <c r="G196" s="31"/>
      <c r="H196" s="32"/>
      <c r="I196" s="32"/>
      <c r="J196" s="32"/>
      <c r="K196" s="32"/>
      <c r="L196" s="32"/>
      <c r="M196" s="32"/>
      <c r="N196" s="32"/>
      <c r="O196" s="32"/>
      <c r="P196" s="33"/>
      <c r="Q196" s="18"/>
      <c r="R196" s="31"/>
      <c r="S196" s="32"/>
      <c r="T196" s="32"/>
      <c r="U196" s="32"/>
      <c r="V196" s="32"/>
      <c r="W196" s="32"/>
      <c r="X196" s="32"/>
      <c r="Y196" s="32"/>
      <c r="Z196" s="32"/>
      <c r="AA196" s="33"/>
      <c r="AB196" s="48" t="e">
        <f t="shared" si="7"/>
        <v>#DIV/0!</v>
      </c>
      <c r="AC196" s="49" t="e">
        <f t="shared" si="7"/>
        <v>#DIV/0!</v>
      </c>
      <c r="AD196" s="19"/>
      <c r="AE196" s="19"/>
      <c r="AF196" s="284" t="s">
        <v>126</v>
      </c>
      <c r="AG196" s="239" t="e" cm="1">
        <f t="array" ref="AG196">bdRateExtend($G196:$G199,G196:G199,$R196:$R199,R196:R199)</f>
        <v>#VALUE!</v>
      </c>
      <c r="AH196" s="241" t="e" cm="1">
        <f t="array" ref="AH196">bdRateExtend($G196:$G201,H196:H201,$R196:$R201,S196:S201)</f>
        <v>#VALUE!</v>
      </c>
      <c r="AI196" s="241" t="e" cm="1">
        <f t="array" ref="AI196">bdRateExtend($G196:$G201,I196:I201,$R196:$R201,T196:T201)</f>
        <v>#VALUE!</v>
      </c>
      <c r="AJ196" s="244" t="e" cm="1">
        <f t="array" ref="AJ196">bdRateExtend($G196:$G201,J196:J201,$R196:$R201,U196:U201)</f>
        <v>#VALUE!</v>
      </c>
      <c r="AK196" s="239" t="e" cm="1">
        <f t="array" ref="AK196">bdRateExtend($G196:$G199,K196:K199,$R196:$R199,V196:V199)</f>
        <v>#VALUE!</v>
      </c>
      <c r="AL196" s="248" t="e" cm="1">
        <f t="array" ref="AL196">bdRateExtend($G196:$G201,K196:K201,$R196:$R201,V196:V201)</f>
        <v>#VALUE!</v>
      </c>
      <c r="AM196" s="239" t="e" cm="1">
        <f t="array" ref="AM196">bdRateExtend($G196:$G199,L196:L199,$R196:$R199,W196:W199)</f>
        <v>#VALUE!</v>
      </c>
      <c r="AN196" s="248" t="e" cm="1">
        <f t="array" ref="AN196">bdRateExtend($G196:$G201,L196:L201,$R196:$R201,W196:W201)</f>
        <v>#VALUE!</v>
      </c>
      <c r="AO196" s="254" t="e" cm="1">
        <f t="array" ref="AO196">bdRateExtend($G196:$G199,M196:M199,$R196:$R199,X196:X199)</f>
        <v>#VALUE!</v>
      </c>
      <c r="AP196" s="248" t="e" cm="1">
        <f t="array" ref="AP196">bdRateExtend($G196:$G201,M196:M201,$R196:$R201,X196:X201)</f>
        <v>#VALUE!</v>
      </c>
    </row>
    <row r="197" spans="1:42" ht="17.100000000000001" customHeight="1" outlineLevel="4" x14ac:dyDescent="0.25">
      <c r="A197" s="222"/>
      <c r="B197" s="219"/>
      <c r="C197" s="229"/>
      <c r="D197" s="232"/>
      <c r="E197" s="235"/>
      <c r="F197" s="16">
        <v>31</v>
      </c>
      <c r="G197" s="34"/>
      <c r="H197" s="39"/>
      <c r="I197" s="39"/>
      <c r="J197" s="39"/>
      <c r="K197" s="39"/>
      <c r="L197" s="39"/>
      <c r="M197" s="39"/>
      <c r="N197" s="39"/>
      <c r="O197" s="39"/>
      <c r="P197" s="35"/>
      <c r="Q197" s="18"/>
      <c r="R197" s="34"/>
      <c r="S197" s="39"/>
      <c r="T197" s="39"/>
      <c r="U197" s="39"/>
      <c r="V197" s="39"/>
      <c r="W197" s="39"/>
      <c r="X197" s="39"/>
      <c r="Y197" s="39"/>
      <c r="Z197" s="39"/>
      <c r="AA197" s="35"/>
      <c r="AB197" s="50" t="e">
        <f t="shared" si="7"/>
        <v>#DIV/0!</v>
      </c>
      <c r="AC197" s="51" t="e">
        <f t="shared" si="7"/>
        <v>#DIV/0!</v>
      </c>
      <c r="AD197" s="19"/>
      <c r="AE197" s="19"/>
      <c r="AF197" s="285"/>
      <c r="AG197" s="240"/>
      <c r="AH197" s="242"/>
      <c r="AI197" s="242"/>
      <c r="AJ197" s="245"/>
      <c r="AK197" s="240"/>
      <c r="AL197" s="249"/>
      <c r="AM197" s="240"/>
      <c r="AN197" s="249"/>
      <c r="AO197" s="252"/>
      <c r="AP197" s="249"/>
    </row>
    <row r="198" spans="1:42" ht="17.100000000000001" customHeight="1" outlineLevel="4" x14ac:dyDescent="0.25">
      <c r="A198" s="222"/>
      <c r="B198" s="219"/>
      <c r="C198" s="229"/>
      <c r="D198" s="232"/>
      <c r="E198" s="235"/>
      <c r="F198" s="16">
        <v>39</v>
      </c>
      <c r="G198" s="34"/>
      <c r="H198" s="39"/>
      <c r="I198" s="39"/>
      <c r="J198" s="39"/>
      <c r="K198" s="39"/>
      <c r="L198" s="39"/>
      <c r="M198" s="39"/>
      <c r="N198" s="39"/>
      <c r="O198" s="39"/>
      <c r="P198" s="35"/>
      <c r="Q198" s="18"/>
      <c r="R198" s="34"/>
      <c r="S198" s="39"/>
      <c r="T198" s="39"/>
      <c r="U198" s="39"/>
      <c r="V198" s="39"/>
      <c r="W198" s="39"/>
      <c r="X198" s="39"/>
      <c r="Y198" s="39"/>
      <c r="Z198" s="39"/>
      <c r="AA198" s="35"/>
      <c r="AB198" s="50" t="e">
        <f t="shared" si="7"/>
        <v>#DIV/0!</v>
      </c>
      <c r="AC198" s="51" t="e">
        <f t="shared" si="7"/>
        <v>#DIV/0!</v>
      </c>
      <c r="AD198" s="19"/>
      <c r="AE198" s="19"/>
      <c r="AF198" s="285" t="s">
        <v>127</v>
      </c>
      <c r="AG198" s="240" t="e" cm="1">
        <f t="array" ref="AG198">bdRateExtend($G197:$G200,G197:G200,$R197:$R200,R197:R200)</f>
        <v>#VALUE!</v>
      </c>
      <c r="AH198" s="242"/>
      <c r="AI198" s="242"/>
      <c r="AJ198" s="245"/>
      <c r="AK198" s="240" t="e" cm="1">
        <f t="array" ref="AK198">bdRateExtend($G197:$G200,K197:K200,$R197:$R200,V197:V200)</f>
        <v>#VALUE!</v>
      </c>
      <c r="AL198" s="249"/>
      <c r="AM198" s="240" t="e" cm="1">
        <f t="array" ref="AM198">bdRateExtend($G197:$G200,L197:L200,$R197:$R200,W197:W200)</f>
        <v>#VALUE!</v>
      </c>
      <c r="AN198" s="249"/>
      <c r="AO198" s="252" t="e" cm="1">
        <f t="array" ref="AO198">bdRateExtend($G197:$G200,M197:M200,$R197:$R200,X197:X200)</f>
        <v>#VALUE!</v>
      </c>
      <c r="AP198" s="249"/>
    </row>
    <row r="199" spans="1:42" ht="17.100000000000001" customHeight="1" outlineLevel="4" x14ac:dyDescent="0.25">
      <c r="A199" s="222"/>
      <c r="B199" s="219"/>
      <c r="C199" s="229"/>
      <c r="D199" s="232"/>
      <c r="E199" s="235"/>
      <c r="F199" s="16">
        <v>47</v>
      </c>
      <c r="G199" s="34"/>
      <c r="H199" s="39"/>
      <c r="I199" s="39"/>
      <c r="J199" s="39"/>
      <c r="K199" s="39"/>
      <c r="L199" s="39"/>
      <c r="M199" s="39"/>
      <c r="N199" s="39"/>
      <c r="O199" s="39"/>
      <c r="P199" s="35"/>
      <c r="Q199" s="18"/>
      <c r="R199" s="34"/>
      <c r="S199" s="39"/>
      <c r="T199" s="39"/>
      <c r="U199" s="39"/>
      <c r="V199" s="39"/>
      <c r="W199" s="39"/>
      <c r="X199" s="39"/>
      <c r="Y199" s="39"/>
      <c r="Z199" s="39"/>
      <c r="AA199" s="35"/>
      <c r="AB199" s="50" t="e">
        <f t="shared" si="7"/>
        <v>#DIV/0!</v>
      </c>
      <c r="AC199" s="51" t="e">
        <f t="shared" si="7"/>
        <v>#DIV/0!</v>
      </c>
      <c r="AD199" s="19"/>
      <c r="AE199" s="19"/>
      <c r="AF199" s="285"/>
      <c r="AG199" s="240"/>
      <c r="AH199" s="242"/>
      <c r="AI199" s="242"/>
      <c r="AJ199" s="245"/>
      <c r="AK199" s="240"/>
      <c r="AL199" s="249"/>
      <c r="AM199" s="240"/>
      <c r="AN199" s="249"/>
      <c r="AO199" s="252"/>
      <c r="AP199" s="249"/>
    </row>
    <row r="200" spans="1:42" ht="17.100000000000001" customHeight="1" outlineLevel="4" x14ac:dyDescent="0.25">
      <c r="A200" s="222"/>
      <c r="B200" s="219"/>
      <c r="C200" s="229"/>
      <c r="D200" s="232"/>
      <c r="E200" s="235"/>
      <c r="F200" s="16">
        <v>55</v>
      </c>
      <c r="G200" s="34"/>
      <c r="H200" s="39"/>
      <c r="I200" s="39"/>
      <c r="J200" s="39"/>
      <c r="K200" s="39"/>
      <c r="L200" s="39"/>
      <c r="M200" s="39"/>
      <c r="N200" s="39"/>
      <c r="O200" s="39"/>
      <c r="P200" s="35"/>
      <c r="Q200" s="18"/>
      <c r="R200" s="34"/>
      <c r="S200" s="39"/>
      <c r="T200" s="39"/>
      <c r="U200" s="39"/>
      <c r="V200" s="39"/>
      <c r="W200" s="39"/>
      <c r="X200" s="39"/>
      <c r="Y200" s="39"/>
      <c r="Z200" s="39"/>
      <c r="AA200" s="35"/>
      <c r="AB200" s="50" t="e">
        <f t="shared" si="7"/>
        <v>#DIV/0!</v>
      </c>
      <c r="AC200" s="51" t="e">
        <f t="shared" si="7"/>
        <v>#DIV/0!</v>
      </c>
      <c r="AD200" s="19"/>
      <c r="AE200" s="19"/>
      <c r="AF200" s="285" t="s">
        <v>128</v>
      </c>
      <c r="AG200" s="240" t="e" cm="1">
        <f t="array" ref="AG200">bdRateExtend($G198:$G201,G198:G201,$R198:$R201,R198:R201)</f>
        <v>#VALUE!</v>
      </c>
      <c r="AH200" s="242"/>
      <c r="AI200" s="242"/>
      <c r="AJ200" s="245"/>
      <c r="AK200" s="240" t="e" cm="1">
        <f t="array" ref="AK200">bdRateExtend($G198:$G201,K198:K201,$R198:$R201,V198:V201)</f>
        <v>#VALUE!</v>
      </c>
      <c r="AL200" s="249"/>
      <c r="AM200" s="240" t="e" cm="1">
        <f t="array" ref="AM200">bdRateExtend($G198:$G201,L198:L201,$R198:$R201,W198:W201)</f>
        <v>#VALUE!</v>
      </c>
      <c r="AN200" s="249"/>
      <c r="AO200" s="252" t="e" cm="1">
        <f t="array" ref="AO200">bdRateExtend($G198:$G201,M198:M201,$R198:$R201,X198:X201)</f>
        <v>#VALUE!</v>
      </c>
      <c r="AP200" s="249"/>
    </row>
    <row r="201" spans="1:42" ht="17.100000000000001" customHeight="1" outlineLevel="4" thickBot="1" x14ac:dyDescent="0.3">
      <c r="A201" s="223"/>
      <c r="B201" s="220"/>
      <c r="C201" s="230"/>
      <c r="D201" s="233"/>
      <c r="E201" s="236"/>
      <c r="F201" s="9">
        <v>63</v>
      </c>
      <c r="G201" s="36"/>
      <c r="H201" s="37"/>
      <c r="I201" s="37"/>
      <c r="J201" s="37"/>
      <c r="K201" s="37"/>
      <c r="L201" s="37"/>
      <c r="M201" s="37"/>
      <c r="N201" s="37"/>
      <c r="O201" s="37"/>
      <c r="P201" s="38"/>
      <c r="Q201" s="18"/>
      <c r="R201" s="36"/>
      <c r="S201" s="37"/>
      <c r="T201" s="37"/>
      <c r="U201" s="37"/>
      <c r="V201" s="37"/>
      <c r="W201" s="37"/>
      <c r="X201" s="37"/>
      <c r="Y201" s="37"/>
      <c r="Z201" s="37"/>
      <c r="AA201" s="38"/>
      <c r="AB201" s="52" t="e">
        <f t="shared" si="7"/>
        <v>#DIV/0!</v>
      </c>
      <c r="AC201" s="53" t="e">
        <f t="shared" si="7"/>
        <v>#DIV/0!</v>
      </c>
      <c r="AD201" s="19"/>
      <c r="AE201" s="19"/>
      <c r="AF201" s="286"/>
      <c r="AG201" s="247"/>
      <c r="AH201" s="243"/>
      <c r="AI201" s="243"/>
      <c r="AJ201" s="246"/>
      <c r="AK201" s="247"/>
      <c r="AL201" s="250"/>
      <c r="AM201" s="247"/>
      <c r="AN201" s="250"/>
      <c r="AO201" s="253"/>
      <c r="AP201" s="250"/>
    </row>
    <row r="202" spans="1:42" ht="17.100000000000001" customHeight="1" outlineLevel="4" x14ac:dyDescent="0.25">
      <c r="A202" s="221" t="s">
        <v>109</v>
      </c>
      <c r="B202" s="218" t="s">
        <v>4</v>
      </c>
      <c r="C202" s="228" t="s">
        <v>70</v>
      </c>
      <c r="D202" s="231">
        <v>60</v>
      </c>
      <c r="E202" s="234" t="s">
        <v>23</v>
      </c>
      <c r="F202" s="7">
        <v>23</v>
      </c>
      <c r="G202" s="31">
        <v>921.31569999999999</v>
      </c>
      <c r="H202" s="32">
        <v>43.587699999999998</v>
      </c>
      <c r="I202" s="32">
        <v>46.875999999999998</v>
      </c>
      <c r="J202" s="32">
        <v>47.780700000000003</v>
      </c>
      <c r="K202" s="32">
        <v>19.871300000000002</v>
      </c>
      <c r="L202" s="32">
        <v>28.3323</v>
      </c>
      <c r="M202" s="32">
        <v>96.797899999999998</v>
      </c>
      <c r="N202" s="32"/>
      <c r="O202" s="32"/>
      <c r="P202" s="33"/>
      <c r="Q202" s="18"/>
      <c r="R202" s="31">
        <v>788.83569999999997</v>
      </c>
      <c r="S202" s="32">
        <v>44.2072</v>
      </c>
      <c r="T202" s="32">
        <v>47.288800000000002</v>
      </c>
      <c r="U202" s="32">
        <v>48.293900000000001</v>
      </c>
      <c r="V202" s="32">
        <v>20.3355</v>
      </c>
      <c r="W202" s="32">
        <v>28.834199999999999</v>
      </c>
      <c r="X202" s="32">
        <v>96.989400000000003</v>
      </c>
      <c r="Y202" s="32"/>
      <c r="Z202" s="32"/>
      <c r="AA202" s="33"/>
      <c r="AB202" s="48" t="e">
        <f t="shared" si="7"/>
        <v>#DIV/0!</v>
      </c>
      <c r="AC202" s="49" t="e">
        <f t="shared" si="7"/>
        <v>#DIV/0!</v>
      </c>
      <c r="AD202" s="19"/>
      <c r="AE202" s="19"/>
      <c r="AF202" s="284" t="s">
        <v>126</v>
      </c>
      <c r="AG202" s="239" cm="1">
        <f t="array" ref="AG202">bdRateExtend($G202:$G205,G202:G205,$R202:$R205,R202:R205)</f>
        <v>1.7230902347615817E-3</v>
      </c>
      <c r="AH202" s="241" cm="1">
        <f t="array" ref="AH202">bdRateExtend($G202:$G207,H202:H207,$R202:$R207,S202:S207)</f>
        <v>-0.20615219886474234</v>
      </c>
      <c r="AI202" s="241" cm="1">
        <f t="array" ref="AI202">bdRateExtend($G202:$G207,I202:I207,$R202:$R207,T202:T207)</f>
        <v>-0.18646224265098077</v>
      </c>
      <c r="AJ202" s="244" cm="1">
        <f t="array" ref="AJ202">bdRateExtend($G202:$G207,J202:J207,$R202:$R207,U202:U207)</f>
        <v>-0.21412043992615981</v>
      </c>
      <c r="AK202" s="239" cm="1">
        <f t="array" ref="AK202">bdRateExtend($G202:$G205,K202:K205,$R202:$R205,V202:V205)</f>
        <v>-0.24569600258078694</v>
      </c>
      <c r="AL202" s="248" cm="1">
        <f t="array" ref="AL202">bdRateExtend($G202:$G207,K202:K207,$R202:$R207,V202:V207)</f>
        <v>-0.20714450115192617</v>
      </c>
      <c r="AM202" s="239" cm="1">
        <f t="array" ref="AM202">bdRateExtend($G202:$G205,L202:L205,$R202:$R205,W202:W205)</f>
        <v>-0.23329538712684683</v>
      </c>
      <c r="AN202" s="248" cm="1">
        <f t="array" ref="AN202">bdRateExtend($G202:$G207,L202:L207,$R202:$R207,W202:W207)</f>
        <v>-0.1936231041142964</v>
      </c>
      <c r="AO202" s="254" cm="1">
        <f t="array" ref="AO202">bdRateExtend($G202:$G205,M202:M205,$R202:$R205,X202:X205)</f>
        <v>-0.21600673965178419</v>
      </c>
      <c r="AP202" s="248" cm="1">
        <f t="array" ref="AP202">bdRateExtend($G202:$G207,M202:M207,$R202:$R207,X202:X207)</f>
        <v>-0.17508058548970085</v>
      </c>
    </row>
    <row r="203" spans="1:42" ht="17.100000000000001" customHeight="1" outlineLevel="4" x14ac:dyDescent="0.25">
      <c r="A203" s="222"/>
      <c r="B203" s="219"/>
      <c r="C203" s="229"/>
      <c r="D203" s="232"/>
      <c r="E203" s="235"/>
      <c r="F203" s="16">
        <v>31</v>
      </c>
      <c r="G203" s="34">
        <v>568.70029999999997</v>
      </c>
      <c r="H203" s="39">
        <v>41.207099999999997</v>
      </c>
      <c r="I203" s="39">
        <v>45.293300000000002</v>
      </c>
      <c r="J203" s="39">
        <v>45.990299999999998</v>
      </c>
      <c r="K203" s="39">
        <v>18.311299999999999</v>
      </c>
      <c r="L203" s="39">
        <v>26.410699999999999</v>
      </c>
      <c r="M203" s="39">
        <v>95.566900000000004</v>
      </c>
      <c r="N203" s="39"/>
      <c r="O203" s="39"/>
      <c r="P203" s="35"/>
      <c r="Q203" s="18"/>
      <c r="R203" s="34">
        <v>490.58949999999999</v>
      </c>
      <c r="S203" s="39">
        <v>41.938299999999998</v>
      </c>
      <c r="T203" s="39">
        <v>45.738100000000003</v>
      </c>
      <c r="U203" s="39">
        <v>46.666499999999999</v>
      </c>
      <c r="V203" s="39">
        <v>18.861000000000001</v>
      </c>
      <c r="W203" s="39">
        <v>27.014600000000002</v>
      </c>
      <c r="X203" s="39">
        <v>95.897199999999998</v>
      </c>
      <c r="Y203" s="39"/>
      <c r="Z203" s="39"/>
      <c r="AA203" s="35"/>
      <c r="AB203" s="50" t="e">
        <f t="shared" si="7"/>
        <v>#DIV/0!</v>
      </c>
      <c r="AC203" s="51" t="e">
        <f t="shared" si="7"/>
        <v>#DIV/0!</v>
      </c>
      <c r="AD203" s="19"/>
      <c r="AE203" s="19"/>
      <c r="AF203" s="285"/>
      <c r="AG203" s="240"/>
      <c r="AH203" s="242"/>
      <c r="AI203" s="242"/>
      <c r="AJ203" s="245"/>
      <c r="AK203" s="240"/>
      <c r="AL203" s="249"/>
      <c r="AM203" s="240"/>
      <c r="AN203" s="249"/>
      <c r="AO203" s="252"/>
      <c r="AP203" s="249"/>
    </row>
    <row r="204" spans="1:42" ht="17.100000000000001" customHeight="1" outlineLevel="4" x14ac:dyDescent="0.25">
      <c r="A204" s="222"/>
      <c r="B204" s="219"/>
      <c r="C204" s="229"/>
      <c r="D204" s="232"/>
      <c r="E204" s="235"/>
      <c r="F204" s="16">
        <v>39</v>
      </c>
      <c r="G204" s="34">
        <v>340.54149999999998</v>
      </c>
      <c r="H204" s="39">
        <v>38.393799999999999</v>
      </c>
      <c r="I204" s="39">
        <v>43.362699999999997</v>
      </c>
      <c r="J204" s="39">
        <v>44.030999999999999</v>
      </c>
      <c r="K204" s="39">
        <v>16.216000000000001</v>
      </c>
      <c r="L204" s="39">
        <v>23.868099999999998</v>
      </c>
      <c r="M204" s="39">
        <v>93.070999999999998</v>
      </c>
      <c r="N204" s="39"/>
      <c r="O204" s="39"/>
      <c r="P204" s="35"/>
      <c r="Q204" s="18"/>
      <c r="R204" s="34">
        <v>301.96800000000002</v>
      </c>
      <c r="S204" s="39">
        <v>39.267600000000002</v>
      </c>
      <c r="T204" s="39">
        <v>43.844200000000001</v>
      </c>
      <c r="U204" s="39">
        <v>44.730899999999998</v>
      </c>
      <c r="V204" s="39">
        <v>16.897400000000001</v>
      </c>
      <c r="W204" s="39">
        <v>24.621099999999998</v>
      </c>
      <c r="X204" s="39">
        <v>93.848799999999997</v>
      </c>
      <c r="Y204" s="39"/>
      <c r="Z204" s="39"/>
      <c r="AA204" s="35"/>
      <c r="AB204" s="50" t="e">
        <f t="shared" si="7"/>
        <v>#DIV/0!</v>
      </c>
      <c r="AC204" s="51" t="e">
        <f t="shared" si="7"/>
        <v>#DIV/0!</v>
      </c>
      <c r="AD204" s="19"/>
      <c r="AE204" s="19"/>
      <c r="AF204" s="285" t="s">
        <v>127</v>
      </c>
      <c r="AG204" s="240" cm="1">
        <f t="array" ref="AG204">bdRateExtend($G203:$G206,G203:G206,$R203:$R206,R203:R206)</f>
        <v>1.1469145263203195E-3</v>
      </c>
      <c r="AH204" s="242"/>
      <c r="AI204" s="242"/>
      <c r="AJ204" s="245"/>
      <c r="AK204" s="240" cm="1">
        <f t="array" ref="AK204">bdRateExtend($G203:$G206,K203:K206,$R203:$R206,V203:V206)</f>
        <v>-0.21719358384139353</v>
      </c>
      <c r="AL204" s="249"/>
      <c r="AM204" s="240" cm="1">
        <f t="array" ref="AM204">bdRateExtend($G203:$G206,L203:L206,$R203:$R206,W203:W206)</f>
        <v>-0.20490000297625632</v>
      </c>
      <c r="AN204" s="249"/>
      <c r="AO204" s="252" cm="1">
        <f t="array" ref="AO204">bdRateExtend($G203:$G206,M203:M206,$R203:$R206,X203:X206)</f>
        <v>-0.19444457806437276</v>
      </c>
      <c r="AP204" s="249"/>
    </row>
    <row r="205" spans="1:42" ht="17.100000000000001" customHeight="1" outlineLevel="4" x14ac:dyDescent="0.25">
      <c r="A205" s="222"/>
      <c r="B205" s="219"/>
      <c r="C205" s="229"/>
      <c r="D205" s="232"/>
      <c r="E205" s="235"/>
      <c r="F205" s="16">
        <v>47</v>
      </c>
      <c r="G205" s="34">
        <v>202.1095</v>
      </c>
      <c r="H205" s="39">
        <v>35.475900000000003</v>
      </c>
      <c r="I205" s="39">
        <v>41.384399999999999</v>
      </c>
      <c r="J205" s="39">
        <v>41.9803</v>
      </c>
      <c r="K205" s="39">
        <v>13.918699999999999</v>
      </c>
      <c r="L205" s="39">
        <v>21.034300000000002</v>
      </c>
      <c r="M205" s="39">
        <v>88.710599999999999</v>
      </c>
      <c r="N205" s="39"/>
      <c r="O205" s="39"/>
      <c r="P205" s="35"/>
      <c r="Q205" s="18"/>
      <c r="R205" s="34">
        <v>186.49109999999999</v>
      </c>
      <c r="S205" s="39">
        <v>36.347799999999999</v>
      </c>
      <c r="T205" s="39">
        <v>41.862499999999997</v>
      </c>
      <c r="U205" s="39">
        <v>42.706299999999999</v>
      </c>
      <c r="V205" s="39">
        <v>14.6084</v>
      </c>
      <c r="W205" s="39">
        <v>21.7834</v>
      </c>
      <c r="X205" s="39">
        <v>89.989000000000004</v>
      </c>
      <c r="Y205" s="39"/>
      <c r="Z205" s="39"/>
      <c r="AA205" s="35"/>
      <c r="AB205" s="50" t="e">
        <f t="shared" si="7"/>
        <v>#DIV/0!</v>
      </c>
      <c r="AC205" s="51" t="e">
        <f t="shared" si="7"/>
        <v>#DIV/0!</v>
      </c>
      <c r="AD205" s="19"/>
      <c r="AE205" s="19"/>
      <c r="AF205" s="285"/>
      <c r="AG205" s="240"/>
      <c r="AH205" s="242"/>
      <c r="AI205" s="242"/>
      <c r="AJ205" s="245"/>
      <c r="AK205" s="240"/>
      <c r="AL205" s="249"/>
      <c r="AM205" s="240"/>
      <c r="AN205" s="249"/>
      <c r="AO205" s="252"/>
      <c r="AP205" s="249"/>
    </row>
    <row r="206" spans="1:42" ht="17.100000000000001" customHeight="1" outlineLevel="4" x14ac:dyDescent="0.25">
      <c r="A206" s="222"/>
      <c r="B206" s="219"/>
      <c r="C206" s="229"/>
      <c r="D206" s="232"/>
      <c r="E206" s="235"/>
      <c r="F206" s="16">
        <v>55</v>
      </c>
      <c r="G206" s="34">
        <v>118.67449999999999</v>
      </c>
      <c r="H206" s="39">
        <v>32.5319</v>
      </c>
      <c r="I206" s="39">
        <v>39.397100000000002</v>
      </c>
      <c r="J206" s="39">
        <v>39.933599999999998</v>
      </c>
      <c r="K206" s="39">
        <v>11.495900000000001</v>
      </c>
      <c r="L206" s="39">
        <v>17.944900000000001</v>
      </c>
      <c r="M206" s="39">
        <v>81.012299999999996</v>
      </c>
      <c r="N206" s="39"/>
      <c r="O206" s="39"/>
      <c r="P206" s="35"/>
      <c r="Q206" s="18"/>
      <c r="R206" s="34">
        <v>116.3446</v>
      </c>
      <c r="S206" s="39">
        <v>33.422699999999999</v>
      </c>
      <c r="T206" s="39">
        <v>39.922899999999998</v>
      </c>
      <c r="U206" s="39">
        <v>40.437399999999997</v>
      </c>
      <c r="V206" s="39">
        <v>12.1957</v>
      </c>
      <c r="W206" s="39">
        <v>18.8127</v>
      </c>
      <c r="X206" s="39">
        <v>83.990200000000002</v>
      </c>
      <c r="Y206" s="39"/>
      <c r="Z206" s="39"/>
      <c r="AA206" s="35"/>
      <c r="AB206" s="50" t="e">
        <f t="shared" si="7"/>
        <v>#DIV/0!</v>
      </c>
      <c r="AC206" s="51" t="e">
        <f t="shared" si="7"/>
        <v>#DIV/0!</v>
      </c>
      <c r="AD206" s="19"/>
      <c r="AE206" s="19"/>
      <c r="AF206" s="285" t="s">
        <v>128</v>
      </c>
      <c r="AG206" s="240" cm="1">
        <f t="array" ref="AG206">bdRateExtend($G204:$G207,G204:G207,$R204:$R207,R204:R207)</f>
        <v>3.4044314162673395E-4</v>
      </c>
      <c r="AH206" s="242"/>
      <c r="AI206" s="242"/>
      <c r="AJ206" s="245"/>
      <c r="AK206" s="240" cm="1">
        <f t="array" ref="AK206">bdRateExtend($G204:$G207,K204:K207,$R204:$R207,V204:V207)</f>
        <v>-0.1796420988664047</v>
      </c>
      <c r="AL206" s="249"/>
      <c r="AM206" s="240" cm="1">
        <f t="array" ref="AM206">bdRateExtend($G204:$G207,L204:L207,$R204:$R207,W204:W207)</f>
        <v>-0.16647440028797555</v>
      </c>
      <c r="AN206" s="249"/>
      <c r="AO206" s="252" cm="1">
        <f t="array" ref="AO206">bdRateExtend($G204:$G207,M204:M207,$R204:$R207,X204:X207)</f>
        <v>-0.16680042934872996</v>
      </c>
      <c r="AP206" s="249"/>
    </row>
    <row r="207" spans="1:42" ht="17.100000000000001" customHeight="1" outlineLevel="4" thickBot="1" x14ac:dyDescent="0.3">
      <c r="A207" s="222"/>
      <c r="B207" s="220"/>
      <c r="C207" s="230"/>
      <c r="D207" s="233"/>
      <c r="E207" s="236"/>
      <c r="F207" s="9">
        <v>63</v>
      </c>
      <c r="G207" s="36">
        <v>62.038200000000003</v>
      </c>
      <c r="H207" s="37">
        <v>29.135000000000002</v>
      </c>
      <c r="I207" s="37">
        <v>37.081200000000003</v>
      </c>
      <c r="J207" s="37">
        <v>37.679099999999998</v>
      </c>
      <c r="K207" s="37">
        <v>8.9410000000000007</v>
      </c>
      <c r="L207" s="37">
        <v>14.467000000000001</v>
      </c>
      <c r="M207" s="37">
        <v>68.649500000000003</v>
      </c>
      <c r="N207" s="37"/>
      <c r="O207" s="37"/>
      <c r="P207" s="38"/>
      <c r="Q207" s="18"/>
      <c r="R207" s="36">
        <v>63.998800000000003</v>
      </c>
      <c r="S207" s="37">
        <v>29.9511</v>
      </c>
      <c r="T207" s="37">
        <v>37.497500000000002</v>
      </c>
      <c r="U207" s="37">
        <v>38.1496</v>
      </c>
      <c r="V207" s="37">
        <v>9.5747</v>
      </c>
      <c r="W207" s="37">
        <v>15.2202</v>
      </c>
      <c r="X207" s="37">
        <v>71.171800000000005</v>
      </c>
      <c r="Y207" s="37"/>
      <c r="Z207" s="37"/>
      <c r="AA207" s="38"/>
      <c r="AB207" s="52" t="e">
        <f t="shared" si="7"/>
        <v>#DIV/0!</v>
      </c>
      <c r="AC207" s="53" t="e">
        <f t="shared" si="7"/>
        <v>#DIV/0!</v>
      </c>
      <c r="AD207" s="19"/>
      <c r="AE207" s="19"/>
      <c r="AF207" s="286"/>
      <c r="AG207" s="247"/>
      <c r="AH207" s="243"/>
      <c r="AI207" s="243"/>
      <c r="AJ207" s="246"/>
      <c r="AK207" s="247"/>
      <c r="AL207" s="250"/>
      <c r="AM207" s="247"/>
      <c r="AN207" s="250"/>
      <c r="AO207" s="253"/>
      <c r="AP207" s="250"/>
    </row>
    <row r="208" spans="1:42" ht="17.100000000000001" customHeight="1" outlineLevel="4" x14ac:dyDescent="0.25">
      <c r="A208" s="222"/>
      <c r="B208" s="218" t="s">
        <v>4</v>
      </c>
      <c r="C208" s="228" t="s">
        <v>71</v>
      </c>
      <c r="D208" s="231">
        <v>50</v>
      </c>
      <c r="E208" s="234"/>
      <c r="F208" s="7">
        <v>23</v>
      </c>
      <c r="G208" s="31">
        <v>6726.3630999999996</v>
      </c>
      <c r="H208" s="32">
        <v>39.321300000000001</v>
      </c>
      <c r="I208" s="32">
        <v>40.875</v>
      </c>
      <c r="J208" s="32">
        <v>42.7057</v>
      </c>
      <c r="K208" s="32">
        <v>16.8308</v>
      </c>
      <c r="L208" s="32">
        <v>24.881599999999999</v>
      </c>
      <c r="M208" s="32">
        <v>99.477099999999993</v>
      </c>
      <c r="N208" s="32"/>
      <c r="O208" s="32"/>
      <c r="P208" s="33"/>
      <c r="Q208" s="18"/>
      <c r="R208" s="31">
        <v>6363.8276999999998</v>
      </c>
      <c r="S208" s="32">
        <v>39.708399999999997</v>
      </c>
      <c r="T208" s="32">
        <v>41.050400000000003</v>
      </c>
      <c r="U208" s="32">
        <v>42.917499999999997</v>
      </c>
      <c r="V208" s="32">
        <v>17.321100000000001</v>
      </c>
      <c r="W208" s="32">
        <v>25.4239</v>
      </c>
      <c r="X208" s="32">
        <v>99.665099999999995</v>
      </c>
      <c r="Y208" s="32"/>
      <c r="Z208" s="32"/>
      <c r="AA208" s="33"/>
      <c r="AB208" s="48" t="e">
        <f t="shared" si="7"/>
        <v>#DIV/0!</v>
      </c>
      <c r="AC208" s="49" t="e">
        <f t="shared" si="7"/>
        <v>#DIV/0!</v>
      </c>
      <c r="AD208" s="19"/>
      <c r="AE208" s="19"/>
      <c r="AF208" s="284" t="s">
        <v>126</v>
      </c>
      <c r="AG208" s="239" cm="1">
        <f t="array" ref="AG208">bdRateExtend($G208:$G211,G208:G211,$R208:$R211,R208:R211)</f>
        <v>7.0180282035958719E-4</v>
      </c>
      <c r="AH208" s="241" cm="1">
        <f t="array" ref="AH208">bdRateExtend($G208:$G213,H208:H213,$R208:$R213,S208:S213)</f>
        <v>-0.13138895710511844</v>
      </c>
      <c r="AI208" s="241" cm="1">
        <f t="array" ref="AI208">bdRateExtend($G208:$G213,I208:I213,$R208:$R213,T208:T213)</f>
        <v>-0.11811283758149838</v>
      </c>
      <c r="AJ208" s="244" cm="1">
        <f t="array" ref="AJ208">bdRateExtend($G208:$G213,J208:J213,$R208:$R213,U208:U213)</f>
        <v>-0.10916921767754373</v>
      </c>
      <c r="AK208" s="239" cm="1">
        <f t="array" ref="AK208">bdRateExtend($G208:$G211,K208:K211,$R208:$R211,V208:V211)</f>
        <v>-0.13904675831174185</v>
      </c>
      <c r="AL208" s="248" cm="1">
        <f t="array" ref="AL208">bdRateExtend($G208:$G213,K208:K213,$R208:$R213,V208:V213)</f>
        <v>-0.13447409712585534</v>
      </c>
      <c r="AM208" s="239" cm="1">
        <f t="array" ref="AM208">bdRateExtend($G208:$G211,L208:L211,$R208:$R211,W208:W211)</f>
        <v>-0.13996956655416293</v>
      </c>
      <c r="AN208" s="248" cm="1">
        <f t="array" ref="AN208">bdRateExtend($G208:$G213,L208:L213,$R208:$R213,W208:W213)</f>
        <v>-0.13574734650694364</v>
      </c>
      <c r="AO208" s="254" cm="1">
        <f t="array" ref="AO208">bdRateExtend($G208:$G211,M208:M211,$R208:$R211,X208:X211)</f>
        <v>-0.13524840892574319</v>
      </c>
      <c r="AP208" s="248" cm="1">
        <f t="array" ref="AP208">bdRateExtend($G208:$G213,M208:M213,$R208:$R213,X208:X213)</f>
        <v>-6.2926684475493322E-2</v>
      </c>
    </row>
    <row r="209" spans="1:42" ht="17.100000000000001" customHeight="1" outlineLevel="4" x14ac:dyDescent="0.25">
      <c r="A209" s="222"/>
      <c r="B209" s="219"/>
      <c r="C209" s="229"/>
      <c r="D209" s="232"/>
      <c r="E209" s="235"/>
      <c r="F209" s="16">
        <v>31</v>
      </c>
      <c r="G209" s="34">
        <v>4145.32</v>
      </c>
      <c r="H209" s="39">
        <v>35.599200000000003</v>
      </c>
      <c r="I209" s="39">
        <v>38.104199999999999</v>
      </c>
      <c r="J209" s="39">
        <v>40.855400000000003</v>
      </c>
      <c r="K209" s="39">
        <v>13.8969</v>
      </c>
      <c r="L209" s="39">
        <v>21.711600000000001</v>
      </c>
      <c r="M209" s="39">
        <v>97.338200000000001</v>
      </c>
      <c r="N209" s="39"/>
      <c r="O209" s="39"/>
      <c r="P209" s="35"/>
      <c r="Q209" s="18"/>
      <c r="R209" s="34">
        <v>3940.0462000000002</v>
      </c>
      <c r="S209" s="39">
        <v>36.030500000000004</v>
      </c>
      <c r="T209" s="39">
        <v>38.310899999999997</v>
      </c>
      <c r="U209" s="39">
        <v>41.0959</v>
      </c>
      <c r="V209" s="39">
        <v>14.401300000000001</v>
      </c>
      <c r="W209" s="39">
        <v>22.274799999999999</v>
      </c>
      <c r="X209" s="39">
        <v>97.935199999999995</v>
      </c>
      <c r="Y209" s="39"/>
      <c r="Z209" s="39"/>
      <c r="AA209" s="35"/>
      <c r="AB209" s="50" t="e">
        <f t="shared" si="7"/>
        <v>#DIV/0!</v>
      </c>
      <c r="AC209" s="51" t="e">
        <f t="shared" si="7"/>
        <v>#DIV/0!</v>
      </c>
      <c r="AD209" s="19"/>
      <c r="AE209" s="19"/>
      <c r="AF209" s="285"/>
      <c r="AG209" s="240"/>
      <c r="AH209" s="242"/>
      <c r="AI209" s="242"/>
      <c r="AJ209" s="245"/>
      <c r="AK209" s="240"/>
      <c r="AL209" s="249"/>
      <c r="AM209" s="240"/>
      <c r="AN209" s="249"/>
      <c r="AO209" s="252"/>
      <c r="AP209" s="249"/>
    </row>
    <row r="210" spans="1:42" ht="17.100000000000001" customHeight="1" outlineLevel="4" x14ac:dyDescent="0.25">
      <c r="A210" s="222"/>
      <c r="B210" s="219"/>
      <c r="C210" s="229"/>
      <c r="D210" s="232"/>
      <c r="E210" s="235"/>
      <c r="F210" s="16">
        <v>39</v>
      </c>
      <c r="G210" s="34">
        <v>2292</v>
      </c>
      <c r="H210" s="39">
        <v>31.814299999999999</v>
      </c>
      <c r="I210" s="39">
        <v>35.718699999999998</v>
      </c>
      <c r="J210" s="39">
        <v>39.204700000000003</v>
      </c>
      <c r="K210" s="39">
        <v>10.7614</v>
      </c>
      <c r="L210" s="39">
        <v>18.180700000000002</v>
      </c>
      <c r="M210" s="39">
        <v>90.798100000000005</v>
      </c>
      <c r="N210" s="39"/>
      <c r="O210" s="39"/>
      <c r="P210" s="35"/>
      <c r="Q210" s="18"/>
      <c r="R210" s="34">
        <v>2181.16</v>
      </c>
      <c r="S210" s="39">
        <v>32.338000000000001</v>
      </c>
      <c r="T210" s="39">
        <v>36.020099999999999</v>
      </c>
      <c r="U210" s="39">
        <v>39.426400000000001</v>
      </c>
      <c r="V210" s="39">
        <v>11.3066</v>
      </c>
      <c r="W210" s="39">
        <v>18.809200000000001</v>
      </c>
      <c r="X210" s="39">
        <v>92.240300000000005</v>
      </c>
      <c r="Y210" s="39"/>
      <c r="Z210" s="39"/>
      <c r="AA210" s="35"/>
      <c r="AB210" s="50" t="e">
        <f t="shared" si="7"/>
        <v>#DIV/0!</v>
      </c>
      <c r="AC210" s="51" t="e">
        <f t="shared" si="7"/>
        <v>#DIV/0!</v>
      </c>
      <c r="AD210" s="19"/>
      <c r="AE210" s="19"/>
      <c r="AF210" s="285" t="s">
        <v>127</v>
      </c>
      <c r="AG210" s="240" cm="1">
        <f t="array" ref="AG210">bdRateExtend($G209:$G212,G209:G212,$R209:$R212,R209:R212)</f>
        <v>9.0457068947280561E-5</v>
      </c>
      <c r="AH210" s="242"/>
      <c r="AI210" s="242"/>
      <c r="AJ210" s="245"/>
      <c r="AK210" s="240" cm="1">
        <f t="array" ref="AK210">bdRateExtend($G209:$G212,K209:K212,$R209:$R212,V209:V212)</f>
        <v>-0.14109043827660239</v>
      </c>
      <c r="AL210" s="249"/>
      <c r="AM210" s="240" cm="1">
        <f t="array" ref="AM210">bdRateExtend($G209:$G212,L209:L212,$R209:$R212,W209:W212)</f>
        <v>-0.14068417096759889</v>
      </c>
      <c r="AN210" s="249"/>
      <c r="AO210" s="252" cm="1">
        <f t="array" ref="AO210">bdRateExtend($G209:$G212,M209:M212,$R209:$R212,X209:X212)</f>
        <v>-9.3208507171599786E-2</v>
      </c>
      <c r="AP210" s="249"/>
    </row>
    <row r="211" spans="1:42" ht="17.100000000000001" customHeight="1" outlineLevel="4" x14ac:dyDescent="0.25">
      <c r="A211" s="222"/>
      <c r="B211" s="219"/>
      <c r="C211" s="229"/>
      <c r="D211" s="232"/>
      <c r="E211" s="235"/>
      <c r="F211" s="16">
        <v>47</v>
      </c>
      <c r="G211" s="34">
        <v>1092.0953999999999</v>
      </c>
      <c r="H211" s="39">
        <v>28.5641</v>
      </c>
      <c r="I211" s="39">
        <v>33.760100000000001</v>
      </c>
      <c r="J211" s="39">
        <v>38.058199999999999</v>
      </c>
      <c r="K211" s="39">
        <v>8.0785</v>
      </c>
      <c r="L211" s="39">
        <v>14.854799999999999</v>
      </c>
      <c r="M211" s="39">
        <v>80.2958</v>
      </c>
      <c r="N211" s="39"/>
      <c r="O211" s="39"/>
      <c r="P211" s="35"/>
      <c r="Q211" s="18"/>
      <c r="R211" s="34">
        <v>1085.0491999999999</v>
      </c>
      <c r="S211" s="39">
        <v>29.094799999999999</v>
      </c>
      <c r="T211" s="39">
        <v>34.0396</v>
      </c>
      <c r="U211" s="39">
        <v>38.1828</v>
      </c>
      <c r="V211" s="39">
        <v>8.4977999999999998</v>
      </c>
      <c r="W211" s="39">
        <v>15.4038</v>
      </c>
      <c r="X211" s="39">
        <v>81.534300000000002</v>
      </c>
      <c r="Y211" s="39"/>
      <c r="Z211" s="39"/>
      <c r="AA211" s="35"/>
      <c r="AB211" s="50" t="e">
        <f t="shared" si="7"/>
        <v>#DIV/0!</v>
      </c>
      <c r="AC211" s="51" t="e">
        <f t="shared" si="7"/>
        <v>#DIV/0!</v>
      </c>
      <c r="AD211" s="19"/>
      <c r="AE211" s="19"/>
      <c r="AF211" s="285"/>
      <c r="AG211" s="240"/>
      <c r="AH211" s="242"/>
      <c r="AI211" s="242"/>
      <c r="AJ211" s="245"/>
      <c r="AK211" s="240"/>
      <c r="AL211" s="249"/>
      <c r="AM211" s="240"/>
      <c r="AN211" s="249"/>
      <c r="AO211" s="252"/>
      <c r="AP211" s="249"/>
    </row>
    <row r="212" spans="1:42" ht="17.100000000000001" customHeight="1" outlineLevel="4" x14ac:dyDescent="0.25">
      <c r="A212" s="222"/>
      <c r="B212" s="219"/>
      <c r="C212" s="229"/>
      <c r="D212" s="232"/>
      <c r="E212" s="235"/>
      <c r="F212" s="16">
        <v>55</v>
      </c>
      <c r="G212" s="34">
        <v>476.0154</v>
      </c>
      <c r="H212" s="39">
        <v>25.8779</v>
      </c>
      <c r="I212" s="39">
        <v>32.411299999999997</v>
      </c>
      <c r="J212" s="39">
        <v>37.1038</v>
      </c>
      <c r="K212" s="39">
        <v>5.9004000000000003</v>
      </c>
      <c r="L212" s="39">
        <v>11.8081</v>
      </c>
      <c r="M212" s="39">
        <v>64.543599999999998</v>
      </c>
      <c r="N212" s="39"/>
      <c r="O212" s="39"/>
      <c r="P212" s="35"/>
      <c r="Q212" s="18"/>
      <c r="R212" s="34">
        <v>484.82459999999998</v>
      </c>
      <c r="S212" s="39">
        <v>26.402799999999999</v>
      </c>
      <c r="T212" s="39">
        <v>32.620100000000001</v>
      </c>
      <c r="U212" s="39">
        <v>37.243699999999997</v>
      </c>
      <c r="V212" s="39">
        <v>6.2557</v>
      </c>
      <c r="W212" s="39">
        <v>12.3567</v>
      </c>
      <c r="X212" s="39">
        <v>65.927599999999998</v>
      </c>
      <c r="Y212" s="39"/>
      <c r="Z212" s="39"/>
      <c r="AA212" s="35"/>
      <c r="AB212" s="50" t="e">
        <f t="shared" si="7"/>
        <v>#DIV/0!</v>
      </c>
      <c r="AC212" s="51" t="e">
        <f t="shared" si="7"/>
        <v>#DIV/0!</v>
      </c>
      <c r="AD212" s="19"/>
      <c r="AE212" s="19"/>
      <c r="AF212" s="285" t="s">
        <v>128</v>
      </c>
      <c r="AG212" s="240" cm="1">
        <f t="array" ref="AG212">bdRateExtend($G210:$G213,G210:G213,$R210:$R213,R210:R213)</f>
        <v>-3.1866440066448121E-3</v>
      </c>
      <c r="AH212" s="242"/>
      <c r="AI212" s="242"/>
      <c r="AJ212" s="245"/>
      <c r="AK212" s="240" cm="1">
        <f t="array" ref="AK212">bdRateExtend($G210:$G213,K210:K213,$R210:$R213,V210:V213)</f>
        <v>-0.1320486067793325</v>
      </c>
      <c r="AL212" s="249"/>
      <c r="AM212" s="240" cm="1">
        <f t="array" ref="AM212">bdRateExtend($G210:$G213,L210:L213,$R210:$R213,W210:W213)</f>
        <v>-0.13371099272641229</v>
      </c>
      <c r="AN212" s="249"/>
      <c r="AO212" s="252" cm="1">
        <f t="array" ref="AO212">bdRateExtend($G210:$G213,M210:M213,$R210:$R213,X210:X213)</f>
        <v>-4.7299282465810055E-2</v>
      </c>
      <c r="AP212" s="249"/>
    </row>
    <row r="213" spans="1:42" ht="17.100000000000001" customHeight="1" outlineLevel="4" thickBot="1" x14ac:dyDescent="0.3">
      <c r="A213" s="222"/>
      <c r="B213" s="220"/>
      <c r="C213" s="230"/>
      <c r="D213" s="233"/>
      <c r="E213" s="236"/>
      <c r="F213" s="9">
        <v>63</v>
      </c>
      <c r="G213" s="36">
        <v>156.38149999999999</v>
      </c>
      <c r="H213" s="37">
        <v>23.3659</v>
      </c>
      <c r="I213" s="37">
        <v>31.3188</v>
      </c>
      <c r="J213" s="37">
        <v>36.1586</v>
      </c>
      <c r="K213" s="37">
        <v>4.0845000000000002</v>
      </c>
      <c r="L213" s="37">
        <v>8.7024000000000008</v>
      </c>
      <c r="M213" s="37">
        <v>40.896900000000002</v>
      </c>
      <c r="N213" s="37"/>
      <c r="O213" s="37"/>
      <c r="P213" s="38"/>
      <c r="Q213" s="18"/>
      <c r="R213" s="36">
        <v>159.92619999999999</v>
      </c>
      <c r="S213" s="37">
        <v>23.814</v>
      </c>
      <c r="T213" s="37">
        <v>31.618400000000001</v>
      </c>
      <c r="U213" s="37">
        <v>36.172199999999997</v>
      </c>
      <c r="V213" s="37">
        <v>4.2603999999999997</v>
      </c>
      <c r="W213" s="37">
        <v>9.0643999999999991</v>
      </c>
      <c r="X213" s="37">
        <v>40.726999999999997</v>
      </c>
      <c r="Y213" s="37"/>
      <c r="Z213" s="37"/>
      <c r="AA213" s="38"/>
      <c r="AB213" s="52" t="e">
        <f t="shared" si="7"/>
        <v>#DIV/0!</v>
      </c>
      <c r="AC213" s="53" t="e">
        <f t="shared" si="7"/>
        <v>#DIV/0!</v>
      </c>
      <c r="AD213" s="19"/>
      <c r="AE213" s="19"/>
      <c r="AF213" s="286"/>
      <c r="AG213" s="247"/>
      <c r="AH213" s="243"/>
      <c r="AI213" s="243"/>
      <c r="AJ213" s="246"/>
      <c r="AK213" s="247"/>
      <c r="AL213" s="250"/>
      <c r="AM213" s="247"/>
      <c r="AN213" s="250"/>
      <c r="AO213" s="253"/>
      <c r="AP213" s="250"/>
    </row>
    <row r="214" spans="1:42" ht="17.100000000000001" customHeight="1" outlineLevel="4" x14ac:dyDescent="0.25">
      <c r="A214" s="222"/>
      <c r="B214" s="218" t="s">
        <v>4</v>
      </c>
      <c r="C214" s="228" t="s">
        <v>72</v>
      </c>
      <c r="D214" s="231">
        <v>59.94</v>
      </c>
      <c r="E214" s="234">
        <v>10</v>
      </c>
      <c r="F214" s="7">
        <v>23</v>
      </c>
      <c r="G214" s="31">
        <v>4031.7085999999999</v>
      </c>
      <c r="H214" s="32">
        <v>41.127600000000001</v>
      </c>
      <c r="I214" s="32">
        <v>48.647399999999998</v>
      </c>
      <c r="J214" s="32">
        <v>46.911799999999999</v>
      </c>
      <c r="K214" s="32">
        <v>17.139099999999999</v>
      </c>
      <c r="L214" s="32">
        <v>24.354399999999998</v>
      </c>
      <c r="M214" s="32">
        <v>96.6404</v>
      </c>
      <c r="N214" s="32"/>
      <c r="O214" s="32"/>
      <c r="P214" s="33"/>
      <c r="Q214" s="18"/>
      <c r="R214" s="31">
        <v>3407.9261999999999</v>
      </c>
      <c r="S214" s="32">
        <v>41.631100000000004</v>
      </c>
      <c r="T214" s="32">
        <v>49.136699999999998</v>
      </c>
      <c r="U214" s="32">
        <v>47.300800000000002</v>
      </c>
      <c r="V214" s="32">
        <v>17.761500000000002</v>
      </c>
      <c r="W214" s="32">
        <v>24.867799999999999</v>
      </c>
      <c r="X214" s="32">
        <v>96.977400000000003</v>
      </c>
      <c r="Y214" s="32"/>
      <c r="Z214" s="32"/>
      <c r="AA214" s="33"/>
      <c r="AB214" s="48" t="e">
        <f t="shared" si="7"/>
        <v>#DIV/0!</v>
      </c>
      <c r="AC214" s="49" t="e">
        <f t="shared" si="7"/>
        <v>#DIV/0!</v>
      </c>
      <c r="AD214" s="19"/>
      <c r="AE214" s="19"/>
      <c r="AF214" s="284" t="s">
        <v>126</v>
      </c>
      <c r="AG214" s="239" cm="1">
        <f t="array" ref="AG214">bdRateExtend($G214:$G217,G214:G217,$R214:$R217,R214:R217)</f>
        <v>4.6573268459983996E-3</v>
      </c>
      <c r="AH214" s="241" cm="1">
        <f t="array" ref="AH214">bdRateExtend($G214:$G219,H214:H219,$R214:$R219,S214:S219)</f>
        <v>-0.33305958719283879</v>
      </c>
      <c r="AI214" s="241" cm="1">
        <f t="array" ref="AI214">bdRateExtend($G214:$G219,I214:I219,$R214:$R219,T214:T219)</f>
        <v>-0.24733626461605129</v>
      </c>
      <c r="AJ214" s="244" cm="1">
        <f t="array" ref="AJ214">bdRateExtend($G214:$G219,J214:J219,$R214:$R219,U214:U219)</f>
        <v>-0.27715387025097926</v>
      </c>
      <c r="AK214" s="239" cm="1">
        <f t="array" ref="AK214">bdRateExtend($G214:$G217,K214:K217,$R214:$R217,V214:V217)</f>
        <v>-0.31727125027782321</v>
      </c>
      <c r="AL214" s="248" cm="1">
        <f t="array" ref="AL214">bdRateExtend($G214:$G219,K214:K219,$R214:$R219,V214:V219)</f>
        <v>-0.33395251092735811</v>
      </c>
      <c r="AM214" s="239" cm="1">
        <f t="array" ref="AM214">bdRateExtend($G214:$G217,L214:L217,$R214:$R217,W214:W217)</f>
        <v>-0.29906301264047042</v>
      </c>
      <c r="AN214" s="248" cm="1">
        <f t="array" ref="AN214">bdRateExtend($G214:$G219,L214:L219,$R214:$R219,W214:W219)</f>
        <v>-0.307809924088708</v>
      </c>
      <c r="AO214" s="254" cm="1">
        <f t="array" ref="AO214">bdRateExtend($G214:$G217,M214:M217,$R214:$R217,X214:X217)</f>
        <v>-0.24346039900537364</v>
      </c>
      <c r="AP214" s="248" cm="1">
        <f t="array" ref="AP214">bdRateExtend($G214:$G219,M214:M219,$R214:$R219,X214:X219)</f>
        <v>-0.20484246975815457</v>
      </c>
    </row>
    <row r="215" spans="1:42" ht="17.100000000000001" customHeight="1" outlineLevel="4" x14ac:dyDescent="0.25">
      <c r="A215" s="222"/>
      <c r="B215" s="219"/>
      <c r="C215" s="229"/>
      <c r="D215" s="232"/>
      <c r="E215" s="235"/>
      <c r="F215" s="16">
        <v>31</v>
      </c>
      <c r="G215" s="34">
        <v>2390.7341999999999</v>
      </c>
      <c r="H215" s="39">
        <v>37.942399999999999</v>
      </c>
      <c r="I215" s="39">
        <v>47.016399999999997</v>
      </c>
      <c r="J215" s="39">
        <v>45.217399999999998</v>
      </c>
      <c r="K215" s="39">
        <v>14.5543</v>
      </c>
      <c r="L215" s="39">
        <v>21.247399999999999</v>
      </c>
      <c r="M215" s="39">
        <v>93.750100000000003</v>
      </c>
      <c r="N215" s="39"/>
      <c r="O215" s="39"/>
      <c r="P215" s="35"/>
      <c r="Q215" s="18"/>
      <c r="R215" s="34">
        <v>1971.1685</v>
      </c>
      <c r="S215" s="39">
        <v>38.563499999999998</v>
      </c>
      <c r="T215" s="39">
        <v>47.471299999999999</v>
      </c>
      <c r="U215" s="39">
        <v>45.603400000000001</v>
      </c>
      <c r="V215" s="39">
        <v>15.2263</v>
      </c>
      <c r="W215" s="39">
        <v>21.885899999999999</v>
      </c>
      <c r="X215" s="39">
        <v>94.020700000000005</v>
      </c>
      <c r="Y215" s="39"/>
      <c r="Z215" s="39"/>
      <c r="AA215" s="35"/>
      <c r="AB215" s="50" t="e">
        <f t="shared" si="7"/>
        <v>#DIV/0!</v>
      </c>
      <c r="AC215" s="51" t="e">
        <f t="shared" si="7"/>
        <v>#DIV/0!</v>
      </c>
      <c r="AD215" s="19"/>
      <c r="AE215" s="19"/>
      <c r="AF215" s="285"/>
      <c r="AG215" s="240"/>
      <c r="AH215" s="242"/>
      <c r="AI215" s="242"/>
      <c r="AJ215" s="245"/>
      <c r="AK215" s="240"/>
      <c r="AL215" s="249"/>
      <c r="AM215" s="240"/>
      <c r="AN215" s="249"/>
      <c r="AO215" s="252"/>
      <c r="AP215" s="249"/>
    </row>
    <row r="216" spans="1:42" ht="17.100000000000001" customHeight="1" outlineLevel="4" x14ac:dyDescent="0.25">
      <c r="A216" s="222"/>
      <c r="B216" s="219"/>
      <c r="C216" s="229"/>
      <c r="D216" s="232"/>
      <c r="E216" s="235"/>
      <c r="F216" s="16">
        <v>39</v>
      </c>
      <c r="G216" s="34">
        <v>1296.1844000000001</v>
      </c>
      <c r="H216" s="39">
        <v>34.83</v>
      </c>
      <c r="I216" s="39">
        <v>45.417200000000001</v>
      </c>
      <c r="J216" s="39">
        <v>43.356999999999999</v>
      </c>
      <c r="K216" s="39">
        <v>11.926</v>
      </c>
      <c r="L216" s="39">
        <v>18.146899999999999</v>
      </c>
      <c r="M216" s="39">
        <v>88.102599999999995</v>
      </c>
      <c r="N216" s="39"/>
      <c r="O216" s="39"/>
      <c r="P216" s="35"/>
      <c r="Q216" s="18"/>
      <c r="R216" s="34">
        <v>1025.1484</v>
      </c>
      <c r="S216" s="39">
        <v>35.638800000000003</v>
      </c>
      <c r="T216" s="39">
        <v>45.8919</v>
      </c>
      <c r="U216" s="39">
        <v>43.822600000000001</v>
      </c>
      <c r="V216" s="39">
        <v>12.666600000000001</v>
      </c>
      <c r="W216" s="39">
        <v>18.931999999999999</v>
      </c>
      <c r="X216" s="39">
        <v>88.763999999999996</v>
      </c>
      <c r="Y216" s="39"/>
      <c r="Z216" s="39"/>
      <c r="AA216" s="35"/>
      <c r="AB216" s="50" t="e">
        <f t="shared" si="7"/>
        <v>#DIV/0!</v>
      </c>
      <c r="AC216" s="51" t="e">
        <f t="shared" si="7"/>
        <v>#DIV/0!</v>
      </c>
      <c r="AD216" s="19"/>
      <c r="AE216" s="19"/>
      <c r="AF216" s="285" t="s">
        <v>127</v>
      </c>
      <c r="AG216" s="240" cm="1">
        <f t="array" ref="AG216">bdRateExtend($G215:$G218,G215:G218,$R215:$R218,R215:R218)</f>
        <v>6.8699410154509088E-3</v>
      </c>
      <c r="AH216" s="242"/>
      <c r="AI216" s="242"/>
      <c r="AJ216" s="245"/>
      <c r="AK216" s="240" cm="1">
        <f t="array" ref="AK216">bdRateExtend($G215:$G218,K215:K218,$R215:$R218,V215:V218)</f>
        <v>-0.35062630200036449</v>
      </c>
      <c r="AL216" s="249"/>
      <c r="AM216" s="240" cm="1">
        <f t="array" ref="AM216">bdRateExtend($G215:$G218,L215:L218,$R215:$R218,W215:W218)</f>
        <v>-0.33377783211094747</v>
      </c>
      <c r="AN216" s="249"/>
      <c r="AO216" s="252" cm="1">
        <f t="array" ref="AO216">bdRateExtend($G215:$G218,M215:M218,$R215:$R218,X215:X218)</f>
        <v>-0.2413999346910819</v>
      </c>
      <c r="AP216" s="249"/>
    </row>
    <row r="217" spans="1:42" ht="17.100000000000001" customHeight="1" outlineLevel="4" x14ac:dyDescent="0.25">
      <c r="A217" s="222"/>
      <c r="B217" s="219"/>
      <c r="C217" s="229"/>
      <c r="D217" s="232"/>
      <c r="E217" s="235"/>
      <c r="F217" s="16">
        <v>47</v>
      </c>
      <c r="G217" s="34">
        <v>622.73850000000004</v>
      </c>
      <c r="H217" s="39">
        <v>32.140099999999997</v>
      </c>
      <c r="I217" s="39">
        <v>43.814100000000003</v>
      </c>
      <c r="J217" s="39">
        <v>41.587200000000003</v>
      </c>
      <c r="K217" s="39">
        <v>9.548</v>
      </c>
      <c r="L217" s="39">
        <v>15.222899999999999</v>
      </c>
      <c r="M217" s="39">
        <v>79.722399999999993</v>
      </c>
      <c r="N217" s="39"/>
      <c r="O217" s="39"/>
      <c r="P217" s="35"/>
      <c r="Q217" s="18"/>
      <c r="R217" s="34">
        <v>511.5598</v>
      </c>
      <c r="S217" s="39">
        <v>33.097999999999999</v>
      </c>
      <c r="T217" s="39">
        <v>44.2102</v>
      </c>
      <c r="U217" s="39">
        <v>42.004800000000003</v>
      </c>
      <c r="V217" s="39">
        <v>10.2723</v>
      </c>
      <c r="W217" s="39">
        <v>16.0611</v>
      </c>
      <c r="X217" s="39">
        <v>80.840999999999994</v>
      </c>
      <c r="Y217" s="39"/>
      <c r="Z217" s="39"/>
      <c r="AA217" s="35"/>
      <c r="AB217" s="50" t="e">
        <f t="shared" si="7"/>
        <v>#DIV/0!</v>
      </c>
      <c r="AC217" s="51" t="e">
        <f t="shared" si="7"/>
        <v>#DIV/0!</v>
      </c>
      <c r="AD217" s="19"/>
      <c r="AE217" s="19"/>
      <c r="AF217" s="285"/>
      <c r="AG217" s="240"/>
      <c r="AH217" s="242"/>
      <c r="AI217" s="242"/>
      <c r="AJ217" s="245"/>
      <c r="AK217" s="240"/>
      <c r="AL217" s="249"/>
      <c r="AM217" s="240"/>
      <c r="AN217" s="249"/>
      <c r="AO217" s="252"/>
      <c r="AP217" s="249"/>
    </row>
    <row r="218" spans="1:42" ht="17.100000000000001" customHeight="1" outlineLevel="4" x14ac:dyDescent="0.25">
      <c r="A218" s="222"/>
      <c r="B218" s="219"/>
      <c r="C218" s="229"/>
      <c r="D218" s="232"/>
      <c r="E218" s="235"/>
      <c r="F218" s="16">
        <v>55</v>
      </c>
      <c r="G218" s="34">
        <v>276.3956</v>
      </c>
      <c r="H218" s="39">
        <v>29.860800000000001</v>
      </c>
      <c r="I218" s="39">
        <v>42.611499999999999</v>
      </c>
      <c r="J218" s="39">
        <v>40.1113</v>
      </c>
      <c r="K218" s="39">
        <v>7.7167000000000003</v>
      </c>
      <c r="L218" s="39">
        <v>12.693899999999999</v>
      </c>
      <c r="M218" s="39">
        <v>67.473699999999994</v>
      </c>
      <c r="N218" s="39"/>
      <c r="O218" s="39"/>
      <c r="P218" s="35"/>
      <c r="Q218" s="18"/>
      <c r="R218" s="34">
        <v>247.9564</v>
      </c>
      <c r="S218" s="39">
        <v>30.910799999999998</v>
      </c>
      <c r="T218" s="39">
        <v>42.59</v>
      </c>
      <c r="U218" s="39">
        <v>40.335099999999997</v>
      </c>
      <c r="V218" s="39">
        <v>8.4534000000000002</v>
      </c>
      <c r="W218" s="39">
        <v>13.5716</v>
      </c>
      <c r="X218" s="39">
        <v>69.670599999999993</v>
      </c>
      <c r="Y218" s="39"/>
      <c r="Z218" s="39"/>
      <c r="AA218" s="35"/>
      <c r="AB218" s="50" t="e">
        <f t="shared" si="7"/>
        <v>#DIV/0!</v>
      </c>
      <c r="AC218" s="51" t="e">
        <f t="shared" si="7"/>
        <v>#DIV/0!</v>
      </c>
      <c r="AD218" s="19"/>
      <c r="AE218" s="19"/>
      <c r="AF218" s="285" t="s">
        <v>128</v>
      </c>
      <c r="AG218" s="240" cm="1">
        <f t="array" ref="AG218">bdRateExtend($G216:$G219,G216:G219,$R216:$R219,R216:R219)</f>
        <v>5.4550531690584769E-3</v>
      </c>
      <c r="AH218" s="242"/>
      <c r="AI218" s="242"/>
      <c r="AJ218" s="245"/>
      <c r="AK218" s="240" cm="1">
        <f t="array" ref="AK218">bdRateExtend($G216:$G219,K216:K219,$R216:$R219,V216:V219)</f>
        <v>-0.36279865482374496</v>
      </c>
      <c r="AL218" s="249"/>
      <c r="AM218" s="240" cm="1">
        <f t="array" ref="AM218">bdRateExtend($G216:$G219,L216:L219,$R216:$R219,W216:W219)</f>
        <v>-0.32811059091548278</v>
      </c>
      <c r="AN218" s="249"/>
      <c r="AO218" s="252" cm="1">
        <f t="array" ref="AO218">bdRateExtend($G216:$G219,M216:M219,$R216:$R219,X216:X219)</f>
        <v>-0.19917856374566489</v>
      </c>
      <c r="AP218" s="249"/>
    </row>
    <row r="219" spans="1:42" ht="17.100000000000001" customHeight="1" outlineLevel="4" thickBot="1" x14ac:dyDescent="0.3">
      <c r="A219" s="222"/>
      <c r="B219" s="220"/>
      <c r="C219" s="230"/>
      <c r="D219" s="233"/>
      <c r="E219" s="236"/>
      <c r="F219" s="9">
        <v>63</v>
      </c>
      <c r="G219" s="36">
        <v>93.3553</v>
      </c>
      <c r="H219" s="37">
        <v>27.476800000000001</v>
      </c>
      <c r="I219" s="37">
        <v>41.131300000000003</v>
      </c>
      <c r="J219" s="37">
        <v>38.460099999999997</v>
      </c>
      <c r="K219" s="37">
        <v>6.0654000000000003</v>
      </c>
      <c r="L219" s="37">
        <v>10.092700000000001</v>
      </c>
      <c r="M219" s="37">
        <v>48.521999999999998</v>
      </c>
      <c r="N219" s="37"/>
      <c r="O219" s="37"/>
      <c r="P219" s="38"/>
      <c r="Q219" s="18"/>
      <c r="R219" s="36">
        <v>91.890900000000002</v>
      </c>
      <c r="S219" s="37">
        <v>28.244599999999998</v>
      </c>
      <c r="T219" s="37">
        <v>40.966099999999997</v>
      </c>
      <c r="U219" s="37">
        <v>38.765500000000003</v>
      </c>
      <c r="V219" s="37">
        <v>6.5652999999999997</v>
      </c>
      <c r="W219" s="37">
        <v>10.6487</v>
      </c>
      <c r="X219" s="37">
        <v>49.663899999999998</v>
      </c>
      <c r="Y219" s="37"/>
      <c r="Z219" s="37"/>
      <c r="AA219" s="38"/>
      <c r="AB219" s="52" t="e">
        <f t="shared" si="7"/>
        <v>#DIV/0!</v>
      </c>
      <c r="AC219" s="53" t="e">
        <f t="shared" si="7"/>
        <v>#DIV/0!</v>
      </c>
      <c r="AD219" s="19"/>
      <c r="AE219" s="19"/>
      <c r="AF219" s="286"/>
      <c r="AG219" s="247"/>
      <c r="AH219" s="243"/>
      <c r="AI219" s="243"/>
      <c r="AJ219" s="246"/>
      <c r="AK219" s="247"/>
      <c r="AL219" s="250"/>
      <c r="AM219" s="247"/>
      <c r="AN219" s="250"/>
      <c r="AO219" s="253"/>
      <c r="AP219" s="250"/>
    </row>
    <row r="220" spans="1:42" ht="17.100000000000001" customHeight="1" outlineLevel="4" x14ac:dyDescent="0.25">
      <c r="A220" s="222"/>
      <c r="B220" s="218" t="s">
        <v>95</v>
      </c>
      <c r="C220" s="228" t="s">
        <v>73</v>
      </c>
      <c r="D220" s="231">
        <v>29.97</v>
      </c>
      <c r="E220" s="234" t="s">
        <v>23</v>
      </c>
      <c r="F220" s="7">
        <v>23</v>
      </c>
      <c r="G220" s="31">
        <v>1202.7333000000001</v>
      </c>
      <c r="H220" s="32">
        <v>42.068300000000001</v>
      </c>
      <c r="I220" s="32">
        <v>50.141100000000002</v>
      </c>
      <c r="J220" s="32">
        <v>50.0349</v>
      </c>
      <c r="K220" s="32">
        <v>16.519200000000001</v>
      </c>
      <c r="L220" s="32">
        <v>23.5793</v>
      </c>
      <c r="M220" s="32">
        <v>98.227500000000006</v>
      </c>
      <c r="N220" s="32"/>
      <c r="O220" s="32"/>
      <c r="P220" s="33"/>
      <c r="Q220" s="18"/>
      <c r="R220" s="31">
        <v>1062.0419999999999</v>
      </c>
      <c r="S220" s="32">
        <v>42.488199999999999</v>
      </c>
      <c r="T220" s="32">
        <v>50.610700000000001</v>
      </c>
      <c r="U220" s="32">
        <v>50.426400000000001</v>
      </c>
      <c r="V220" s="32">
        <v>16.942599999999999</v>
      </c>
      <c r="W220" s="32">
        <v>24.0977</v>
      </c>
      <c r="X220" s="32">
        <v>98.504499999999993</v>
      </c>
      <c r="Y220" s="32"/>
      <c r="Z220" s="32"/>
      <c r="AA220" s="33"/>
      <c r="AB220" s="48" t="e">
        <f t="shared" si="7"/>
        <v>#DIV/0!</v>
      </c>
      <c r="AC220" s="49" t="e">
        <f t="shared" si="7"/>
        <v>#DIV/0!</v>
      </c>
      <c r="AD220" s="19"/>
      <c r="AE220" s="19"/>
      <c r="AF220" s="284" t="s">
        <v>126</v>
      </c>
      <c r="AG220" s="239" cm="1">
        <f t="array" ref="AG220">bdRateExtend($G220:$G223,G220:G223,$R220:$R223,R220:R223)</f>
        <v>2.8065112882480481E-3</v>
      </c>
      <c r="AH220" s="241" cm="1">
        <f t="array" ref="AH220">bdRateExtend($G220:$G225,H220:H225,$R220:$R225,S220:S225)</f>
        <v>-0.20258402290373134</v>
      </c>
      <c r="AI220" s="241" cm="1">
        <f t="array" ref="AI220">bdRateExtend($G220:$G225,I220:I225,$R220:$R225,T220:T225)</f>
        <v>-0.2363050204236613</v>
      </c>
      <c r="AJ220" s="244" cm="1">
        <f t="array" ref="AJ220">bdRateExtend($G220:$G225,J220:J225,$R220:$R225,U220:U225)</f>
        <v>-0.31403503899055218</v>
      </c>
      <c r="AK220" s="239" cm="1">
        <f t="array" ref="AK220">bdRateExtend($G220:$G223,K220:K223,$R220:$R223,V220:V223)</f>
        <v>-0.21444782532958018</v>
      </c>
      <c r="AL220" s="248" cm="1">
        <f t="array" ref="AL220">bdRateExtend($G220:$G225,K220:K225,$R220:$R225,V220:V225)</f>
        <v>-0.2043009282119489</v>
      </c>
      <c r="AM220" s="239" cm="1">
        <f t="array" ref="AM220">bdRateExtend($G220:$G223,L220:L223,$R220:$R223,W220:W223)</f>
        <v>-0.21660301078775823</v>
      </c>
      <c r="AN220" s="248" cm="1">
        <f t="array" ref="AN220">bdRateExtend($G220:$G225,L220:L225,$R220:$R225,W220:W225)</f>
        <v>-0.19379657648598958</v>
      </c>
      <c r="AO220" s="254" cm="1">
        <f t="array" ref="AO220">bdRateExtend($G220:$G223,M220:M223,$R220:$R223,X220:X223)</f>
        <v>-0.23925451879156634</v>
      </c>
      <c r="AP220" s="248" cm="1">
        <f t="array" ref="AP220">bdRateExtend($G220:$G225,M220:M225,$R220:$R225,X220:X225)</f>
        <v>-0.20484570399999102</v>
      </c>
    </row>
    <row r="221" spans="1:42" ht="17.100000000000001" customHeight="1" outlineLevel="4" x14ac:dyDescent="0.25">
      <c r="A221" s="222"/>
      <c r="B221" s="219"/>
      <c r="C221" s="229"/>
      <c r="D221" s="232"/>
      <c r="E221" s="235"/>
      <c r="F221" s="16">
        <v>31</v>
      </c>
      <c r="G221" s="34">
        <v>659.27800000000002</v>
      </c>
      <c r="H221" s="39">
        <v>39.133499999999998</v>
      </c>
      <c r="I221" s="39">
        <v>48.570300000000003</v>
      </c>
      <c r="J221" s="39">
        <v>48.546999999999997</v>
      </c>
      <c r="K221" s="39">
        <v>14.1396</v>
      </c>
      <c r="L221" s="39">
        <v>20.8842</v>
      </c>
      <c r="M221" s="39">
        <v>95.586799999999997</v>
      </c>
      <c r="N221" s="39"/>
      <c r="O221" s="39"/>
      <c r="P221" s="35"/>
      <c r="Q221" s="18"/>
      <c r="R221" s="34">
        <v>570.46339999999998</v>
      </c>
      <c r="S221" s="39">
        <v>39.5899</v>
      </c>
      <c r="T221" s="39">
        <v>49.111800000000002</v>
      </c>
      <c r="U221" s="39">
        <v>49.023699999999998</v>
      </c>
      <c r="V221" s="39">
        <v>14.5562</v>
      </c>
      <c r="W221" s="39">
        <v>21.415299999999998</v>
      </c>
      <c r="X221" s="39">
        <v>96.352000000000004</v>
      </c>
      <c r="Y221" s="39"/>
      <c r="Z221" s="39"/>
      <c r="AA221" s="35"/>
      <c r="AB221" s="50" t="e">
        <f t="shared" si="7"/>
        <v>#DIV/0!</v>
      </c>
      <c r="AC221" s="51" t="e">
        <f t="shared" si="7"/>
        <v>#DIV/0!</v>
      </c>
      <c r="AD221" s="19"/>
      <c r="AE221" s="19"/>
      <c r="AF221" s="285"/>
      <c r="AG221" s="240"/>
      <c r="AH221" s="242"/>
      <c r="AI221" s="242"/>
      <c r="AJ221" s="245"/>
      <c r="AK221" s="240"/>
      <c r="AL221" s="249"/>
      <c r="AM221" s="240"/>
      <c r="AN221" s="249"/>
      <c r="AO221" s="252"/>
      <c r="AP221" s="249"/>
    </row>
    <row r="222" spans="1:42" ht="17.100000000000001" customHeight="1" outlineLevel="4" x14ac:dyDescent="0.25">
      <c r="A222" s="222"/>
      <c r="B222" s="219"/>
      <c r="C222" s="229"/>
      <c r="D222" s="232"/>
      <c r="E222" s="235"/>
      <c r="F222" s="16">
        <v>39</v>
      </c>
      <c r="G222" s="34">
        <v>333.78680000000003</v>
      </c>
      <c r="H222" s="39">
        <v>36.3369</v>
      </c>
      <c r="I222" s="39">
        <v>46.950800000000001</v>
      </c>
      <c r="J222" s="39">
        <v>46.779600000000002</v>
      </c>
      <c r="K222" s="39">
        <v>11.720599999999999</v>
      </c>
      <c r="L222" s="39">
        <v>17.995699999999999</v>
      </c>
      <c r="M222" s="39">
        <v>90.036299999999997</v>
      </c>
      <c r="N222" s="39"/>
      <c r="O222" s="39"/>
      <c r="P222" s="35"/>
      <c r="Q222" s="18"/>
      <c r="R222" s="34">
        <v>296.7346</v>
      </c>
      <c r="S222" s="39">
        <v>36.816699999999997</v>
      </c>
      <c r="T222" s="39">
        <v>47.302</v>
      </c>
      <c r="U222" s="39">
        <v>47.367699999999999</v>
      </c>
      <c r="V222" s="39">
        <v>12.1213</v>
      </c>
      <c r="W222" s="39">
        <v>18.497499999999999</v>
      </c>
      <c r="X222" s="39">
        <v>91.530900000000003</v>
      </c>
      <c r="Y222" s="39"/>
      <c r="Z222" s="39"/>
      <c r="AA222" s="35"/>
      <c r="AB222" s="50" t="e">
        <f t="shared" si="7"/>
        <v>#DIV/0!</v>
      </c>
      <c r="AC222" s="51" t="e">
        <f t="shared" si="7"/>
        <v>#DIV/0!</v>
      </c>
      <c r="AD222" s="19"/>
      <c r="AE222" s="19"/>
      <c r="AF222" s="285" t="s">
        <v>127</v>
      </c>
      <c r="AG222" s="240" cm="1">
        <f t="array" ref="AG222">bdRateExtend($G221:$G224,G221:G224,$R221:$R224,R221:R224)</f>
        <v>1.543464996696553E-3</v>
      </c>
      <c r="AH222" s="242"/>
      <c r="AI222" s="242"/>
      <c r="AJ222" s="245"/>
      <c r="AK222" s="240" cm="1">
        <f t="array" ref="AK222">bdRateExtend($G221:$G224,K221:K224,$R221:$R224,V221:V224)</f>
        <v>-0.20597951059652331</v>
      </c>
      <c r="AL222" s="249"/>
      <c r="AM222" s="240" cm="1">
        <f t="array" ref="AM222">bdRateExtend($G221:$G224,L221:L224,$R221:$R224,W221:W224)</f>
        <v>-0.19779400078313469</v>
      </c>
      <c r="AN222" s="249"/>
      <c r="AO222" s="252" cm="1">
        <f t="array" ref="AO222">bdRateExtend($G221:$G224,M221:M224,$R221:$R224,X221:X224)</f>
        <v>-0.2274009130317729</v>
      </c>
      <c r="AP222" s="249"/>
    </row>
    <row r="223" spans="1:42" ht="17.100000000000001" customHeight="1" outlineLevel="4" x14ac:dyDescent="0.25">
      <c r="A223" s="222"/>
      <c r="B223" s="219"/>
      <c r="C223" s="229"/>
      <c r="D223" s="232"/>
      <c r="E223" s="235"/>
      <c r="F223" s="16">
        <v>47</v>
      </c>
      <c r="G223" s="34">
        <v>164.197</v>
      </c>
      <c r="H223" s="39">
        <v>33.936</v>
      </c>
      <c r="I223" s="39">
        <v>45.097700000000003</v>
      </c>
      <c r="J223" s="39">
        <v>45.082700000000003</v>
      </c>
      <c r="K223" s="39">
        <v>9.6350999999999996</v>
      </c>
      <c r="L223" s="39">
        <v>15.147600000000001</v>
      </c>
      <c r="M223" s="39">
        <v>81.4773</v>
      </c>
      <c r="N223" s="39"/>
      <c r="O223" s="39"/>
      <c r="P223" s="35"/>
      <c r="Q223" s="18"/>
      <c r="R223" s="34">
        <v>150.9641</v>
      </c>
      <c r="S223" s="39">
        <v>34.419199999999996</v>
      </c>
      <c r="T223" s="39">
        <v>45.571599999999997</v>
      </c>
      <c r="U223" s="39">
        <v>45.781799999999997</v>
      </c>
      <c r="V223" s="39">
        <v>9.9926999999999992</v>
      </c>
      <c r="W223" s="39">
        <v>15.618499999999999</v>
      </c>
      <c r="X223" s="39">
        <v>83.942700000000002</v>
      </c>
      <c r="Y223" s="39"/>
      <c r="Z223" s="39"/>
      <c r="AA223" s="35"/>
      <c r="AB223" s="50" t="e">
        <f t="shared" si="7"/>
        <v>#DIV/0!</v>
      </c>
      <c r="AC223" s="51" t="e">
        <f t="shared" si="7"/>
        <v>#DIV/0!</v>
      </c>
      <c r="AD223" s="19"/>
      <c r="AE223" s="19"/>
      <c r="AF223" s="285"/>
      <c r="AG223" s="240"/>
      <c r="AH223" s="242"/>
      <c r="AI223" s="242"/>
      <c r="AJ223" s="245"/>
      <c r="AK223" s="240"/>
      <c r="AL223" s="249"/>
      <c r="AM223" s="240"/>
      <c r="AN223" s="249"/>
      <c r="AO223" s="252"/>
      <c r="AP223" s="249"/>
    </row>
    <row r="224" spans="1:42" ht="17.100000000000001" customHeight="1" outlineLevel="4" x14ac:dyDescent="0.25">
      <c r="A224" s="222"/>
      <c r="B224" s="219"/>
      <c r="C224" s="229"/>
      <c r="D224" s="232"/>
      <c r="E224" s="235"/>
      <c r="F224" s="16">
        <v>55</v>
      </c>
      <c r="G224" s="34">
        <v>75.138999999999996</v>
      </c>
      <c r="H224" s="39">
        <v>31.8977</v>
      </c>
      <c r="I224" s="39">
        <v>43.580199999999998</v>
      </c>
      <c r="J224" s="39">
        <v>43.664700000000003</v>
      </c>
      <c r="K224" s="39">
        <v>8.1044999999999998</v>
      </c>
      <c r="L224" s="39">
        <v>12.651300000000001</v>
      </c>
      <c r="M224" s="39">
        <v>68.5</v>
      </c>
      <c r="N224" s="39"/>
      <c r="O224" s="39"/>
      <c r="P224" s="35"/>
      <c r="Q224" s="18"/>
      <c r="R224" s="34">
        <v>73.951300000000003</v>
      </c>
      <c r="S224" s="39">
        <v>32.365000000000002</v>
      </c>
      <c r="T224" s="39">
        <v>44.008200000000002</v>
      </c>
      <c r="U224" s="39">
        <v>44.462899999999998</v>
      </c>
      <c r="V224" s="39">
        <v>8.3939000000000004</v>
      </c>
      <c r="W224" s="39">
        <v>13.065</v>
      </c>
      <c r="X224" s="39">
        <v>72.115600000000001</v>
      </c>
      <c r="Y224" s="39"/>
      <c r="Z224" s="39"/>
      <c r="AA224" s="35"/>
      <c r="AB224" s="50" t="e">
        <f t="shared" si="7"/>
        <v>#DIV/0!</v>
      </c>
      <c r="AC224" s="51" t="e">
        <f t="shared" si="7"/>
        <v>#DIV/0!</v>
      </c>
      <c r="AD224" s="19"/>
      <c r="AE224" s="19"/>
      <c r="AF224" s="285" t="s">
        <v>128</v>
      </c>
      <c r="AG224" s="240" cm="1">
        <f t="array" ref="AG224">bdRateExtend($G222:$G225,G222:G225,$R222:$R225,R222:R225)</f>
        <v>-7.3353389505481648E-4</v>
      </c>
      <c r="AH224" s="242"/>
      <c r="AI224" s="242"/>
      <c r="AJ224" s="245"/>
      <c r="AK224" s="240" cm="1">
        <f t="array" ref="AK224">bdRateExtend($G222:$G225,K222:K225,$R222:$R225,V222:V225)</f>
        <v>-0.19066492133467661</v>
      </c>
      <c r="AL224" s="249"/>
      <c r="AM224" s="240" cm="1">
        <f t="array" ref="AM224">bdRateExtend($G222:$G225,L222:L225,$R222:$R225,W222:W225)</f>
        <v>-0.169586709062442</v>
      </c>
      <c r="AN224" s="249"/>
      <c r="AO224" s="252" cm="1">
        <f t="array" ref="AO224">bdRateExtend($G222:$G225,M222:M225,$R222:$R225,X222:X225)</f>
        <v>-0.19699586296524285</v>
      </c>
      <c r="AP224" s="249"/>
    </row>
    <row r="225" spans="1:42" ht="17.100000000000001" customHeight="1" outlineLevel="4" thickBot="1" x14ac:dyDescent="0.3">
      <c r="A225" s="223"/>
      <c r="B225" s="220"/>
      <c r="C225" s="230"/>
      <c r="D225" s="233"/>
      <c r="E225" s="236"/>
      <c r="F225" s="9">
        <v>63</v>
      </c>
      <c r="G225" s="36">
        <v>32.367600000000003</v>
      </c>
      <c r="H225" s="37">
        <v>29.6844</v>
      </c>
      <c r="I225" s="37">
        <v>41.847700000000003</v>
      </c>
      <c r="J225" s="37">
        <v>42.527900000000002</v>
      </c>
      <c r="K225" s="37">
        <v>6.9886999999999997</v>
      </c>
      <c r="L225" s="37">
        <v>10.494199999999999</v>
      </c>
      <c r="M225" s="37">
        <v>49.503599999999999</v>
      </c>
      <c r="N225" s="37"/>
      <c r="O225" s="37"/>
      <c r="P225" s="38"/>
      <c r="Q225" s="18"/>
      <c r="R225" s="36">
        <v>32.6646</v>
      </c>
      <c r="S225" s="37">
        <v>30.1479</v>
      </c>
      <c r="T225" s="37">
        <v>42.1494</v>
      </c>
      <c r="U225" s="37">
        <v>42.850200000000001</v>
      </c>
      <c r="V225" s="37">
        <v>7.1978999999999997</v>
      </c>
      <c r="W225" s="37">
        <v>10.833399999999999</v>
      </c>
      <c r="X225" s="37">
        <v>54.086399999999998</v>
      </c>
      <c r="Y225" s="37"/>
      <c r="Z225" s="37"/>
      <c r="AA225" s="38"/>
      <c r="AB225" s="52" t="e">
        <f t="shared" si="7"/>
        <v>#DIV/0!</v>
      </c>
      <c r="AC225" s="53" t="e">
        <f t="shared" si="7"/>
        <v>#DIV/0!</v>
      </c>
      <c r="AD225" s="19"/>
      <c r="AE225" s="19"/>
      <c r="AF225" s="286"/>
      <c r="AG225" s="247"/>
      <c r="AH225" s="243"/>
      <c r="AI225" s="243"/>
      <c r="AJ225" s="246"/>
      <c r="AK225" s="247"/>
      <c r="AL225" s="250"/>
      <c r="AM225" s="247"/>
      <c r="AN225" s="250"/>
      <c r="AO225" s="253"/>
      <c r="AP225" s="250"/>
    </row>
    <row r="226" spans="1:42" ht="17.100000000000001" customHeight="1" outlineLevel="5" x14ac:dyDescent="0.25">
      <c r="A226" s="221" t="s">
        <v>108</v>
      </c>
      <c r="B226" s="218" t="s">
        <v>2</v>
      </c>
      <c r="C226" s="228" t="s">
        <v>26</v>
      </c>
      <c r="D226" s="231">
        <v>60</v>
      </c>
      <c r="E226" s="234">
        <v>8</v>
      </c>
      <c r="F226" s="7">
        <v>23</v>
      </c>
      <c r="G226" s="31"/>
      <c r="H226" s="32"/>
      <c r="I226" s="32"/>
      <c r="J226" s="32"/>
      <c r="K226" s="32"/>
      <c r="L226" s="32"/>
      <c r="M226" s="32"/>
      <c r="N226" s="32"/>
      <c r="O226" s="32"/>
      <c r="P226" s="33"/>
      <c r="Q226" s="18"/>
      <c r="R226" s="31"/>
      <c r="S226" s="32"/>
      <c r="T226" s="32"/>
      <c r="U226" s="32"/>
      <c r="V226" s="32"/>
      <c r="W226" s="32"/>
      <c r="X226" s="32"/>
      <c r="Y226" s="32"/>
      <c r="Z226" s="32"/>
      <c r="AA226" s="33"/>
      <c r="AB226" s="48" t="e">
        <f t="shared" si="7"/>
        <v>#DIV/0!</v>
      </c>
      <c r="AC226" s="49" t="e">
        <f t="shared" si="7"/>
        <v>#DIV/0!</v>
      </c>
      <c r="AD226" s="19"/>
      <c r="AE226" s="19"/>
      <c r="AF226" s="284" t="s">
        <v>126</v>
      </c>
      <c r="AG226" s="239" t="e" cm="1">
        <f t="array" ref="AG226">bdRateExtend($G226:$G229,G226:G229,$R226:$R229,R226:R229)</f>
        <v>#VALUE!</v>
      </c>
      <c r="AH226" s="241" t="e" cm="1">
        <f t="array" ref="AH226">bdRateExtend($G226:$G231,H226:H231,$R226:$R231,S226:S231)</f>
        <v>#VALUE!</v>
      </c>
      <c r="AI226" s="241" t="e" cm="1">
        <f t="array" ref="AI226">bdRateExtend($G226:$G231,I226:I231,$R226:$R231,T226:T231)</f>
        <v>#VALUE!</v>
      </c>
      <c r="AJ226" s="244" t="e" cm="1">
        <f t="array" ref="AJ226">bdRateExtend($G226:$G231,J226:J231,$R226:$R231,U226:U231)</f>
        <v>#VALUE!</v>
      </c>
      <c r="AK226" s="239" t="e" cm="1">
        <f t="array" ref="AK226">bdRateExtend($G226:$G229,K226:K229,$R226:$R229,V226:V229)</f>
        <v>#VALUE!</v>
      </c>
      <c r="AL226" s="248" t="e" cm="1">
        <f t="array" ref="AL226">bdRateExtend($G226:$G231,K226:K231,$R226:$R231,V226:V231)</f>
        <v>#VALUE!</v>
      </c>
      <c r="AM226" s="239" t="e" cm="1">
        <f t="array" ref="AM226">bdRateExtend($G226:$G229,L226:L229,$R226:$R229,W226:W229)</f>
        <v>#VALUE!</v>
      </c>
      <c r="AN226" s="248" t="e" cm="1">
        <f t="array" ref="AN226">bdRateExtend($G226:$G231,L226:L231,$R226:$R231,W226:W231)</f>
        <v>#VALUE!</v>
      </c>
      <c r="AO226" s="254" t="e" cm="1">
        <f t="array" ref="AO226">bdRateExtend($G226:$G229,M226:M229,$R226:$R229,X226:X229)</f>
        <v>#VALUE!</v>
      </c>
      <c r="AP226" s="248" t="e" cm="1">
        <f t="array" ref="AP226">bdRateExtend($G226:$G231,M226:M231,$R226:$R231,X226:X231)</f>
        <v>#VALUE!</v>
      </c>
    </row>
    <row r="227" spans="1:42" ht="17.100000000000001" customHeight="1" outlineLevel="5" x14ac:dyDescent="0.25">
      <c r="A227" s="222"/>
      <c r="B227" s="219"/>
      <c r="C227" s="229"/>
      <c r="D227" s="232"/>
      <c r="E227" s="235"/>
      <c r="F227" s="16">
        <v>31</v>
      </c>
      <c r="G227" s="34"/>
      <c r="H227" s="39"/>
      <c r="I227" s="39"/>
      <c r="J227" s="39"/>
      <c r="K227" s="39"/>
      <c r="L227" s="39"/>
      <c r="M227" s="39"/>
      <c r="N227" s="39"/>
      <c r="O227" s="39"/>
      <c r="P227" s="35"/>
      <c r="Q227" s="18"/>
      <c r="R227" s="34"/>
      <c r="S227" s="39"/>
      <c r="T227" s="39"/>
      <c r="U227" s="39"/>
      <c r="V227" s="39"/>
      <c r="W227" s="39"/>
      <c r="X227" s="39"/>
      <c r="Y227" s="39"/>
      <c r="Z227" s="39"/>
      <c r="AA227" s="35"/>
      <c r="AB227" s="50" t="e">
        <f t="shared" si="7"/>
        <v>#DIV/0!</v>
      </c>
      <c r="AC227" s="51" t="e">
        <f t="shared" si="7"/>
        <v>#DIV/0!</v>
      </c>
      <c r="AD227" s="19"/>
      <c r="AE227" s="19"/>
      <c r="AF227" s="285"/>
      <c r="AG227" s="240"/>
      <c r="AH227" s="242"/>
      <c r="AI227" s="242"/>
      <c r="AJ227" s="245"/>
      <c r="AK227" s="240"/>
      <c r="AL227" s="249"/>
      <c r="AM227" s="240"/>
      <c r="AN227" s="249"/>
      <c r="AO227" s="252"/>
      <c r="AP227" s="249"/>
    </row>
    <row r="228" spans="1:42" ht="17.100000000000001" customHeight="1" outlineLevel="5" x14ac:dyDescent="0.25">
      <c r="A228" s="222"/>
      <c r="B228" s="219"/>
      <c r="C228" s="229"/>
      <c r="D228" s="232"/>
      <c r="E228" s="235"/>
      <c r="F228" s="16">
        <v>39</v>
      </c>
      <c r="G228" s="34"/>
      <c r="H228" s="39"/>
      <c r="I228" s="39"/>
      <c r="J228" s="39"/>
      <c r="K228" s="39"/>
      <c r="L228" s="39"/>
      <c r="M228" s="39"/>
      <c r="N228" s="39"/>
      <c r="O228" s="39"/>
      <c r="P228" s="35"/>
      <c r="Q228" s="18"/>
      <c r="R228" s="34"/>
      <c r="S228" s="39"/>
      <c r="T228" s="39"/>
      <c r="U228" s="39"/>
      <c r="V228" s="39"/>
      <c r="W228" s="39"/>
      <c r="X228" s="39"/>
      <c r="Y228" s="39"/>
      <c r="Z228" s="39"/>
      <c r="AA228" s="35"/>
      <c r="AB228" s="50" t="e">
        <f t="shared" si="7"/>
        <v>#DIV/0!</v>
      </c>
      <c r="AC228" s="51" t="e">
        <f t="shared" si="7"/>
        <v>#DIV/0!</v>
      </c>
      <c r="AD228" s="19"/>
      <c r="AE228" s="19"/>
      <c r="AF228" s="285" t="s">
        <v>127</v>
      </c>
      <c r="AG228" s="240" t="e" cm="1">
        <f t="array" ref="AG228">bdRateExtend($G227:$G230,G227:G230,$R227:$R230,R227:R230)</f>
        <v>#VALUE!</v>
      </c>
      <c r="AH228" s="242"/>
      <c r="AI228" s="242"/>
      <c r="AJ228" s="245"/>
      <c r="AK228" s="240" t="e" cm="1">
        <f t="array" ref="AK228">bdRateExtend($G227:$G230,K227:K230,$R227:$R230,V227:V230)</f>
        <v>#VALUE!</v>
      </c>
      <c r="AL228" s="249"/>
      <c r="AM228" s="240" t="e" cm="1">
        <f t="array" ref="AM228">bdRateExtend($G227:$G230,L227:L230,$R227:$R230,W227:W230)</f>
        <v>#VALUE!</v>
      </c>
      <c r="AN228" s="249"/>
      <c r="AO228" s="252" t="e" cm="1">
        <f t="array" ref="AO228">bdRateExtend($G227:$G230,M227:M230,$R227:$R230,X227:X230)</f>
        <v>#VALUE!</v>
      </c>
      <c r="AP228" s="249"/>
    </row>
    <row r="229" spans="1:42" ht="17.100000000000001" customHeight="1" outlineLevel="5" x14ac:dyDescent="0.25">
      <c r="A229" s="222"/>
      <c r="B229" s="219"/>
      <c r="C229" s="229"/>
      <c r="D229" s="232"/>
      <c r="E229" s="235"/>
      <c r="F229" s="16">
        <v>47</v>
      </c>
      <c r="G229" s="34"/>
      <c r="H229" s="39"/>
      <c r="I229" s="39"/>
      <c r="J229" s="39"/>
      <c r="K229" s="39"/>
      <c r="L229" s="39"/>
      <c r="M229" s="39"/>
      <c r="N229" s="39"/>
      <c r="O229" s="39"/>
      <c r="P229" s="35"/>
      <c r="Q229" s="18"/>
      <c r="R229" s="34"/>
      <c r="S229" s="39"/>
      <c r="T229" s="39"/>
      <c r="U229" s="39"/>
      <c r="V229" s="39"/>
      <c r="W229" s="39"/>
      <c r="X229" s="39"/>
      <c r="Y229" s="39"/>
      <c r="Z229" s="39"/>
      <c r="AA229" s="35"/>
      <c r="AB229" s="50" t="e">
        <f t="shared" si="7"/>
        <v>#DIV/0!</v>
      </c>
      <c r="AC229" s="51" t="e">
        <f t="shared" si="7"/>
        <v>#DIV/0!</v>
      </c>
      <c r="AD229" s="19"/>
      <c r="AE229" s="19"/>
      <c r="AF229" s="285"/>
      <c r="AG229" s="240"/>
      <c r="AH229" s="242"/>
      <c r="AI229" s="242"/>
      <c r="AJ229" s="245"/>
      <c r="AK229" s="240"/>
      <c r="AL229" s="249"/>
      <c r="AM229" s="240"/>
      <c r="AN229" s="249"/>
      <c r="AO229" s="252"/>
      <c r="AP229" s="249"/>
    </row>
    <row r="230" spans="1:42" ht="17.100000000000001" customHeight="1" outlineLevel="5" x14ac:dyDescent="0.25">
      <c r="A230" s="222"/>
      <c r="B230" s="219"/>
      <c r="C230" s="229"/>
      <c r="D230" s="232"/>
      <c r="E230" s="235"/>
      <c r="F230" s="16">
        <v>55</v>
      </c>
      <c r="G230" s="34"/>
      <c r="H230" s="39"/>
      <c r="I230" s="39"/>
      <c r="J230" s="39"/>
      <c r="K230" s="39"/>
      <c r="L230" s="39"/>
      <c r="M230" s="39"/>
      <c r="N230" s="39"/>
      <c r="O230" s="39"/>
      <c r="P230" s="35"/>
      <c r="Q230" s="18"/>
      <c r="R230" s="34"/>
      <c r="S230" s="39"/>
      <c r="T230" s="39"/>
      <c r="U230" s="39"/>
      <c r="V230" s="39"/>
      <c r="W230" s="39"/>
      <c r="X230" s="39"/>
      <c r="Y230" s="39"/>
      <c r="Z230" s="39"/>
      <c r="AA230" s="35"/>
      <c r="AB230" s="50" t="e">
        <f t="shared" si="7"/>
        <v>#DIV/0!</v>
      </c>
      <c r="AC230" s="51" t="e">
        <f t="shared" si="7"/>
        <v>#DIV/0!</v>
      </c>
      <c r="AD230" s="19"/>
      <c r="AE230" s="19"/>
      <c r="AF230" s="285" t="s">
        <v>128</v>
      </c>
      <c r="AG230" s="240" t="e" cm="1">
        <f t="array" ref="AG230">bdRateExtend($G228:$G231,G228:G231,$R228:$R231,R228:R231)</f>
        <v>#VALUE!</v>
      </c>
      <c r="AH230" s="242"/>
      <c r="AI230" s="242"/>
      <c r="AJ230" s="245"/>
      <c r="AK230" s="240" t="e" cm="1">
        <f t="array" ref="AK230">bdRateExtend($G228:$G231,K228:K231,$R228:$R231,V228:V231)</f>
        <v>#VALUE!</v>
      </c>
      <c r="AL230" s="249"/>
      <c r="AM230" s="240" t="e" cm="1">
        <f t="array" ref="AM230">bdRateExtend($G228:$G231,L228:L231,$R228:$R231,W228:W231)</f>
        <v>#VALUE!</v>
      </c>
      <c r="AN230" s="249"/>
      <c r="AO230" s="252" t="e" cm="1">
        <f t="array" ref="AO230">bdRateExtend($G228:$G231,M228:M231,$R228:$R231,X228:X231)</f>
        <v>#VALUE!</v>
      </c>
      <c r="AP230" s="249"/>
    </row>
    <row r="231" spans="1:42" ht="17.100000000000001" customHeight="1" outlineLevel="5" thickBot="1" x14ac:dyDescent="0.3">
      <c r="A231" s="222"/>
      <c r="B231" s="220"/>
      <c r="C231" s="230"/>
      <c r="D231" s="233"/>
      <c r="E231" s="236"/>
      <c r="F231" s="9">
        <v>63</v>
      </c>
      <c r="G231" s="36"/>
      <c r="H231" s="37"/>
      <c r="I231" s="37"/>
      <c r="J231" s="37"/>
      <c r="K231" s="37"/>
      <c r="L231" s="37"/>
      <c r="M231" s="37"/>
      <c r="N231" s="37"/>
      <c r="O231" s="37"/>
      <c r="P231" s="38"/>
      <c r="Q231" s="18"/>
      <c r="R231" s="36"/>
      <c r="S231" s="37"/>
      <c r="T231" s="37"/>
      <c r="U231" s="37"/>
      <c r="V231" s="37"/>
      <c r="W231" s="37"/>
      <c r="X231" s="37"/>
      <c r="Y231" s="37"/>
      <c r="Z231" s="37"/>
      <c r="AA231" s="38"/>
      <c r="AB231" s="52" t="e">
        <f t="shared" si="7"/>
        <v>#DIV/0!</v>
      </c>
      <c r="AC231" s="53" t="e">
        <f t="shared" si="7"/>
        <v>#DIV/0!</v>
      </c>
      <c r="AD231" s="19"/>
      <c r="AE231" s="19"/>
      <c r="AF231" s="286"/>
      <c r="AG231" s="247"/>
      <c r="AH231" s="243"/>
      <c r="AI231" s="243"/>
      <c r="AJ231" s="246"/>
      <c r="AK231" s="247"/>
      <c r="AL231" s="250"/>
      <c r="AM231" s="247"/>
      <c r="AN231" s="250"/>
      <c r="AO231" s="253"/>
      <c r="AP231" s="250"/>
    </row>
    <row r="232" spans="1:42" ht="17.100000000000001" customHeight="1" outlineLevel="5" x14ac:dyDescent="0.25">
      <c r="A232" s="222"/>
      <c r="B232" s="218" t="s">
        <v>96</v>
      </c>
      <c r="C232" s="228" t="s">
        <v>74</v>
      </c>
      <c r="D232" s="231">
        <v>60</v>
      </c>
      <c r="E232" s="234">
        <v>8</v>
      </c>
      <c r="F232" s="7">
        <v>23</v>
      </c>
      <c r="G232" s="31"/>
      <c r="H232" s="32"/>
      <c r="I232" s="32"/>
      <c r="J232" s="32"/>
      <c r="K232" s="32"/>
      <c r="L232" s="32"/>
      <c r="M232" s="32"/>
      <c r="N232" s="32"/>
      <c r="O232" s="32"/>
      <c r="P232" s="33"/>
      <c r="Q232" s="18"/>
      <c r="R232" s="31"/>
      <c r="S232" s="32"/>
      <c r="T232" s="32"/>
      <c r="U232" s="32"/>
      <c r="V232" s="32"/>
      <c r="W232" s="32"/>
      <c r="X232" s="32"/>
      <c r="Y232" s="32"/>
      <c r="Z232" s="32"/>
      <c r="AA232" s="33"/>
      <c r="AB232" s="48" t="e">
        <f t="shared" si="7"/>
        <v>#DIV/0!</v>
      </c>
      <c r="AC232" s="49" t="e">
        <f t="shared" si="7"/>
        <v>#DIV/0!</v>
      </c>
      <c r="AD232" s="19"/>
      <c r="AE232" s="19"/>
      <c r="AF232" s="284" t="s">
        <v>126</v>
      </c>
      <c r="AG232" s="239" t="e" cm="1">
        <f t="array" ref="AG232">bdRateExtend($G232:$G235,G232:G235,$R232:$R235,R232:R235)</f>
        <v>#VALUE!</v>
      </c>
      <c r="AH232" s="241" t="e" cm="1">
        <f t="array" ref="AH232">bdRateExtend($G232:$G237,H232:H237,$R232:$R237,S232:S237)</f>
        <v>#VALUE!</v>
      </c>
      <c r="AI232" s="241" t="e" cm="1">
        <f t="array" ref="AI232">bdRateExtend($G232:$G237,I232:I237,$R232:$R237,T232:T237)</f>
        <v>#VALUE!</v>
      </c>
      <c r="AJ232" s="244" t="e" cm="1">
        <f t="array" ref="AJ232">bdRateExtend($G232:$G237,J232:J237,$R232:$R237,U232:U237)</f>
        <v>#VALUE!</v>
      </c>
      <c r="AK232" s="239" t="e" cm="1">
        <f t="array" ref="AK232">bdRateExtend($G232:$G235,K232:K235,$R232:$R235,V232:V235)</f>
        <v>#VALUE!</v>
      </c>
      <c r="AL232" s="248" t="e" cm="1">
        <f t="array" ref="AL232">bdRateExtend($G232:$G237,K232:K237,$R232:$R237,V232:V237)</f>
        <v>#VALUE!</v>
      </c>
      <c r="AM232" s="239" t="e" cm="1">
        <f t="array" ref="AM232">bdRateExtend($G232:$G235,L232:L235,$R232:$R235,W232:W235)</f>
        <v>#VALUE!</v>
      </c>
      <c r="AN232" s="248" t="e" cm="1">
        <f t="array" ref="AN232">bdRateExtend($G232:$G237,L232:L237,$R232:$R237,W232:W237)</f>
        <v>#VALUE!</v>
      </c>
      <c r="AO232" s="254" t="e" cm="1">
        <f t="array" ref="AO232">bdRateExtend($G232:$G235,M232:M235,$R232:$R235,X232:X235)</f>
        <v>#VALUE!</v>
      </c>
      <c r="AP232" s="248" t="e" cm="1">
        <f t="array" ref="AP232">bdRateExtend($G232:$G237,M232:M237,$R232:$R237,X232:X237)</f>
        <v>#VALUE!</v>
      </c>
    </row>
    <row r="233" spans="1:42" ht="17.100000000000001" customHeight="1" outlineLevel="5" x14ac:dyDescent="0.25">
      <c r="A233" s="222"/>
      <c r="B233" s="219"/>
      <c r="C233" s="229"/>
      <c r="D233" s="232"/>
      <c r="E233" s="235"/>
      <c r="F233" s="16">
        <v>31</v>
      </c>
      <c r="G233" s="34"/>
      <c r="H233" s="39"/>
      <c r="I233" s="39"/>
      <c r="J233" s="39"/>
      <c r="K233" s="39"/>
      <c r="L233" s="39"/>
      <c r="M233" s="39"/>
      <c r="N233" s="39"/>
      <c r="O233" s="39"/>
      <c r="P233" s="35"/>
      <c r="Q233" s="18"/>
      <c r="R233" s="34"/>
      <c r="S233" s="39"/>
      <c r="T233" s="39"/>
      <c r="U233" s="39"/>
      <c r="V233" s="39"/>
      <c r="W233" s="39"/>
      <c r="X233" s="39"/>
      <c r="Y233" s="39"/>
      <c r="Z233" s="39"/>
      <c r="AA233" s="35"/>
      <c r="AB233" s="50" t="e">
        <f t="shared" si="7"/>
        <v>#DIV/0!</v>
      </c>
      <c r="AC233" s="51" t="e">
        <f t="shared" si="7"/>
        <v>#DIV/0!</v>
      </c>
      <c r="AD233" s="19"/>
      <c r="AE233" s="19"/>
      <c r="AF233" s="285"/>
      <c r="AG233" s="240"/>
      <c r="AH233" s="242"/>
      <c r="AI233" s="242"/>
      <c r="AJ233" s="245"/>
      <c r="AK233" s="240"/>
      <c r="AL233" s="249"/>
      <c r="AM233" s="240"/>
      <c r="AN233" s="249"/>
      <c r="AO233" s="252"/>
      <c r="AP233" s="249"/>
    </row>
    <row r="234" spans="1:42" ht="17.100000000000001" customHeight="1" outlineLevel="5" x14ac:dyDescent="0.25">
      <c r="A234" s="222"/>
      <c r="B234" s="219"/>
      <c r="C234" s="229"/>
      <c r="D234" s="232"/>
      <c r="E234" s="235"/>
      <c r="F234" s="16">
        <v>39</v>
      </c>
      <c r="G234" s="34"/>
      <c r="H234" s="39"/>
      <c r="I234" s="39"/>
      <c r="J234" s="39"/>
      <c r="K234" s="39"/>
      <c r="L234" s="39"/>
      <c r="M234" s="39"/>
      <c r="N234" s="39"/>
      <c r="O234" s="39"/>
      <c r="P234" s="35"/>
      <c r="Q234" s="18"/>
      <c r="R234" s="34"/>
      <c r="S234" s="39"/>
      <c r="T234" s="39"/>
      <c r="U234" s="39"/>
      <c r="V234" s="39"/>
      <c r="W234" s="39"/>
      <c r="X234" s="39"/>
      <c r="Y234" s="39"/>
      <c r="Z234" s="39"/>
      <c r="AA234" s="35"/>
      <c r="AB234" s="50" t="e">
        <f t="shared" si="7"/>
        <v>#DIV/0!</v>
      </c>
      <c r="AC234" s="51" t="e">
        <f t="shared" si="7"/>
        <v>#DIV/0!</v>
      </c>
      <c r="AD234" s="19"/>
      <c r="AE234" s="19"/>
      <c r="AF234" s="285" t="s">
        <v>127</v>
      </c>
      <c r="AG234" s="240" t="e" cm="1">
        <f t="array" ref="AG234">bdRateExtend($G233:$G236,G233:G236,$R233:$R236,R233:R236)</f>
        <v>#VALUE!</v>
      </c>
      <c r="AH234" s="242"/>
      <c r="AI234" s="242"/>
      <c r="AJ234" s="245"/>
      <c r="AK234" s="240" t="e" cm="1">
        <f t="array" ref="AK234">bdRateExtend($G233:$G236,K233:K236,$R233:$R236,V233:V236)</f>
        <v>#VALUE!</v>
      </c>
      <c r="AL234" s="249"/>
      <c r="AM234" s="240" t="e" cm="1">
        <f t="array" ref="AM234">bdRateExtend($G233:$G236,L233:L236,$R233:$R236,W233:W236)</f>
        <v>#VALUE!</v>
      </c>
      <c r="AN234" s="249"/>
      <c r="AO234" s="252" t="e" cm="1">
        <f t="array" ref="AO234">bdRateExtend($G233:$G236,M233:M236,$R233:$R236,X233:X236)</f>
        <v>#VALUE!</v>
      </c>
      <c r="AP234" s="249"/>
    </row>
    <row r="235" spans="1:42" ht="17.100000000000001" customHeight="1" outlineLevel="5" x14ac:dyDescent="0.25">
      <c r="A235" s="222"/>
      <c r="B235" s="219"/>
      <c r="C235" s="229"/>
      <c r="D235" s="232"/>
      <c r="E235" s="235"/>
      <c r="F235" s="16">
        <v>47</v>
      </c>
      <c r="G235" s="34"/>
      <c r="H235" s="39"/>
      <c r="I235" s="39"/>
      <c r="J235" s="39"/>
      <c r="K235" s="39"/>
      <c r="L235" s="39"/>
      <c r="M235" s="39"/>
      <c r="N235" s="39"/>
      <c r="O235" s="39"/>
      <c r="P235" s="35"/>
      <c r="Q235" s="18"/>
      <c r="R235" s="34"/>
      <c r="S235" s="39"/>
      <c r="T235" s="39"/>
      <c r="U235" s="39"/>
      <c r="V235" s="39"/>
      <c r="W235" s="39"/>
      <c r="X235" s="39"/>
      <c r="Y235" s="39"/>
      <c r="Z235" s="39"/>
      <c r="AA235" s="35"/>
      <c r="AB235" s="50" t="e">
        <f t="shared" si="7"/>
        <v>#DIV/0!</v>
      </c>
      <c r="AC235" s="51" t="e">
        <f t="shared" si="7"/>
        <v>#DIV/0!</v>
      </c>
      <c r="AD235" s="19"/>
      <c r="AE235" s="19"/>
      <c r="AF235" s="285"/>
      <c r="AG235" s="240"/>
      <c r="AH235" s="242"/>
      <c r="AI235" s="242"/>
      <c r="AJ235" s="245"/>
      <c r="AK235" s="240"/>
      <c r="AL235" s="249"/>
      <c r="AM235" s="240"/>
      <c r="AN235" s="249"/>
      <c r="AO235" s="252"/>
      <c r="AP235" s="249"/>
    </row>
    <row r="236" spans="1:42" ht="17.100000000000001" customHeight="1" outlineLevel="5" x14ac:dyDescent="0.25">
      <c r="A236" s="222"/>
      <c r="B236" s="219"/>
      <c r="C236" s="229"/>
      <c r="D236" s="232"/>
      <c r="E236" s="235"/>
      <c r="F236" s="16">
        <v>55</v>
      </c>
      <c r="G236" s="34"/>
      <c r="H236" s="39"/>
      <c r="I236" s="39"/>
      <c r="J236" s="39"/>
      <c r="K236" s="39"/>
      <c r="L236" s="39"/>
      <c r="M236" s="39"/>
      <c r="N236" s="39"/>
      <c r="O236" s="39"/>
      <c r="P236" s="35"/>
      <c r="Q236" s="18"/>
      <c r="R236" s="34"/>
      <c r="S236" s="39"/>
      <c r="T236" s="39"/>
      <c r="U236" s="39"/>
      <c r="V236" s="39"/>
      <c r="W236" s="39"/>
      <c r="X236" s="39"/>
      <c r="Y236" s="39"/>
      <c r="Z236" s="39"/>
      <c r="AA236" s="35"/>
      <c r="AB236" s="50" t="e">
        <f t="shared" si="7"/>
        <v>#DIV/0!</v>
      </c>
      <c r="AC236" s="51" t="e">
        <f t="shared" si="7"/>
        <v>#DIV/0!</v>
      </c>
      <c r="AD236" s="19"/>
      <c r="AE236" s="19"/>
      <c r="AF236" s="285" t="s">
        <v>128</v>
      </c>
      <c r="AG236" s="240" t="e" cm="1">
        <f t="array" ref="AG236">bdRateExtend($G234:$G237,G234:G237,$R234:$R237,R234:R237)</f>
        <v>#VALUE!</v>
      </c>
      <c r="AH236" s="242"/>
      <c r="AI236" s="242"/>
      <c r="AJ236" s="245"/>
      <c r="AK236" s="240" t="e" cm="1">
        <f t="array" ref="AK236">bdRateExtend($G234:$G237,K234:K237,$R234:$R237,V234:V237)</f>
        <v>#VALUE!</v>
      </c>
      <c r="AL236" s="249"/>
      <c r="AM236" s="240" t="e" cm="1">
        <f t="array" ref="AM236">bdRateExtend($G234:$G237,L234:L237,$R234:$R237,W234:W237)</f>
        <v>#VALUE!</v>
      </c>
      <c r="AN236" s="249"/>
      <c r="AO236" s="252" t="e" cm="1">
        <f t="array" ref="AO236">bdRateExtend($G234:$G237,M234:M237,$R234:$R237,X234:X237)</f>
        <v>#VALUE!</v>
      </c>
      <c r="AP236" s="249"/>
    </row>
    <row r="237" spans="1:42" ht="17.100000000000001" customHeight="1" outlineLevel="5" thickBot="1" x14ac:dyDescent="0.3">
      <c r="A237" s="222"/>
      <c r="B237" s="220"/>
      <c r="C237" s="230"/>
      <c r="D237" s="233"/>
      <c r="E237" s="236"/>
      <c r="F237" s="9">
        <v>63</v>
      </c>
      <c r="G237" s="36"/>
      <c r="H237" s="37"/>
      <c r="I237" s="37"/>
      <c r="J237" s="37"/>
      <c r="K237" s="37"/>
      <c r="L237" s="37"/>
      <c r="M237" s="37"/>
      <c r="N237" s="37"/>
      <c r="O237" s="37"/>
      <c r="P237" s="38"/>
      <c r="Q237" s="18"/>
      <c r="R237" s="36"/>
      <c r="S237" s="37"/>
      <c r="T237" s="37"/>
      <c r="U237" s="37"/>
      <c r="V237" s="37"/>
      <c r="W237" s="37"/>
      <c r="X237" s="37"/>
      <c r="Y237" s="37"/>
      <c r="Z237" s="37"/>
      <c r="AA237" s="38"/>
      <c r="AB237" s="52" t="e">
        <f t="shared" si="7"/>
        <v>#DIV/0!</v>
      </c>
      <c r="AC237" s="53" t="e">
        <f t="shared" si="7"/>
        <v>#DIV/0!</v>
      </c>
      <c r="AD237" s="19"/>
      <c r="AE237" s="19"/>
      <c r="AF237" s="286"/>
      <c r="AG237" s="247"/>
      <c r="AH237" s="243"/>
      <c r="AI237" s="243"/>
      <c r="AJ237" s="246"/>
      <c r="AK237" s="247"/>
      <c r="AL237" s="250"/>
      <c r="AM237" s="247"/>
      <c r="AN237" s="250"/>
      <c r="AO237" s="253"/>
      <c r="AP237" s="250"/>
    </row>
    <row r="238" spans="1:42" ht="17.100000000000001" customHeight="1" outlineLevel="5" x14ac:dyDescent="0.25">
      <c r="A238" s="222"/>
      <c r="B238" s="218" t="s">
        <v>93</v>
      </c>
      <c r="C238" s="228" t="s">
        <v>75</v>
      </c>
      <c r="D238" s="231">
        <v>25</v>
      </c>
      <c r="E238" s="234">
        <v>8</v>
      </c>
      <c r="F238" s="7">
        <v>23</v>
      </c>
      <c r="G238" s="31"/>
      <c r="H238" s="32"/>
      <c r="I238" s="32"/>
      <c r="J238" s="32"/>
      <c r="K238" s="32"/>
      <c r="L238" s="32"/>
      <c r="M238" s="32"/>
      <c r="N238" s="32"/>
      <c r="O238" s="32"/>
      <c r="P238" s="33"/>
      <c r="Q238" s="18"/>
      <c r="R238" s="31"/>
      <c r="S238" s="32"/>
      <c r="T238" s="32"/>
      <c r="U238" s="32"/>
      <c r="V238" s="32"/>
      <c r="W238" s="32"/>
      <c r="X238" s="32"/>
      <c r="Y238" s="32"/>
      <c r="Z238" s="32"/>
      <c r="AA238" s="33"/>
      <c r="AB238" s="48" t="e">
        <f t="shared" si="7"/>
        <v>#DIV/0!</v>
      </c>
      <c r="AC238" s="49" t="e">
        <f t="shared" si="7"/>
        <v>#DIV/0!</v>
      </c>
      <c r="AD238" s="19"/>
      <c r="AE238" s="19"/>
      <c r="AF238" s="284" t="s">
        <v>126</v>
      </c>
      <c r="AG238" s="239" t="e" cm="1">
        <f t="array" ref="AG238">bdRateExtend($G238:$G241,G238:G241,$R238:$R241,R238:R241)</f>
        <v>#VALUE!</v>
      </c>
      <c r="AH238" s="241" t="e" cm="1">
        <f t="array" ref="AH238">bdRateExtend($G238:$G243,H238:H243,$R238:$R243,S238:S243)</f>
        <v>#VALUE!</v>
      </c>
      <c r="AI238" s="241" t="e" cm="1">
        <f t="array" ref="AI238">bdRateExtend($G238:$G243,I238:I243,$R238:$R243,T238:T243)</f>
        <v>#VALUE!</v>
      </c>
      <c r="AJ238" s="244" t="e" cm="1">
        <f t="array" ref="AJ238">bdRateExtend($G238:$G243,J238:J243,$R238:$R243,U238:U243)</f>
        <v>#VALUE!</v>
      </c>
      <c r="AK238" s="239" t="e" cm="1">
        <f t="array" ref="AK238">bdRateExtend($G238:$G241,K238:K241,$R238:$R241,V238:V241)</f>
        <v>#VALUE!</v>
      </c>
      <c r="AL238" s="248" t="e" cm="1">
        <f t="array" ref="AL238">bdRateExtend($G238:$G243,K238:K243,$R238:$R243,V238:V243)</f>
        <v>#VALUE!</v>
      </c>
      <c r="AM238" s="239" t="e" cm="1">
        <f t="array" ref="AM238">bdRateExtend($G238:$G241,L238:L241,$R238:$R241,W238:W241)</f>
        <v>#VALUE!</v>
      </c>
      <c r="AN238" s="248" t="e" cm="1">
        <f t="array" ref="AN238">bdRateExtend($G238:$G243,L238:L243,$R238:$R243,W238:W243)</f>
        <v>#VALUE!</v>
      </c>
      <c r="AO238" s="254" t="e" cm="1">
        <f t="array" ref="AO238">bdRateExtend($G238:$G241,M238:M241,$R238:$R241,X238:X241)</f>
        <v>#VALUE!</v>
      </c>
      <c r="AP238" s="248" t="e" cm="1">
        <f t="array" ref="AP238">bdRateExtend($G238:$G243,M238:M243,$R238:$R243,X238:X243)</f>
        <v>#VALUE!</v>
      </c>
    </row>
    <row r="239" spans="1:42" ht="17.100000000000001" customHeight="1" outlineLevel="5" x14ac:dyDescent="0.25">
      <c r="A239" s="222"/>
      <c r="B239" s="219"/>
      <c r="C239" s="229"/>
      <c r="D239" s="232"/>
      <c r="E239" s="235"/>
      <c r="F239" s="16">
        <v>31</v>
      </c>
      <c r="G239" s="34"/>
      <c r="H239" s="39"/>
      <c r="I239" s="39"/>
      <c r="J239" s="39"/>
      <c r="K239" s="39"/>
      <c r="L239" s="39"/>
      <c r="M239" s="39"/>
      <c r="N239" s="39"/>
      <c r="O239" s="39"/>
      <c r="P239" s="35"/>
      <c r="Q239" s="18"/>
      <c r="R239" s="34"/>
      <c r="S239" s="39"/>
      <c r="T239" s="39"/>
      <c r="U239" s="39"/>
      <c r="V239" s="39"/>
      <c r="W239" s="39"/>
      <c r="X239" s="39"/>
      <c r="Y239" s="39"/>
      <c r="Z239" s="39"/>
      <c r="AA239" s="35"/>
      <c r="AB239" s="50" t="e">
        <f t="shared" si="7"/>
        <v>#DIV/0!</v>
      </c>
      <c r="AC239" s="51" t="e">
        <f t="shared" si="7"/>
        <v>#DIV/0!</v>
      </c>
      <c r="AD239" s="19"/>
      <c r="AE239" s="19"/>
      <c r="AF239" s="285"/>
      <c r="AG239" s="240"/>
      <c r="AH239" s="242"/>
      <c r="AI239" s="242"/>
      <c r="AJ239" s="245"/>
      <c r="AK239" s="240"/>
      <c r="AL239" s="249"/>
      <c r="AM239" s="240"/>
      <c r="AN239" s="249"/>
      <c r="AO239" s="252"/>
      <c r="AP239" s="249"/>
    </row>
    <row r="240" spans="1:42" ht="17.100000000000001" customHeight="1" outlineLevel="5" x14ac:dyDescent="0.25">
      <c r="A240" s="222"/>
      <c r="B240" s="219"/>
      <c r="C240" s="229"/>
      <c r="D240" s="232"/>
      <c r="E240" s="235"/>
      <c r="F240" s="16">
        <v>39</v>
      </c>
      <c r="G240" s="34"/>
      <c r="H240" s="39"/>
      <c r="I240" s="39"/>
      <c r="J240" s="39"/>
      <c r="K240" s="39"/>
      <c r="L240" s="39"/>
      <c r="M240" s="39"/>
      <c r="N240" s="39"/>
      <c r="O240" s="39"/>
      <c r="P240" s="35"/>
      <c r="Q240" s="18"/>
      <c r="R240" s="34"/>
      <c r="S240" s="39"/>
      <c r="T240" s="39"/>
      <c r="U240" s="39"/>
      <c r="V240" s="39"/>
      <c r="W240" s="39"/>
      <c r="X240" s="39"/>
      <c r="Y240" s="39"/>
      <c r="Z240" s="39"/>
      <c r="AA240" s="35"/>
      <c r="AB240" s="50" t="e">
        <f t="shared" si="7"/>
        <v>#DIV/0!</v>
      </c>
      <c r="AC240" s="51" t="e">
        <f t="shared" si="7"/>
        <v>#DIV/0!</v>
      </c>
      <c r="AD240" s="19"/>
      <c r="AE240" s="19"/>
      <c r="AF240" s="285" t="s">
        <v>127</v>
      </c>
      <c r="AG240" s="240" t="e" cm="1">
        <f t="array" ref="AG240">bdRateExtend($G239:$G242,G239:G242,$R239:$R242,R239:R242)</f>
        <v>#VALUE!</v>
      </c>
      <c r="AH240" s="242"/>
      <c r="AI240" s="242"/>
      <c r="AJ240" s="245"/>
      <c r="AK240" s="240" t="e" cm="1">
        <f t="array" ref="AK240">bdRateExtend($G239:$G242,K239:K242,$R239:$R242,V239:V242)</f>
        <v>#VALUE!</v>
      </c>
      <c r="AL240" s="249"/>
      <c r="AM240" s="240" t="e" cm="1">
        <f t="array" ref="AM240">bdRateExtend($G239:$G242,L239:L242,$R239:$R242,W239:W242)</f>
        <v>#VALUE!</v>
      </c>
      <c r="AN240" s="249"/>
      <c r="AO240" s="252" t="e" cm="1">
        <f t="array" ref="AO240">bdRateExtend($G239:$G242,M239:M242,$R239:$R242,X239:X242)</f>
        <v>#VALUE!</v>
      </c>
      <c r="AP240" s="249"/>
    </row>
    <row r="241" spans="1:42" ht="17.100000000000001" customHeight="1" outlineLevel="5" x14ac:dyDescent="0.25">
      <c r="A241" s="222"/>
      <c r="B241" s="219"/>
      <c r="C241" s="229"/>
      <c r="D241" s="232"/>
      <c r="E241" s="235"/>
      <c r="F241" s="16">
        <v>47</v>
      </c>
      <c r="G241" s="34"/>
      <c r="H241" s="39"/>
      <c r="I241" s="39"/>
      <c r="J241" s="39"/>
      <c r="K241" s="39"/>
      <c r="L241" s="39"/>
      <c r="M241" s="39"/>
      <c r="N241" s="39"/>
      <c r="O241" s="39"/>
      <c r="P241" s="35"/>
      <c r="Q241" s="18"/>
      <c r="R241" s="34"/>
      <c r="S241" s="39"/>
      <c r="T241" s="39"/>
      <c r="U241" s="39"/>
      <c r="V241" s="39"/>
      <c r="W241" s="39"/>
      <c r="X241" s="39"/>
      <c r="Y241" s="39"/>
      <c r="Z241" s="39"/>
      <c r="AA241" s="35"/>
      <c r="AB241" s="50" t="e">
        <f t="shared" si="7"/>
        <v>#DIV/0!</v>
      </c>
      <c r="AC241" s="51" t="e">
        <f t="shared" si="7"/>
        <v>#DIV/0!</v>
      </c>
      <c r="AD241" s="19"/>
      <c r="AE241" s="19"/>
      <c r="AF241" s="285"/>
      <c r="AG241" s="240"/>
      <c r="AH241" s="242"/>
      <c r="AI241" s="242"/>
      <c r="AJ241" s="245"/>
      <c r="AK241" s="240"/>
      <c r="AL241" s="249"/>
      <c r="AM241" s="240"/>
      <c r="AN241" s="249"/>
      <c r="AO241" s="252"/>
      <c r="AP241" s="249"/>
    </row>
    <row r="242" spans="1:42" ht="17.100000000000001" customHeight="1" outlineLevel="5" x14ac:dyDescent="0.25">
      <c r="A242" s="222"/>
      <c r="B242" s="219"/>
      <c r="C242" s="229"/>
      <c r="D242" s="232"/>
      <c r="E242" s="235"/>
      <c r="F242" s="16">
        <v>55</v>
      </c>
      <c r="G242" s="34"/>
      <c r="H242" s="39"/>
      <c r="I242" s="39"/>
      <c r="J242" s="39"/>
      <c r="K242" s="39"/>
      <c r="L242" s="39"/>
      <c r="M242" s="39"/>
      <c r="N242" s="39"/>
      <c r="O242" s="39"/>
      <c r="P242" s="35"/>
      <c r="Q242" s="18"/>
      <c r="R242" s="34"/>
      <c r="S242" s="39"/>
      <c r="T242" s="39"/>
      <c r="U242" s="39"/>
      <c r="V242" s="39"/>
      <c r="W242" s="39"/>
      <c r="X242" s="39"/>
      <c r="Y242" s="39"/>
      <c r="Z242" s="39"/>
      <c r="AA242" s="35"/>
      <c r="AB242" s="50" t="e">
        <f t="shared" si="7"/>
        <v>#DIV/0!</v>
      </c>
      <c r="AC242" s="51" t="e">
        <f t="shared" si="7"/>
        <v>#DIV/0!</v>
      </c>
      <c r="AD242" s="19"/>
      <c r="AE242" s="19"/>
      <c r="AF242" s="285" t="s">
        <v>128</v>
      </c>
      <c r="AG242" s="240" t="e" cm="1">
        <f t="array" ref="AG242">bdRateExtend($G240:$G243,G240:G243,$R240:$R243,R240:R243)</f>
        <v>#VALUE!</v>
      </c>
      <c r="AH242" s="242"/>
      <c r="AI242" s="242"/>
      <c r="AJ242" s="245"/>
      <c r="AK242" s="240" t="e" cm="1">
        <f t="array" ref="AK242">bdRateExtend($G240:$G243,K240:K243,$R240:$R243,V240:V243)</f>
        <v>#VALUE!</v>
      </c>
      <c r="AL242" s="249"/>
      <c r="AM242" s="240" t="e" cm="1">
        <f t="array" ref="AM242">bdRateExtend($G240:$G243,L240:L243,$R240:$R243,W240:W243)</f>
        <v>#VALUE!</v>
      </c>
      <c r="AN242" s="249"/>
      <c r="AO242" s="252" t="e" cm="1">
        <f t="array" ref="AO242">bdRateExtend($G240:$G243,M240:M243,$R240:$R243,X240:X243)</f>
        <v>#VALUE!</v>
      </c>
      <c r="AP242" s="249"/>
    </row>
    <row r="243" spans="1:42" ht="17.100000000000001" customHeight="1" outlineLevel="5" thickBot="1" x14ac:dyDescent="0.3">
      <c r="A243" s="222"/>
      <c r="B243" s="220"/>
      <c r="C243" s="230"/>
      <c r="D243" s="233"/>
      <c r="E243" s="236"/>
      <c r="F243" s="9">
        <v>63</v>
      </c>
      <c r="G243" s="36"/>
      <c r="H243" s="37"/>
      <c r="I243" s="37"/>
      <c r="J243" s="37"/>
      <c r="K243" s="37"/>
      <c r="L243" s="37"/>
      <c r="M243" s="37"/>
      <c r="N243" s="37"/>
      <c r="O243" s="37"/>
      <c r="P243" s="38"/>
      <c r="Q243" s="18"/>
      <c r="R243" s="36"/>
      <c r="S243" s="37"/>
      <c r="T243" s="37"/>
      <c r="U243" s="37"/>
      <c r="V243" s="37"/>
      <c r="W243" s="37"/>
      <c r="X243" s="37"/>
      <c r="Y243" s="37"/>
      <c r="Z243" s="37"/>
      <c r="AA243" s="38"/>
      <c r="AB243" s="52" t="e">
        <f t="shared" si="7"/>
        <v>#DIV/0!</v>
      </c>
      <c r="AC243" s="53" t="e">
        <f t="shared" si="7"/>
        <v>#DIV/0!</v>
      </c>
      <c r="AD243" s="19"/>
      <c r="AE243" s="19"/>
      <c r="AF243" s="286"/>
      <c r="AG243" s="247"/>
      <c r="AH243" s="243"/>
      <c r="AI243" s="243"/>
      <c r="AJ243" s="246"/>
      <c r="AK243" s="247"/>
      <c r="AL243" s="250"/>
      <c r="AM243" s="247"/>
      <c r="AN243" s="250"/>
      <c r="AO243" s="253"/>
      <c r="AP243" s="250"/>
    </row>
    <row r="244" spans="1:42" ht="17.100000000000001" customHeight="1" outlineLevel="5" x14ac:dyDescent="0.25">
      <c r="A244" s="222"/>
      <c r="B244" s="218" t="s">
        <v>2</v>
      </c>
      <c r="C244" s="228" t="s">
        <v>76</v>
      </c>
      <c r="D244" s="231">
        <v>60</v>
      </c>
      <c r="E244" s="234" t="s">
        <v>23</v>
      </c>
      <c r="F244" s="7">
        <v>23</v>
      </c>
      <c r="G244" s="31"/>
      <c r="H244" s="32"/>
      <c r="I244" s="32"/>
      <c r="J244" s="32"/>
      <c r="K244" s="32"/>
      <c r="L244" s="32"/>
      <c r="M244" s="32"/>
      <c r="N244" s="32"/>
      <c r="O244" s="32"/>
      <c r="P244" s="33"/>
      <c r="Q244" s="18"/>
      <c r="R244" s="31"/>
      <c r="S244" s="32"/>
      <c r="T244" s="32"/>
      <c r="U244" s="32"/>
      <c r="V244" s="32"/>
      <c r="W244" s="32"/>
      <c r="X244" s="32"/>
      <c r="Y244" s="32"/>
      <c r="Z244" s="32"/>
      <c r="AA244" s="33"/>
      <c r="AB244" s="48" t="e">
        <f t="shared" si="7"/>
        <v>#DIV/0!</v>
      </c>
      <c r="AC244" s="49" t="e">
        <f t="shared" si="7"/>
        <v>#DIV/0!</v>
      </c>
      <c r="AD244" s="19"/>
      <c r="AE244" s="19"/>
      <c r="AF244" s="284" t="s">
        <v>126</v>
      </c>
      <c r="AG244" s="239" t="e" cm="1">
        <f t="array" ref="AG244">bdRateExtend($G244:$G247,G244:G247,$R244:$R247,R244:R247)</f>
        <v>#VALUE!</v>
      </c>
      <c r="AH244" s="241" t="e" cm="1">
        <f t="array" ref="AH244">bdRateExtend($G244:$G249,H244:H249,$R244:$R249,S244:S249)</f>
        <v>#VALUE!</v>
      </c>
      <c r="AI244" s="241" t="e" cm="1">
        <f t="array" ref="AI244">bdRateExtend($G244:$G249,I244:I249,$R244:$R249,T244:T249)</f>
        <v>#VALUE!</v>
      </c>
      <c r="AJ244" s="244" t="e" cm="1">
        <f t="array" ref="AJ244">bdRateExtend($G244:$G249,J244:J249,$R244:$R249,U244:U249)</f>
        <v>#VALUE!</v>
      </c>
      <c r="AK244" s="239" t="e" cm="1">
        <f t="array" ref="AK244">bdRateExtend($G244:$G247,K244:K247,$R244:$R247,V244:V247)</f>
        <v>#VALUE!</v>
      </c>
      <c r="AL244" s="248" t="e" cm="1">
        <f t="array" ref="AL244">bdRateExtend($G244:$G249,K244:K249,$R244:$R249,V244:V249)</f>
        <v>#VALUE!</v>
      </c>
      <c r="AM244" s="239" t="e" cm="1">
        <f t="array" ref="AM244">bdRateExtend($G244:$G247,L244:L247,$R244:$R247,W244:W247)</f>
        <v>#VALUE!</v>
      </c>
      <c r="AN244" s="248" t="e" cm="1">
        <f t="array" ref="AN244">bdRateExtend($G244:$G249,L244:L249,$R244:$R249,W244:W249)</f>
        <v>#VALUE!</v>
      </c>
      <c r="AO244" s="254" t="e" cm="1">
        <f t="array" ref="AO244">bdRateExtend($G244:$G247,M244:M247,$R244:$R247,X244:X247)</f>
        <v>#VALUE!</v>
      </c>
      <c r="AP244" s="248" t="e" cm="1">
        <f t="array" ref="AP244">bdRateExtend($G244:$G249,M244:M249,$R244:$R249,X244:X249)</f>
        <v>#VALUE!</v>
      </c>
    </row>
    <row r="245" spans="1:42" ht="17.100000000000001" customHeight="1" outlineLevel="5" x14ac:dyDescent="0.25">
      <c r="A245" s="222"/>
      <c r="B245" s="219"/>
      <c r="C245" s="229"/>
      <c r="D245" s="232"/>
      <c r="E245" s="235"/>
      <c r="F245" s="16">
        <v>31</v>
      </c>
      <c r="G245" s="34"/>
      <c r="H245" s="39"/>
      <c r="I245" s="39"/>
      <c r="J245" s="39"/>
      <c r="K245" s="39"/>
      <c r="L245" s="39"/>
      <c r="M245" s="39"/>
      <c r="N245" s="39"/>
      <c r="O245" s="39"/>
      <c r="P245" s="35"/>
      <c r="Q245" s="18"/>
      <c r="R245" s="34"/>
      <c r="S245" s="39"/>
      <c r="T245" s="39"/>
      <c r="U245" s="39"/>
      <c r="V245" s="39"/>
      <c r="W245" s="39"/>
      <c r="X245" s="39"/>
      <c r="Y245" s="39"/>
      <c r="Z245" s="39"/>
      <c r="AA245" s="35"/>
      <c r="AB245" s="50" t="e">
        <f t="shared" si="7"/>
        <v>#DIV/0!</v>
      </c>
      <c r="AC245" s="51" t="e">
        <f t="shared" si="7"/>
        <v>#DIV/0!</v>
      </c>
      <c r="AD245" s="19"/>
      <c r="AE245" s="19"/>
      <c r="AF245" s="285"/>
      <c r="AG245" s="240"/>
      <c r="AH245" s="242"/>
      <c r="AI245" s="242"/>
      <c r="AJ245" s="245"/>
      <c r="AK245" s="240"/>
      <c r="AL245" s="249"/>
      <c r="AM245" s="240"/>
      <c r="AN245" s="249"/>
      <c r="AO245" s="252"/>
      <c r="AP245" s="249"/>
    </row>
    <row r="246" spans="1:42" ht="17.100000000000001" customHeight="1" outlineLevel="5" x14ac:dyDescent="0.25">
      <c r="A246" s="222"/>
      <c r="B246" s="219"/>
      <c r="C246" s="229"/>
      <c r="D246" s="232"/>
      <c r="E246" s="235"/>
      <c r="F246" s="16">
        <v>39</v>
      </c>
      <c r="G246" s="34"/>
      <c r="H246" s="39"/>
      <c r="I246" s="39"/>
      <c r="J246" s="39"/>
      <c r="K246" s="39"/>
      <c r="L246" s="39"/>
      <c r="M246" s="39"/>
      <c r="N246" s="39"/>
      <c r="O246" s="39"/>
      <c r="P246" s="35"/>
      <c r="Q246" s="18"/>
      <c r="R246" s="34"/>
      <c r="S246" s="39"/>
      <c r="T246" s="39"/>
      <c r="U246" s="39"/>
      <c r="V246" s="39"/>
      <c r="W246" s="39"/>
      <c r="X246" s="39"/>
      <c r="Y246" s="39"/>
      <c r="Z246" s="39"/>
      <c r="AA246" s="35"/>
      <c r="AB246" s="50" t="e">
        <f t="shared" ref="AB246:AC291" si="8">Y246/N246</f>
        <v>#DIV/0!</v>
      </c>
      <c r="AC246" s="51" t="e">
        <f t="shared" si="8"/>
        <v>#DIV/0!</v>
      </c>
      <c r="AD246" s="19"/>
      <c r="AE246" s="19"/>
      <c r="AF246" s="285" t="s">
        <v>127</v>
      </c>
      <c r="AG246" s="240" t="e" cm="1">
        <f t="array" ref="AG246">bdRateExtend($G245:$G248,G245:G248,$R245:$R248,R245:R248)</f>
        <v>#VALUE!</v>
      </c>
      <c r="AH246" s="242"/>
      <c r="AI246" s="242"/>
      <c r="AJ246" s="245"/>
      <c r="AK246" s="240" t="e" cm="1">
        <f t="array" ref="AK246">bdRateExtend($G245:$G248,K245:K248,$R245:$R248,V245:V248)</f>
        <v>#VALUE!</v>
      </c>
      <c r="AL246" s="249"/>
      <c r="AM246" s="240" t="e" cm="1">
        <f t="array" ref="AM246">bdRateExtend($G245:$G248,L245:L248,$R245:$R248,W245:W248)</f>
        <v>#VALUE!</v>
      </c>
      <c r="AN246" s="249"/>
      <c r="AO246" s="252" t="e" cm="1">
        <f t="array" ref="AO246">bdRateExtend($G245:$G248,M245:M248,$R245:$R248,X245:X248)</f>
        <v>#VALUE!</v>
      </c>
      <c r="AP246" s="249"/>
    </row>
    <row r="247" spans="1:42" ht="17.100000000000001" customHeight="1" outlineLevel="5" x14ac:dyDescent="0.25">
      <c r="A247" s="222"/>
      <c r="B247" s="219"/>
      <c r="C247" s="229"/>
      <c r="D247" s="232"/>
      <c r="E247" s="235"/>
      <c r="F247" s="16">
        <v>47</v>
      </c>
      <c r="G247" s="34"/>
      <c r="H247" s="39"/>
      <c r="I247" s="39"/>
      <c r="J247" s="39"/>
      <c r="K247" s="39"/>
      <c r="L247" s="39"/>
      <c r="M247" s="39"/>
      <c r="N247" s="39"/>
      <c r="O247" s="39"/>
      <c r="P247" s="35"/>
      <c r="Q247" s="18"/>
      <c r="R247" s="34"/>
      <c r="S247" s="39"/>
      <c r="T247" s="39"/>
      <c r="U247" s="39"/>
      <c r="V247" s="39"/>
      <c r="W247" s="39"/>
      <c r="X247" s="39"/>
      <c r="Y247" s="39"/>
      <c r="Z247" s="39"/>
      <c r="AA247" s="35"/>
      <c r="AB247" s="50" t="e">
        <f t="shared" si="8"/>
        <v>#DIV/0!</v>
      </c>
      <c r="AC247" s="51" t="e">
        <f t="shared" si="8"/>
        <v>#DIV/0!</v>
      </c>
      <c r="AD247" s="19"/>
      <c r="AE247" s="19"/>
      <c r="AF247" s="285"/>
      <c r="AG247" s="240"/>
      <c r="AH247" s="242"/>
      <c r="AI247" s="242"/>
      <c r="AJ247" s="245"/>
      <c r="AK247" s="240"/>
      <c r="AL247" s="249"/>
      <c r="AM247" s="240"/>
      <c r="AN247" s="249"/>
      <c r="AO247" s="252"/>
      <c r="AP247" s="249"/>
    </row>
    <row r="248" spans="1:42" ht="17.100000000000001" customHeight="1" outlineLevel="5" x14ac:dyDescent="0.25">
      <c r="A248" s="222"/>
      <c r="B248" s="219"/>
      <c r="C248" s="229"/>
      <c r="D248" s="232"/>
      <c r="E248" s="235"/>
      <c r="F248" s="16">
        <v>55</v>
      </c>
      <c r="G248" s="34"/>
      <c r="H248" s="39"/>
      <c r="I248" s="39"/>
      <c r="J248" s="39"/>
      <c r="K248" s="39"/>
      <c r="L248" s="39"/>
      <c r="M248" s="39"/>
      <c r="N248" s="39"/>
      <c r="O248" s="39"/>
      <c r="P248" s="35"/>
      <c r="Q248" s="18"/>
      <c r="R248" s="34"/>
      <c r="S248" s="39"/>
      <c r="T248" s="39"/>
      <c r="U248" s="39"/>
      <c r="V248" s="39"/>
      <c r="W248" s="39"/>
      <c r="X248" s="39"/>
      <c r="Y248" s="39"/>
      <c r="Z248" s="39"/>
      <c r="AA248" s="35"/>
      <c r="AB248" s="50" t="e">
        <f t="shared" si="8"/>
        <v>#DIV/0!</v>
      </c>
      <c r="AC248" s="51" t="e">
        <f t="shared" si="8"/>
        <v>#DIV/0!</v>
      </c>
      <c r="AD248" s="19"/>
      <c r="AE248" s="19"/>
      <c r="AF248" s="285" t="s">
        <v>128</v>
      </c>
      <c r="AG248" s="240" t="e" cm="1">
        <f t="array" ref="AG248">bdRateExtend($G246:$G249,G246:G249,$R246:$R249,R246:R249)</f>
        <v>#VALUE!</v>
      </c>
      <c r="AH248" s="242"/>
      <c r="AI248" s="242"/>
      <c r="AJ248" s="245"/>
      <c r="AK248" s="240" t="e" cm="1">
        <f t="array" ref="AK248">bdRateExtend($G246:$G249,K246:K249,$R246:$R249,V246:V249)</f>
        <v>#VALUE!</v>
      </c>
      <c r="AL248" s="249"/>
      <c r="AM248" s="240" t="e" cm="1">
        <f t="array" ref="AM248">bdRateExtend($G246:$G249,L246:L249,$R246:$R249,W246:W249)</f>
        <v>#VALUE!</v>
      </c>
      <c r="AN248" s="249"/>
      <c r="AO248" s="252" t="e" cm="1">
        <f t="array" ref="AO248">bdRateExtend($G246:$G249,M246:M249,$R246:$R249,X246:X249)</f>
        <v>#VALUE!</v>
      </c>
      <c r="AP248" s="249"/>
    </row>
    <row r="249" spans="1:42" ht="17.100000000000001" customHeight="1" outlineLevel="5" thickBot="1" x14ac:dyDescent="0.3">
      <c r="A249" s="222"/>
      <c r="B249" s="220"/>
      <c r="C249" s="230"/>
      <c r="D249" s="233"/>
      <c r="E249" s="236"/>
      <c r="F249" s="9">
        <v>63</v>
      </c>
      <c r="G249" s="36"/>
      <c r="H249" s="37"/>
      <c r="I249" s="37"/>
      <c r="J249" s="37"/>
      <c r="K249" s="37"/>
      <c r="L249" s="37"/>
      <c r="M249" s="37"/>
      <c r="N249" s="37"/>
      <c r="O249" s="37"/>
      <c r="P249" s="38"/>
      <c r="Q249" s="18"/>
      <c r="R249" s="36"/>
      <c r="S249" s="37"/>
      <c r="T249" s="37"/>
      <c r="U249" s="37"/>
      <c r="V249" s="37"/>
      <c r="W249" s="37"/>
      <c r="X249" s="37"/>
      <c r="Y249" s="37"/>
      <c r="Z249" s="37"/>
      <c r="AA249" s="38"/>
      <c r="AB249" s="52" t="e">
        <f t="shared" si="8"/>
        <v>#DIV/0!</v>
      </c>
      <c r="AC249" s="53" t="e">
        <f t="shared" si="8"/>
        <v>#DIV/0!</v>
      </c>
      <c r="AD249" s="19"/>
      <c r="AE249" s="19"/>
      <c r="AF249" s="286"/>
      <c r="AG249" s="247"/>
      <c r="AH249" s="243"/>
      <c r="AI249" s="243"/>
      <c r="AJ249" s="246"/>
      <c r="AK249" s="247"/>
      <c r="AL249" s="250"/>
      <c r="AM249" s="247"/>
      <c r="AN249" s="250"/>
      <c r="AO249" s="253"/>
      <c r="AP249" s="250"/>
    </row>
    <row r="250" spans="1:42" ht="17.100000000000001" customHeight="1" outlineLevel="5" x14ac:dyDescent="0.25">
      <c r="A250" s="222"/>
      <c r="B250" s="218" t="s">
        <v>2</v>
      </c>
      <c r="C250" s="228" t="s">
        <v>77</v>
      </c>
      <c r="D250" s="231">
        <v>24</v>
      </c>
      <c r="E250" s="234">
        <v>10</v>
      </c>
      <c r="F250" s="7">
        <v>23</v>
      </c>
      <c r="G250" s="31"/>
      <c r="H250" s="32"/>
      <c r="I250" s="32"/>
      <c r="J250" s="32"/>
      <c r="K250" s="32"/>
      <c r="L250" s="32"/>
      <c r="M250" s="32"/>
      <c r="N250" s="32"/>
      <c r="O250" s="32"/>
      <c r="P250" s="33"/>
      <c r="Q250" s="18"/>
      <c r="R250" s="31"/>
      <c r="S250" s="32"/>
      <c r="T250" s="32"/>
      <c r="U250" s="32"/>
      <c r="V250" s="32"/>
      <c r="W250" s="32"/>
      <c r="X250" s="32"/>
      <c r="Y250" s="32"/>
      <c r="Z250" s="32"/>
      <c r="AA250" s="33"/>
      <c r="AB250" s="48" t="e">
        <f t="shared" si="8"/>
        <v>#DIV/0!</v>
      </c>
      <c r="AC250" s="49" t="e">
        <f t="shared" si="8"/>
        <v>#DIV/0!</v>
      </c>
      <c r="AD250" s="19"/>
      <c r="AE250" s="19"/>
      <c r="AF250" s="284" t="s">
        <v>126</v>
      </c>
      <c r="AG250" s="239" t="e" cm="1">
        <f t="array" ref="AG250">bdRateExtend($G250:$G253,G250:G253,$R250:$R253,R250:R253)</f>
        <v>#VALUE!</v>
      </c>
      <c r="AH250" s="241" t="e" cm="1">
        <f t="array" ref="AH250">bdRateExtend($G250:$G255,H250:H255,$R250:$R255,S250:S255)</f>
        <v>#VALUE!</v>
      </c>
      <c r="AI250" s="241" t="e" cm="1">
        <f t="array" ref="AI250">bdRateExtend($G250:$G255,I250:I255,$R250:$R255,T250:T255)</f>
        <v>#VALUE!</v>
      </c>
      <c r="AJ250" s="244" t="e" cm="1">
        <f t="array" ref="AJ250">bdRateExtend($G250:$G255,J250:J255,$R250:$R255,U250:U255)</f>
        <v>#VALUE!</v>
      </c>
      <c r="AK250" s="239" t="e" cm="1">
        <f t="array" ref="AK250">bdRateExtend($G250:$G253,K250:K253,$R250:$R253,V250:V253)</f>
        <v>#VALUE!</v>
      </c>
      <c r="AL250" s="248" t="e" cm="1">
        <f t="array" ref="AL250">bdRateExtend($G250:$G255,K250:K255,$R250:$R255,V250:V255)</f>
        <v>#VALUE!</v>
      </c>
      <c r="AM250" s="239" t="e" cm="1">
        <f t="array" ref="AM250">bdRateExtend($G250:$G253,L250:L253,$R250:$R253,W250:W253)</f>
        <v>#VALUE!</v>
      </c>
      <c r="AN250" s="248" t="e" cm="1">
        <f t="array" ref="AN250">bdRateExtend($G250:$G255,L250:L255,$R250:$R255,W250:W255)</f>
        <v>#VALUE!</v>
      </c>
      <c r="AO250" s="254" t="e" cm="1">
        <f t="array" ref="AO250">bdRateExtend($G250:$G253,M250:M253,$R250:$R253,X250:X253)</f>
        <v>#VALUE!</v>
      </c>
      <c r="AP250" s="248" t="e" cm="1">
        <f t="array" ref="AP250">bdRateExtend($G250:$G255,M250:M255,$R250:$R255,X250:X255)</f>
        <v>#VALUE!</v>
      </c>
    </row>
    <row r="251" spans="1:42" ht="17.100000000000001" customHeight="1" outlineLevel="5" x14ac:dyDescent="0.25">
      <c r="A251" s="222"/>
      <c r="B251" s="219"/>
      <c r="C251" s="229"/>
      <c r="D251" s="232"/>
      <c r="E251" s="235"/>
      <c r="F251" s="16">
        <v>31</v>
      </c>
      <c r="G251" s="34"/>
      <c r="H251" s="39"/>
      <c r="I251" s="39"/>
      <c r="J251" s="39"/>
      <c r="K251" s="39"/>
      <c r="L251" s="39"/>
      <c r="M251" s="39"/>
      <c r="N251" s="39"/>
      <c r="O251" s="39"/>
      <c r="P251" s="35"/>
      <c r="Q251" s="18"/>
      <c r="R251" s="34"/>
      <c r="S251" s="39"/>
      <c r="T251" s="39"/>
      <c r="U251" s="39"/>
      <c r="V251" s="39"/>
      <c r="W251" s="39"/>
      <c r="X251" s="39"/>
      <c r="Y251" s="39"/>
      <c r="Z251" s="39"/>
      <c r="AA251" s="35"/>
      <c r="AB251" s="50" t="e">
        <f t="shared" si="8"/>
        <v>#DIV/0!</v>
      </c>
      <c r="AC251" s="51" t="e">
        <f t="shared" si="8"/>
        <v>#DIV/0!</v>
      </c>
      <c r="AD251" s="19"/>
      <c r="AE251" s="19"/>
      <c r="AF251" s="285"/>
      <c r="AG251" s="240"/>
      <c r="AH251" s="242"/>
      <c r="AI251" s="242"/>
      <c r="AJ251" s="245"/>
      <c r="AK251" s="240"/>
      <c r="AL251" s="249"/>
      <c r="AM251" s="240"/>
      <c r="AN251" s="249"/>
      <c r="AO251" s="252"/>
      <c r="AP251" s="249"/>
    </row>
    <row r="252" spans="1:42" ht="17.100000000000001" customHeight="1" outlineLevel="5" x14ac:dyDescent="0.25">
      <c r="A252" s="222"/>
      <c r="B252" s="219"/>
      <c r="C252" s="229"/>
      <c r="D252" s="232"/>
      <c r="E252" s="235"/>
      <c r="F252" s="16">
        <v>39</v>
      </c>
      <c r="G252" s="34"/>
      <c r="H252" s="39"/>
      <c r="I252" s="39"/>
      <c r="J252" s="39"/>
      <c r="K252" s="39"/>
      <c r="L252" s="39"/>
      <c r="M252" s="39"/>
      <c r="N252" s="39"/>
      <c r="O252" s="39"/>
      <c r="P252" s="35"/>
      <c r="Q252" s="18"/>
      <c r="R252" s="34"/>
      <c r="S252" s="39"/>
      <c r="T252" s="39"/>
      <c r="U252" s="39"/>
      <c r="V252" s="39"/>
      <c r="W252" s="39"/>
      <c r="X252" s="39"/>
      <c r="Y252" s="39"/>
      <c r="Z252" s="39"/>
      <c r="AA252" s="35"/>
      <c r="AB252" s="50" t="e">
        <f t="shared" si="8"/>
        <v>#DIV/0!</v>
      </c>
      <c r="AC252" s="51" t="e">
        <f t="shared" si="8"/>
        <v>#DIV/0!</v>
      </c>
      <c r="AD252" s="19"/>
      <c r="AE252" s="19"/>
      <c r="AF252" s="285" t="s">
        <v>127</v>
      </c>
      <c r="AG252" s="240" t="e" cm="1">
        <f t="array" ref="AG252">bdRateExtend($G251:$G254,G251:G254,$R251:$R254,R251:R254)</f>
        <v>#VALUE!</v>
      </c>
      <c r="AH252" s="242"/>
      <c r="AI252" s="242"/>
      <c r="AJ252" s="245"/>
      <c r="AK252" s="240" t="e" cm="1">
        <f t="array" ref="AK252">bdRateExtend($G251:$G254,K251:K254,$R251:$R254,V251:V254)</f>
        <v>#VALUE!</v>
      </c>
      <c r="AL252" s="249"/>
      <c r="AM252" s="240" t="e" cm="1">
        <f t="array" ref="AM252">bdRateExtend($G251:$G254,L251:L254,$R251:$R254,W251:W254)</f>
        <v>#VALUE!</v>
      </c>
      <c r="AN252" s="249"/>
      <c r="AO252" s="252" t="e" cm="1">
        <f t="array" ref="AO252">bdRateExtend($G251:$G254,M251:M254,$R251:$R254,X251:X254)</f>
        <v>#VALUE!</v>
      </c>
      <c r="AP252" s="249"/>
    </row>
    <row r="253" spans="1:42" ht="17.100000000000001" customHeight="1" outlineLevel="5" x14ac:dyDescent="0.25">
      <c r="A253" s="222"/>
      <c r="B253" s="219"/>
      <c r="C253" s="229"/>
      <c r="D253" s="232"/>
      <c r="E253" s="235"/>
      <c r="F253" s="16">
        <v>47</v>
      </c>
      <c r="G253" s="34"/>
      <c r="H253" s="39"/>
      <c r="I253" s="39"/>
      <c r="J253" s="39"/>
      <c r="K253" s="39"/>
      <c r="L253" s="39"/>
      <c r="M253" s="39"/>
      <c r="N253" s="39"/>
      <c r="O253" s="39"/>
      <c r="P253" s="35"/>
      <c r="Q253" s="18"/>
      <c r="R253" s="34"/>
      <c r="S253" s="39"/>
      <c r="T253" s="39"/>
      <c r="U253" s="39"/>
      <c r="V253" s="39"/>
      <c r="W253" s="39"/>
      <c r="X253" s="39"/>
      <c r="Y253" s="39"/>
      <c r="Z253" s="39"/>
      <c r="AA253" s="35"/>
      <c r="AB253" s="50" t="e">
        <f t="shared" si="8"/>
        <v>#DIV/0!</v>
      </c>
      <c r="AC253" s="51" t="e">
        <f t="shared" si="8"/>
        <v>#DIV/0!</v>
      </c>
      <c r="AD253" s="19"/>
      <c r="AE253" s="19"/>
      <c r="AF253" s="285"/>
      <c r="AG253" s="240"/>
      <c r="AH253" s="242"/>
      <c r="AI253" s="242"/>
      <c r="AJ253" s="245"/>
      <c r="AK253" s="240"/>
      <c r="AL253" s="249"/>
      <c r="AM253" s="240"/>
      <c r="AN253" s="249"/>
      <c r="AO253" s="252"/>
      <c r="AP253" s="249"/>
    </row>
    <row r="254" spans="1:42" ht="17.100000000000001" customHeight="1" outlineLevel="5" x14ac:dyDescent="0.25">
      <c r="A254" s="222"/>
      <c r="B254" s="219"/>
      <c r="C254" s="229"/>
      <c r="D254" s="232"/>
      <c r="E254" s="235"/>
      <c r="F254" s="16">
        <v>55</v>
      </c>
      <c r="G254" s="34"/>
      <c r="H254" s="39"/>
      <c r="I254" s="39"/>
      <c r="J254" s="39"/>
      <c r="K254" s="39"/>
      <c r="L254" s="39"/>
      <c r="M254" s="39"/>
      <c r="N254" s="39"/>
      <c r="O254" s="39"/>
      <c r="P254" s="35"/>
      <c r="Q254" s="18"/>
      <c r="R254" s="34"/>
      <c r="S254" s="39"/>
      <c r="T254" s="39"/>
      <c r="U254" s="39"/>
      <c r="V254" s="39"/>
      <c r="W254" s="39"/>
      <c r="X254" s="39"/>
      <c r="Y254" s="39"/>
      <c r="Z254" s="39"/>
      <c r="AA254" s="35"/>
      <c r="AB254" s="50" t="e">
        <f t="shared" si="8"/>
        <v>#DIV/0!</v>
      </c>
      <c r="AC254" s="51" t="e">
        <f t="shared" si="8"/>
        <v>#DIV/0!</v>
      </c>
      <c r="AD254" s="19"/>
      <c r="AE254" s="19"/>
      <c r="AF254" s="285" t="s">
        <v>128</v>
      </c>
      <c r="AG254" s="240" t="e" cm="1">
        <f t="array" ref="AG254">bdRateExtend($G252:$G255,G252:G255,$R252:$R255,R252:R255)</f>
        <v>#VALUE!</v>
      </c>
      <c r="AH254" s="242"/>
      <c r="AI254" s="242"/>
      <c r="AJ254" s="245"/>
      <c r="AK254" s="240" t="e" cm="1">
        <f t="array" ref="AK254">bdRateExtend($G252:$G255,K252:K255,$R252:$R255,V252:V255)</f>
        <v>#VALUE!</v>
      </c>
      <c r="AL254" s="249"/>
      <c r="AM254" s="240" t="e" cm="1">
        <f t="array" ref="AM254">bdRateExtend($G252:$G255,L252:L255,$R252:$R255,W252:W255)</f>
        <v>#VALUE!</v>
      </c>
      <c r="AN254" s="249"/>
      <c r="AO254" s="252" t="e" cm="1">
        <f t="array" ref="AO254">bdRateExtend($G252:$G255,M252:M255,$R252:$R255,X252:X255)</f>
        <v>#VALUE!</v>
      </c>
      <c r="AP254" s="249"/>
    </row>
    <row r="255" spans="1:42" ht="17.100000000000001" customHeight="1" outlineLevel="5" thickBot="1" x14ac:dyDescent="0.3">
      <c r="A255" s="222"/>
      <c r="B255" s="220"/>
      <c r="C255" s="230"/>
      <c r="D255" s="233"/>
      <c r="E255" s="236"/>
      <c r="F255" s="9">
        <v>63</v>
      </c>
      <c r="G255" s="36"/>
      <c r="H255" s="37"/>
      <c r="I255" s="37"/>
      <c r="J255" s="37"/>
      <c r="K255" s="37"/>
      <c r="L255" s="37"/>
      <c r="M255" s="37"/>
      <c r="N255" s="37"/>
      <c r="O255" s="37"/>
      <c r="P255" s="38"/>
      <c r="Q255" s="18"/>
      <c r="R255" s="36"/>
      <c r="S255" s="37"/>
      <c r="T255" s="37"/>
      <c r="U255" s="37"/>
      <c r="V255" s="37"/>
      <c r="W255" s="37"/>
      <c r="X255" s="37"/>
      <c r="Y255" s="37"/>
      <c r="Z255" s="37"/>
      <c r="AA255" s="38"/>
      <c r="AB255" s="52" t="e">
        <f t="shared" si="8"/>
        <v>#DIV/0!</v>
      </c>
      <c r="AC255" s="53" t="e">
        <f t="shared" si="8"/>
        <v>#DIV/0!</v>
      </c>
      <c r="AD255" s="19"/>
      <c r="AE255" s="19"/>
      <c r="AF255" s="286"/>
      <c r="AG255" s="247"/>
      <c r="AH255" s="243"/>
      <c r="AI255" s="243"/>
      <c r="AJ255" s="246"/>
      <c r="AK255" s="247"/>
      <c r="AL255" s="250"/>
      <c r="AM255" s="247"/>
      <c r="AN255" s="250"/>
      <c r="AO255" s="253"/>
      <c r="AP255" s="250"/>
    </row>
    <row r="256" spans="1:42" ht="17.100000000000001" customHeight="1" outlineLevel="5" x14ac:dyDescent="0.25">
      <c r="A256" s="222"/>
      <c r="B256" s="218" t="s">
        <v>2</v>
      </c>
      <c r="C256" s="228" t="s">
        <v>78</v>
      </c>
      <c r="D256" s="231">
        <v>30</v>
      </c>
      <c r="E256" s="234" t="s">
        <v>23</v>
      </c>
      <c r="F256" s="7">
        <v>23</v>
      </c>
      <c r="G256" s="31"/>
      <c r="H256" s="32"/>
      <c r="I256" s="32"/>
      <c r="J256" s="32"/>
      <c r="K256" s="32"/>
      <c r="L256" s="32"/>
      <c r="M256" s="32"/>
      <c r="N256" s="32"/>
      <c r="O256" s="32"/>
      <c r="P256" s="33"/>
      <c r="Q256" s="18"/>
      <c r="R256" s="31"/>
      <c r="S256" s="32"/>
      <c r="T256" s="32"/>
      <c r="U256" s="32"/>
      <c r="V256" s="32"/>
      <c r="W256" s="32"/>
      <c r="X256" s="32"/>
      <c r="Y256" s="32"/>
      <c r="Z256" s="32"/>
      <c r="AA256" s="33"/>
      <c r="AB256" s="48" t="e">
        <f t="shared" si="8"/>
        <v>#DIV/0!</v>
      </c>
      <c r="AC256" s="49" t="e">
        <f t="shared" si="8"/>
        <v>#DIV/0!</v>
      </c>
      <c r="AD256" s="19"/>
      <c r="AE256" s="19"/>
      <c r="AF256" s="284" t="s">
        <v>126</v>
      </c>
      <c r="AG256" s="239" t="e" cm="1">
        <f t="array" ref="AG256">bdRateExtend($G256:$G259,G256:G259,$R256:$R259,R256:R259)</f>
        <v>#VALUE!</v>
      </c>
      <c r="AH256" s="241" t="e" cm="1">
        <f t="array" ref="AH256">bdRateExtend($G256:$G261,H256:H261,$R256:$R261,S256:S261)</f>
        <v>#VALUE!</v>
      </c>
      <c r="AI256" s="241" t="e" cm="1">
        <f t="array" ref="AI256">bdRateExtend($G256:$G261,I256:I261,$R256:$R261,T256:T261)</f>
        <v>#VALUE!</v>
      </c>
      <c r="AJ256" s="244" t="e" cm="1">
        <f t="array" ref="AJ256">bdRateExtend($G256:$G261,J256:J261,$R256:$R261,U256:U261)</f>
        <v>#VALUE!</v>
      </c>
      <c r="AK256" s="239" t="e" cm="1">
        <f t="array" ref="AK256">bdRateExtend($G256:$G259,K256:K259,$R256:$R259,V256:V259)</f>
        <v>#VALUE!</v>
      </c>
      <c r="AL256" s="248" t="e" cm="1">
        <f t="array" ref="AL256">bdRateExtend($G256:$G261,K256:K261,$R256:$R261,V256:V261)</f>
        <v>#VALUE!</v>
      </c>
      <c r="AM256" s="239" t="e" cm="1">
        <f t="array" ref="AM256">bdRateExtend($G256:$G259,L256:L259,$R256:$R259,W256:W259)</f>
        <v>#VALUE!</v>
      </c>
      <c r="AN256" s="248" t="e" cm="1">
        <f t="array" ref="AN256">bdRateExtend($G256:$G261,L256:L261,$R256:$R261,W256:W261)</f>
        <v>#VALUE!</v>
      </c>
      <c r="AO256" s="254" t="e" cm="1">
        <f t="array" ref="AO256">bdRateExtend($G256:$G259,M256:M259,$R256:$R259,X256:X259)</f>
        <v>#VALUE!</v>
      </c>
      <c r="AP256" s="248" t="e" cm="1">
        <f t="array" ref="AP256">bdRateExtend($G256:$G261,M256:M261,$R256:$R261,X256:X261)</f>
        <v>#VALUE!</v>
      </c>
    </row>
    <row r="257" spans="1:42" ht="17.100000000000001" customHeight="1" outlineLevel="5" x14ac:dyDescent="0.25">
      <c r="A257" s="222"/>
      <c r="B257" s="219"/>
      <c r="C257" s="229"/>
      <c r="D257" s="232"/>
      <c r="E257" s="235"/>
      <c r="F257" s="16">
        <v>31</v>
      </c>
      <c r="G257" s="34"/>
      <c r="H257" s="39"/>
      <c r="I257" s="39"/>
      <c r="J257" s="39"/>
      <c r="K257" s="39"/>
      <c r="L257" s="39"/>
      <c r="M257" s="39"/>
      <c r="N257" s="39"/>
      <c r="O257" s="39"/>
      <c r="P257" s="35"/>
      <c r="Q257" s="18"/>
      <c r="R257" s="34"/>
      <c r="S257" s="39"/>
      <c r="T257" s="39"/>
      <c r="U257" s="39"/>
      <c r="V257" s="39"/>
      <c r="W257" s="39"/>
      <c r="X257" s="39"/>
      <c r="Y257" s="39"/>
      <c r="Z257" s="39"/>
      <c r="AA257" s="35"/>
      <c r="AB257" s="50" t="e">
        <f t="shared" si="8"/>
        <v>#DIV/0!</v>
      </c>
      <c r="AC257" s="51" t="e">
        <f t="shared" si="8"/>
        <v>#DIV/0!</v>
      </c>
      <c r="AD257" s="19"/>
      <c r="AE257" s="19"/>
      <c r="AF257" s="285"/>
      <c r="AG257" s="240"/>
      <c r="AH257" s="242"/>
      <c r="AI257" s="242"/>
      <c r="AJ257" s="245"/>
      <c r="AK257" s="240"/>
      <c r="AL257" s="249"/>
      <c r="AM257" s="240"/>
      <c r="AN257" s="249"/>
      <c r="AO257" s="252"/>
      <c r="AP257" s="249"/>
    </row>
    <row r="258" spans="1:42" ht="17.100000000000001" customHeight="1" outlineLevel="5" x14ac:dyDescent="0.25">
      <c r="A258" s="222"/>
      <c r="B258" s="219"/>
      <c r="C258" s="229"/>
      <c r="D258" s="232"/>
      <c r="E258" s="235"/>
      <c r="F258" s="16">
        <v>39</v>
      </c>
      <c r="G258" s="34"/>
      <c r="H258" s="39"/>
      <c r="I258" s="39"/>
      <c r="J258" s="39"/>
      <c r="K258" s="39"/>
      <c r="L258" s="39"/>
      <c r="M258" s="39"/>
      <c r="N258" s="39"/>
      <c r="O258" s="39"/>
      <c r="P258" s="35"/>
      <c r="Q258" s="18"/>
      <c r="R258" s="34"/>
      <c r="S258" s="39"/>
      <c r="T258" s="39"/>
      <c r="U258" s="39"/>
      <c r="V258" s="39"/>
      <c r="W258" s="39"/>
      <c r="X258" s="39"/>
      <c r="Y258" s="39"/>
      <c r="Z258" s="39"/>
      <c r="AA258" s="35"/>
      <c r="AB258" s="50" t="e">
        <f t="shared" si="8"/>
        <v>#DIV/0!</v>
      </c>
      <c r="AC258" s="51" t="e">
        <f t="shared" si="8"/>
        <v>#DIV/0!</v>
      </c>
      <c r="AD258" s="19"/>
      <c r="AE258" s="19"/>
      <c r="AF258" s="285" t="s">
        <v>127</v>
      </c>
      <c r="AG258" s="240" t="e" cm="1">
        <f t="array" ref="AG258">bdRateExtend($G257:$G260,G257:G260,$R257:$R260,R257:R260)</f>
        <v>#VALUE!</v>
      </c>
      <c r="AH258" s="242"/>
      <c r="AI258" s="242"/>
      <c r="AJ258" s="245"/>
      <c r="AK258" s="240" t="e" cm="1">
        <f t="array" ref="AK258">bdRateExtend($G257:$G260,K257:K260,$R257:$R260,V257:V260)</f>
        <v>#VALUE!</v>
      </c>
      <c r="AL258" s="249"/>
      <c r="AM258" s="240" t="e" cm="1">
        <f t="array" ref="AM258">bdRateExtend($G257:$G260,L257:L260,$R257:$R260,W257:W260)</f>
        <v>#VALUE!</v>
      </c>
      <c r="AN258" s="249"/>
      <c r="AO258" s="252" t="e" cm="1">
        <f t="array" ref="AO258">bdRateExtend($G257:$G260,M257:M260,$R257:$R260,X257:X260)</f>
        <v>#VALUE!</v>
      </c>
      <c r="AP258" s="249"/>
    </row>
    <row r="259" spans="1:42" ht="17.100000000000001" customHeight="1" outlineLevel="5" x14ac:dyDescent="0.25">
      <c r="A259" s="222"/>
      <c r="B259" s="219"/>
      <c r="C259" s="229"/>
      <c r="D259" s="232"/>
      <c r="E259" s="235"/>
      <c r="F259" s="16">
        <v>47</v>
      </c>
      <c r="G259" s="34"/>
      <c r="H259" s="39"/>
      <c r="I259" s="39"/>
      <c r="J259" s="39"/>
      <c r="K259" s="39"/>
      <c r="L259" s="39"/>
      <c r="M259" s="39"/>
      <c r="N259" s="39"/>
      <c r="O259" s="39"/>
      <c r="P259" s="35"/>
      <c r="Q259" s="18"/>
      <c r="R259" s="34"/>
      <c r="S259" s="39"/>
      <c r="T259" s="39"/>
      <c r="U259" s="39"/>
      <c r="V259" s="39"/>
      <c r="W259" s="39"/>
      <c r="X259" s="39"/>
      <c r="Y259" s="39"/>
      <c r="Z259" s="39"/>
      <c r="AA259" s="35"/>
      <c r="AB259" s="50" t="e">
        <f t="shared" si="8"/>
        <v>#DIV/0!</v>
      </c>
      <c r="AC259" s="51" t="e">
        <f t="shared" si="8"/>
        <v>#DIV/0!</v>
      </c>
      <c r="AD259" s="19"/>
      <c r="AE259" s="19"/>
      <c r="AF259" s="285"/>
      <c r="AG259" s="240"/>
      <c r="AH259" s="242"/>
      <c r="AI259" s="242"/>
      <c r="AJ259" s="245"/>
      <c r="AK259" s="240"/>
      <c r="AL259" s="249"/>
      <c r="AM259" s="240"/>
      <c r="AN259" s="249"/>
      <c r="AO259" s="252"/>
      <c r="AP259" s="249"/>
    </row>
    <row r="260" spans="1:42" ht="17.100000000000001" customHeight="1" outlineLevel="5" x14ac:dyDescent="0.25">
      <c r="A260" s="222"/>
      <c r="B260" s="219"/>
      <c r="C260" s="229"/>
      <c r="D260" s="232"/>
      <c r="E260" s="235"/>
      <c r="F260" s="16">
        <v>55</v>
      </c>
      <c r="G260" s="34"/>
      <c r="H260" s="39"/>
      <c r="I260" s="39"/>
      <c r="J260" s="39"/>
      <c r="K260" s="39"/>
      <c r="L260" s="39"/>
      <c r="M260" s="39"/>
      <c r="N260" s="39"/>
      <c r="O260" s="39"/>
      <c r="P260" s="35"/>
      <c r="Q260" s="18"/>
      <c r="R260" s="34"/>
      <c r="S260" s="39"/>
      <c r="T260" s="39"/>
      <c r="U260" s="39"/>
      <c r="V260" s="39"/>
      <c r="W260" s="39"/>
      <c r="X260" s="39"/>
      <c r="Y260" s="39"/>
      <c r="Z260" s="39"/>
      <c r="AA260" s="35"/>
      <c r="AB260" s="50" t="e">
        <f t="shared" si="8"/>
        <v>#DIV/0!</v>
      </c>
      <c r="AC260" s="51" t="e">
        <f t="shared" si="8"/>
        <v>#DIV/0!</v>
      </c>
      <c r="AD260" s="19"/>
      <c r="AE260" s="19"/>
      <c r="AF260" s="285" t="s">
        <v>128</v>
      </c>
      <c r="AG260" s="240" t="e" cm="1">
        <f t="array" ref="AG260">bdRateExtend($G258:$G261,G258:G261,$R258:$R261,R258:R261)</f>
        <v>#VALUE!</v>
      </c>
      <c r="AH260" s="242"/>
      <c r="AI260" s="242"/>
      <c r="AJ260" s="245"/>
      <c r="AK260" s="240" t="e" cm="1">
        <f t="array" ref="AK260">bdRateExtend($G258:$G261,K258:K261,$R258:$R261,V258:V261)</f>
        <v>#VALUE!</v>
      </c>
      <c r="AL260" s="249"/>
      <c r="AM260" s="240" t="e" cm="1">
        <f t="array" ref="AM260">bdRateExtend($G258:$G261,L258:L261,$R258:$R261,W258:W261)</f>
        <v>#VALUE!</v>
      </c>
      <c r="AN260" s="249"/>
      <c r="AO260" s="252" t="e" cm="1">
        <f t="array" ref="AO260">bdRateExtend($G258:$G261,M258:M261,$R258:$R261,X258:X261)</f>
        <v>#VALUE!</v>
      </c>
      <c r="AP260" s="249"/>
    </row>
    <row r="261" spans="1:42" ht="17.100000000000001" customHeight="1" outlineLevel="5" thickBot="1" x14ac:dyDescent="0.3">
      <c r="A261" s="222"/>
      <c r="B261" s="220"/>
      <c r="C261" s="230"/>
      <c r="D261" s="233"/>
      <c r="E261" s="236"/>
      <c r="F261" s="9">
        <v>63</v>
      </c>
      <c r="G261" s="36"/>
      <c r="H261" s="37"/>
      <c r="I261" s="37"/>
      <c r="J261" s="37"/>
      <c r="K261" s="37"/>
      <c r="L261" s="37"/>
      <c r="M261" s="37"/>
      <c r="N261" s="37"/>
      <c r="O261" s="37"/>
      <c r="P261" s="38"/>
      <c r="Q261" s="18"/>
      <c r="R261" s="36"/>
      <c r="S261" s="37"/>
      <c r="T261" s="37"/>
      <c r="U261" s="37"/>
      <c r="V261" s="37"/>
      <c r="W261" s="37"/>
      <c r="X261" s="37"/>
      <c r="Y261" s="37"/>
      <c r="Z261" s="37"/>
      <c r="AA261" s="38"/>
      <c r="AB261" s="52" t="e">
        <f t="shared" si="8"/>
        <v>#DIV/0!</v>
      </c>
      <c r="AC261" s="53" t="e">
        <f t="shared" si="8"/>
        <v>#DIV/0!</v>
      </c>
      <c r="AD261" s="19"/>
      <c r="AE261" s="19"/>
      <c r="AF261" s="286"/>
      <c r="AG261" s="247"/>
      <c r="AH261" s="243"/>
      <c r="AI261" s="243"/>
      <c r="AJ261" s="246"/>
      <c r="AK261" s="247"/>
      <c r="AL261" s="250"/>
      <c r="AM261" s="247"/>
      <c r="AN261" s="250"/>
      <c r="AO261" s="253"/>
      <c r="AP261" s="250"/>
    </row>
    <row r="262" spans="1:42" ht="17.100000000000001" customHeight="1" outlineLevel="5" x14ac:dyDescent="0.25">
      <c r="A262" s="222"/>
      <c r="B262" s="218" t="s">
        <v>2</v>
      </c>
      <c r="C262" s="228" t="s">
        <v>27</v>
      </c>
      <c r="D262" s="231">
        <v>60</v>
      </c>
      <c r="E262" s="234">
        <v>8</v>
      </c>
      <c r="F262" s="7">
        <v>23</v>
      </c>
      <c r="G262" s="31"/>
      <c r="H262" s="32"/>
      <c r="I262" s="32"/>
      <c r="J262" s="32"/>
      <c r="K262" s="32"/>
      <c r="L262" s="32"/>
      <c r="M262" s="32"/>
      <c r="N262" s="32"/>
      <c r="O262" s="32"/>
      <c r="P262" s="33"/>
      <c r="Q262" s="18"/>
      <c r="R262" s="31"/>
      <c r="S262" s="32"/>
      <c r="T262" s="32"/>
      <c r="U262" s="32"/>
      <c r="V262" s="32"/>
      <c r="W262" s="32"/>
      <c r="X262" s="32"/>
      <c r="Y262" s="32"/>
      <c r="Z262" s="32"/>
      <c r="AA262" s="33"/>
      <c r="AB262" s="48" t="e">
        <f t="shared" si="8"/>
        <v>#DIV/0!</v>
      </c>
      <c r="AC262" s="49" t="e">
        <f t="shared" si="8"/>
        <v>#DIV/0!</v>
      </c>
      <c r="AD262" s="19"/>
      <c r="AE262" s="19"/>
      <c r="AF262" s="284" t="s">
        <v>126</v>
      </c>
      <c r="AG262" s="239" t="e" cm="1">
        <f t="array" ref="AG262">bdRateExtend($G262:$G265,G262:G265,$R262:$R265,R262:R265)</f>
        <v>#VALUE!</v>
      </c>
      <c r="AH262" s="241" t="e" cm="1">
        <f t="array" ref="AH262">bdRateExtend($G262:$G267,H262:H267,$R262:$R267,S262:S267)</f>
        <v>#VALUE!</v>
      </c>
      <c r="AI262" s="241" t="e" cm="1">
        <f t="array" ref="AI262">bdRateExtend($G262:$G267,I262:I267,$R262:$R267,T262:T267)</f>
        <v>#VALUE!</v>
      </c>
      <c r="AJ262" s="244" t="e" cm="1">
        <f t="array" ref="AJ262">bdRateExtend($G262:$G267,J262:J267,$R262:$R267,U262:U267)</f>
        <v>#VALUE!</v>
      </c>
      <c r="AK262" s="239" t="e" cm="1">
        <f t="array" ref="AK262">bdRateExtend($G262:$G265,K262:K265,$R262:$R265,V262:V265)</f>
        <v>#VALUE!</v>
      </c>
      <c r="AL262" s="248" t="e" cm="1">
        <f t="array" ref="AL262">bdRateExtend($G262:$G267,K262:K267,$R262:$R267,V262:V267)</f>
        <v>#VALUE!</v>
      </c>
      <c r="AM262" s="239" t="e" cm="1">
        <f t="array" ref="AM262">bdRateExtend($G262:$G265,L262:L265,$R262:$R265,W262:W265)</f>
        <v>#VALUE!</v>
      </c>
      <c r="AN262" s="248" t="e" cm="1">
        <f t="array" ref="AN262">bdRateExtend($G262:$G267,L262:L267,$R262:$R267,W262:W267)</f>
        <v>#VALUE!</v>
      </c>
      <c r="AO262" s="254" t="e" cm="1">
        <f t="array" ref="AO262">bdRateExtend($G262:$G265,M262:M265,$R262:$R265,X262:X265)</f>
        <v>#VALUE!</v>
      </c>
      <c r="AP262" s="248" t="e" cm="1">
        <f t="array" ref="AP262">bdRateExtend($G262:$G267,M262:M267,$R262:$R267,X262:X267)</f>
        <v>#VALUE!</v>
      </c>
    </row>
    <row r="263" spans="1:42" ht="17.100000000000001" customHeight="1" outlineLevel="5" x14ac:dyDescent="0.25">
      <c r="A263" s="222"/>
      <c r="B263" s="219"/>
      <c r="C263" s="229"/>
      <c r="D263" s="232"/>
      <c r="E263" s="235"/>
      <c r="F263" s="16">
        <v>31</v>
      </c>
      <c r="G263" s="34"/>
      <c r="H263" s="39"/>
      <c r="I263" s="39"/>
      <c r="J263" s="39"/>
      <c r="K263" s="39"/>
      <c r="L263" s="39"/>
      <c r="M263" s="39"/>
      <c r="N263" s="39"/>
      <c r="O263" s="39"/>
      <c r="P263" s="35"/>
      <c r="Q263" s="18"/>
      <c r="R263" s="34"/>
      <c r="S263" s="39"/>
      <c r="T263" s="39"/>
      <c r="U263" s="39"/>
      <c r="V263" s="39"/>
      <c r="W263" s="39"/>
      <c r="X263" s="39"/>
      <c r="Y263" s="39"/>
      <c r="Z263" s="39"/>
      <c r="AA263" s="35"/>
      <c r="AB263" s="50" t="e">
        <f t="shared" si="8"/>
        <v>#DIV/0!</v>
      </c>
      <c r="AC263" s="51" t="e">
        <f t="shared" si="8"/>
        <v>#DIV/0!</v>
      </c>
      <c r="AD263" s="19"/>
      <c r="AE263" s="19"/>
      <c r="AF263" s="285"/>
      <c r="AG263" s="240"/>
      <c r="AH263" s="242"/>
      <c r="AI263" s="242"/>
      <c r="AJ263" s="245"/>
      <c r="AK263" s="240"/>
      <c r="AL263" s="249"/>
      <c r="AM263" s="240"/>
      <c r="AN263" s="249"/>
      <c r="AO263" s="252"/>
      <c r="AP263" s="249"/>
    </row>
    <row r="264" spans="1:42" ht="17.100000000000001" customHeight="1" outlineLevel="5" x14ac:dyDescent="0.25">
      <c r="A264" s="222"/>
      <c r="B264" s="219"/>
      <c r="C264" s="229"/>
      <c r="D264" s="232"/>
      <c r="E264" s="235"/>
      <c r="F264" s="16">
        <v>39</v>
      </c>
      <c r="G264" s="34"/>
      <c r="H264" s="39"/>
      <c r="I264" s="39"/>
      <c r="J264" s="39"/>
      <c r="K264" s="39"/>
      <c r="L264" s="39"/>
      <c r="M264" s="39"/>
      <c r="N264" s="39"/>
      <c r="O264" s="39"/>
      <c r="P264" s="35"/>
      <c r="Q264" s="18"/>
      <c r="R264" s="34"/>
      <c r="S264" s="39"/>
      <c r="T264" s="39"/>
      <c r="U264" s="39"/>
      <c r="V264" s="39"/>
      <c r="W264" s="39"/>
      <c r="X264" s="39"/>
      <c r="Y264" s="39"/>
      <c r="Z264" s="39"/>
      <c r="AA264" s="35"/>
      <c r="AB264" s="50" t="e">
        <f t="shared" si="8"/>
        <v>#DIV/0!</v>
      </c>
      <c r="AC264" s="51" t="e">
        <f t="shared" si="8"/>
        <v>#DIV/0!</v>
      </c>
      <c r="AD264" s="19"/>
      <c r="AE264" s="19"/>
      <c r="AF264" s="285" t="s">
        <v>127</v>
      </c>
      <c r="AG264" s="240" t="e" cm="1">
        <f t="array" ref="AG264">bdRateExtend($G263:$G266,G263:G266,$R263:$R266,R263:R266)</f>
        <v>#VALUE!</v>
      </c>
      <c r="AH264" s="242"/>
      <c r="AI264" s="242"/>
      <c r="AJ264" s="245"/>
      <c r="AK264" s="240" t="e" cm="1">
        <f t="array" ref="AK264">bdRateExtend($G263:$G266,K263:K266,$R263:$R266,V263:V266)</f>
        <v>#VALUE!</v>
      </c>
      <c r="AL264" s="249"/>
      <c r="AM264" s="240" t="e" cm="1">
        <f t="array" ref="AM264">bdRateExtend($G263:$G266,L263:L266,$R263:$R266,W263:W266)</f>
        <v>#VALUE!</v>
      </c>
      <c r="AN264" s="249"/>
      <c r="AO264" s="252" t="e" cm="1">
        <f t="array" ref="AO264">bdRateExtend($G263:$G266,M263:M266,$R263:$R266,X263:X266)</f>
        <v>#VALUE!</v>
      </c>
      <c r="AP264" s="249"/>
    </row>
    <row r="265" spans="1:42" ht="17.100000000000001" customHeight="1" outlineLevel="5" x14ac:dyDescent="0.25">
      <c r="A265" s="222"/>
      <c r="B265" s="219"/>
      <c r="C265" s="229"/>
      <c r="D265" s="232"/>
      <c r="E265" s="235"/>
      <c r="F265" s="16">
        <v>47</v>
      </c>
      <c r="G265" s="34"/>
      <c r="H265" s="39"/>
      <c r="I265" s="39"/>
      <c r="J265" s="39"/>
      <c r="K265" s="39"/>
      <c r="L265" s="39"/>
      <c r="M265" s="39"/>
      <c r="N265" s="39"/>
      <c r="O265" s="39"/>
      <c r="P265" s="35"/>
      <c r="Q265" s="18"/>
      <c r="R265" s="34"/>
      <c r="S265" s="39"/>
      <c r="T265" s="39"/>
      <c r="U265" s="39"/>
      <c r="V265" s="39"/>
      <c r="W265" s="39"/>
      <c r="X265" s="39"/>
      <c r="Y265" s="39"/>
      <c r="Z265" s="39"/>
      <c r="AA265" s="35"/>
      <c r="AB265" s="50" t="e">
        <f t="shared" si="8"/>
        <v>#DIV/0!</v>
      </c>
      <c r="AC265" s="51" t="e">
        <f t="shared" si="8"/>
        <v>#DIV/0!</v>
      </c>
      <c r="AD265" s="19"/>
      <c r="AE265" s="19"/>
      <c r="AF265" s="285"/>
      <c r="AG265" s="240"/>
      <c r="AH265" s="242"/>
      <c r="AI265" s="242"/>
      <c r="AJ265" s="245"/>
      <c r="AK265" s="240"/>
      <c r="AL265" s="249"/>
      <c r="AM265" s="240"/>
      <c r="AN265" s="249"/>
      <c r="AO265" s="252"/>
      <c r="AP265" s="249"/>
    </row>
    <row r="266" spans="1:42" ht="17.100000000000001" customHeight="1" outlineLevel="5" x14ac:dyDescent="0.25">
      <c r="A266" s="222"/>
      <c r="B266" s="219"/>
      <c r="C266" s="229"/>
      <c r="D266" s="232"/>
      <c r="E266" s="235"/>
      <c r="F266" s="16">
        <v>55</v>
      </c>
      <c r="G266" s="34"/>
      <c r="H266" s="39"/>
      <c r="I266" s="39"/>
      <c r="J266" s="39"/>
      <c r="K266" s="39"/>
      <c r="L266" s="39"/>
      <c r="M266" s="39"/>
      <c r="N266" s="39"/>
      <c r="O266" s="39"/>
      <c r="P266" s="35"/>
      <c r="Q266" s="18"/>
      <c r="R266" s="34"/>
      <c r="S266" s="39"/>
      <c r="T266" s="39"/>
      <c r="U266" s="39"/>
      <c r="V266" s="39"/>
      <c r="W266" s="39"/>
      <c r="X266" s="39"/>
      <c r="Y266" s="39"/>
      <c r="Z266" s="39"/>
      <c r="AA266" s="35"/>
      <c r="AB266" s="50" t="e">
        <f t="shared" si="8"/>
        <v>#DIV/0!</v>
      </c>
      <c r="AC266" s="51" t="e">
        <f t="shared" si="8"/>
        <v>#DIV/0!</v>
      </c>
      <c r="AD266" s="19"/>
      <c r="AE266" s="19"/>
      <c r="AF266" s="285" t="s">
        <v>128</v>
      </c>
      <c r="AG266" s="240" t="e" cm="1">
        <f t="array" ref="AG266">bdRateExtend($G264:$G267,G264:G267,$R264:$R267,R264:R267)</f>
        <v>#VALUE!</v>
      </c>
      <c r="AH266" s="242"/>
      <c r="AI266" s="242"/>
      <c r="AJ266" s="245"/>
      <c r="AK266" s="240" t="e" cm="1">
        <f t="array" ref="AK266">bdRateExtend($G264:$G267,K264:K267,$R264:$R267,V264:V267)</f>
        <v>#VALUE!</v>
      </c>
      <c r="AL266" s="249"/>
      <c r="AM266" s="240" t="e" cm="1">
        <f t="array" ref="AM266">bdRateExtend($G264:$G267,L264:L267,$R264:$R267,W264:W267)</f>
        <v>#VALUE!</v>
      </c>
      <c r="AN266" s="249"/>
      <c r="AO266" s="252" t="e" cm="1">
        <f t="array" ref="AO266">bdRateExtend($G264:$G267,M264:M267,$R264:$R267,X264:X267)</f>
        <v>#VALUE!</v>
      </c>
      <c r="AP266" s="249"/>
    </row>
    <row r="267" spans="1:42" ht="17.100000000000001" customHeight="1" outlineLevel="5" thickBot="1" x14ac:dyDescent="0.3">
      <c r="A267" s="222"/>
      <c r="B267" s="220"/>
      <c r="C267" s="230"/>
      <c r="D267" s="233"/>
      <c r="E267" s="236"/>
      <c r="F267" s="9">
        <v>63</v>
      </c>
      <c r="G267" s="36"/>
      <c r="H267" s="37"/>
      <c r="I267" s="37"/>
      <c r="J267" s="37"/>
      <c r="K267" s="37"/>
      <c r="L267" s="37"/>
      <c r="M267" s="37"/>
      <c r="N267" s="37"/>
      <c r="O267" s="37"/>
      <c r="P267" s="38"/>
      <c r="Q267" s="18"/>
      <c r="R267" s="36"/>
      <c r="S267" s="37"/>
      <c r="T267" s="37"/>
      <c r="U267" s="37"/>
      <c r="V267" s="37"/>
      <c r="W267" s="37"/>
      <c r="X267" s="37"/>
      <c r="Y267" s="37"/>
      <c r="Z267" s="37"/>
      <c r="AA267" s="38"/>
      <c r="AB267" s="52" t="e">
        <f t="shared" si="8"/>
        <v>#DIV/0!</v>
      </c>
      <c r="AC267" s="53" t="e">
        <f t="shared" si="8"/>
        <v>#DIV/0!</v>
      </c>
      <c r="AD267" s="19"/>
      <c r="AE267" s="19"/>
      <c r="AF267" s="286"/>
      <c r="AG267" s="247"/>
      <c r="AH267" s="243"/>
      <c r="AI267" s="243"/>
      <c r="AJ267" s="246"/>
      <c r="AK267" s="247"/>
      <c r="AL267" s="250"/>
      <c r="AM267" s="247"/>
      <c r="AN267" s="250"/>
      <c r="AO267" s="253"/>
      <c r="AP267" s="250"/>
    </row>
    <row r="268" spans="1:42" ht="17.100000000000001" customHeight="1" outlineLevel="5" x14ac:dyDescent="0.25">
      <c r="A268" s="222"/>
      <c r="B268" s="218" t="s">
        <v>2</v>
      </c>
      <c r="C268" s="228" t="s">
        <v>28</v>
      </c>
      <c r="D268" s="231">
        <v>60</v>
      </c>
      <c r="E268" s="234">
        <v>8</v>
      </c>
      <c r="F268" s="7">
        <v>23</v>
      </c>
      <c r="G268" s="31"/>
      <c r="H268" s="32"/>
      <c r="I268" s="32"/>
      <c r="J268" s="32"/>
      <c r="K268" s="32"/>
      <c r="L268" s="32"/>
      <c r="M268" s="32"/>
      <c r="N268" s="32"/>
      <c r="O268" s="32"/>
      <c r="P268" s="33"/>
      <c r="Q268" s="18"/>
      <c r="R268" s="31"/>
      <c r="S268" s="32"/>
      <c r="T268" s="32"/>
      <c r="U268" s="32"/>
      <c r="V268" s="32"/>
      <c r="W268" s="32"/>
      <c r="X268" s="32"/>
      <c r="Y268" s="32"/>
      <c r="Z268" s="32"/>
      <c r="AA268" s="33"/>
      <c r="AB268" s="48" t="e">
        <f t="shared" si="8"/>
        <v>#DIV/0!</v>
      </c>
      <c r="AC268" s="49" t="e">
        <f t="shared" si="8"/>
        <v>#DIV/0!</v>
      </c>
      <c r="AD268" s="19"/>
      <c r="AE268" s="19"/>
      <c r="AF268" s="284" t="s">
        <v>126</v>
      </c>
      <c r="AG268" s="239" t="e" cm="1">
        <f t="array" ref="AG268">bdRateExtend($G268:$G271,G268:G271,$R268:$R271,R268:R271)</f>
        <v>#VALUE!</v>
      </c>
      <c r="AH268" s="241" t="e" cm="1">
        <f t="array" ref="AH268">bdRateExtend($G268:$G273,H268:H273,$R268:$R273,S268:S273)</f>
        <v>#VALUE!</v>
      </c>
      <c r="AI268" s="241" t="e" cm="1">
        <f t="array" ref="AI268">bdRateExtend($G268:$G273,I268:I273,$R268:$R273,T268:T273)</f>
        <v>#VALUE!</v>
      </c>
      <c r="AJ268" s="244" t="e" cm="1">
        <f t="array" ref="AJ268">bdRateExtend($G268:$G273,J268:J273,$R268:$R273,U268:U273)</f>
        <v>#VALUE!</v>
      </c>
      <c r="AK268" s="239" t="e" cm="1">
        <f t="array" ref="AK268">bdRateExtend($G268:$G271,K268:K271,$R268:$R271,V268:V271)</f>
        <v>#VALUE!</v>
      </c>
      <c r="AL268" s="248" t="e" cm="1">
        <f t="array" ref="AL268">bdRateExtend($G268:$G273,K268:K273,$R268:$R273,V268:V273)</f>
        <v>#VALUE!</v>
      </c>
      <c r="AM268" s="239" t="e" cm="1">
        <f t="array" ref="AM268">bdRateExtend($G268:$G271,L268:L271,$R268:$R271,W268:W271)</f>
        <v>#VALUE!</v>
      </c>
      <c r="AN268" s="248" t="e" cm="1">
        <f t="array" ref="AN268">bdRateExtend($G268:$G273,L268:L273,$R268:$R273,W268:W273)</f>
        <v>#VALUE!</v>
      </c>
      <c r="AO268" s="254" t="e" cm="1">
        <f t="array" ref="AO268">bdRateExtend($G268:$G271,M268:M271,$R268:$R271,X268:X271)</f>
        <v>#VALUE!</v>
      </c>
      <c r="AP268" s="248" t="e" cm="1">
        <f t="array" ref="AP268">bdRateExtend($G268:$G273,M268:M273,$R268:$R273,X268:X273)</f>
        <v>#VALUE!</v>
      </c>
    </row>
    <row r="269" spans="1:42" ht="17.100000000000001" customHeight="1" outlineLevel="5" x14ac:dyDescent="0.25">
      <c r="A269" s="222"/>
      <c r="B269" s="219"/>
      <c r="C269" s="229"/>
      <c r="D269" s="232"/>
      <c r="E269" s="235"/>
      <c r="F269" s="16">
        <v>31</v>
      </c>
      <c r="G269" s="34"/>
      <c r="H269" s="39"/>
      <c r="I269" s="39"/>
      <c r="J269" s="39"/>
      <c r="K269" s="39"/>
      <c r="L269" s="39"/>
      <c r="M269" s="39"/>
      <c r="N269" s="39"/>
      <c r="O269" s="39"/>
      <c r="P269" s="35"/>
      <c r="Q269" s="18"/>
      <c r="R269" s="34"/>
      <c r="S269" s="39"/>
      <c r="T269" s="39"/>
      <c r="U269" s="39"/>
      <c r="V269" s="39"/>
      <c r="W269" s="39"/>
      <c r="X269" s="39"/>
      <c r="Y269" s="39"/>
      <c r="Z269" s="39"/>
      <c r="AA269" s="35"/>
      <c r="AB269" s="50" t="e">
        <f t="shared" si="8"/>
        <v>#DIV/0!</v>
      </c>
      <c r="AC269" s="51" t="e">
        <f t="shared" si="8"/>
        <v>#DIV/0!</v>
      </c>
      <c r="AD269" s="19"/>
      <c r="AE269" s="19"/>
      <c r="AF269" s="285"/>
      <c r="AG269" s="240"/>
      <c r="AH269" s="242"/>
      <c r="AI269" s="242"/>
      <c r="AJ269" s="245"/>
      <c r="AK269" s="240"/>
      <c r="AL269" s="249"/>
      <c r="AM269" s="240"/>
      <c r="AN269" s="249"/>
      <c r="AO269" s="252"/>
      <c r="AP269" s="249"/>
    </row>
    <row r="270" spans="1:42" ht="17.100000000000001" customHeight="1" outlineLevel="5" x14ac:dyDescent="0.25">
      <c r="A270" s="222"/>
      <c r="B270" s="219"/>
      <c r="C270" s="229"/>
      <c r="D270" s="232"/>
      <c r="E270" s="235"/>
      <c r="F270" s="16">
        <v>39</v>
      </c>
      <c r="G270" s="34"/>
      <c r="H270" s="39"/>
      <c r="I270" s="39"/>
      <c r="J270" s="39"/>
      <c r="K270" s="39"/>
      <c r="L270" s="39"/>
      <c r="M270" s="39"/>
      <c r="N270" s="39"/>
      <c r="O270" s="39"/>
      <c r="P270" s="35"/>
      <c r="Q270" s="18"/>
      <c r="R270" s="34"/>
      <c r="S270" s="39"/>
      <c r="T270" s="39"/>
      <c r="U270" s="39"/>
      <c r="V270" s="39"/>
      <c r="W270" s="39"/>
      <c r="X270" s="39"/>
      <c r="Y270" s="39"/>
      <c r="Z270" s="39"/>
      <c r="AA270" s="35"/>
      <c r="AB270" s="50" t="e">
        <f t="shared" si="8"/>
        <v>#DIV/0!</v>
      </c>
      <c r="AC270" s="51" t="e">
        <f t="shared" si="8"/>
        <v>#DIV/0!</v>
      </c>
      <c r="AD270" s="19"/>
      <c r="AE270" s="19"/>
      <c r="AF270" s="285" t="s">
        <v>127</v>
      </c>
      <c r="AG270" s="240" t="e" cm="1">
        <f t="array" ref="AG270">bdRateExtend($G269:$G272,G269:G272,$R269:$R272,R269:R272)</f>
        <v>#VALUE!</v>
      </c>
      <c r="AH270" s="242"/>
      <c r="AI270" s="242"/>
      <c r="AJ270" s="245"/>
      <c r="AK270" s="240" t="e" cm="1">
        <f t="array" ref="AK270">bdRateExtend($G269:$G272,K269:K272,$R269:$R272,V269:V272)</f>
        <v>#VALUE!</v>
      </c>
      <c r="AL270" s="249"/>
      <c r="AM270" s="240" t="e" cm="1">
        <f t="array" ref="AM270">bdRateExtend($G269:$G272,L269:L272,$R269:$R272,W269:W272)</f>
        <v>#VALUE!</v>
      </c>
      <c r="AN270" s="249"/>
      <c r="AO270" s="252" t="e" cm="1">
        <f t="array" ref="AO270">bdRateExtend($G269:$G272,M269:M272,$R269:$R272,X269:X272)</f>
        <v>#VALUE!</v>
      </c>
      <c r="AP270" s="249"/>
    </row>
    <row r="271" spans="1:42" ht="17.100000000000001" customHeight="1" outlineLevel="5" x14ac:dyDescent="0.25">
      <c r="A271" s="222"/>
      <c r="B271" s="219"/>
      <c r="C271" s="229"/>
      <c r="D271" s="232"/>
      <c r="E271" s="235"/>
      <c r="F271" s="16">
        <v>47</v>
      </c>
      <c r="G271" s="34"/>
      <c r="H271" s="39"/>
      <c r="I271" s="39"/>
      <c r="J271" s="39"/>
      <c r="K271" s="39"/>
      <c r="L271" s="39"/>
      <c r="M271" s="39"/>
      <c r="N271" s="39"/>
      <c r="O271" s="39"/>
      <c r="P271" s="35"/>
      <c r="Q271" s="18"/>
      <c r="R271" s="34"/>
      <c r="S271" s="39"/>
      <c r="T271" s="39"/>
      <c r="U271" s="39"/>
      <c r="V271" s="39"/>
      <c r="W271" s="39"/>
      <c r="X271" s="39"/>
      <c r="Y271" s="39"/>
      <c r="Z271" s="39"/>
      <c r="AA271" s="35"/>
      <c r="AB271" s="50" t="e">
        <f t="shared" si="8"/>
        <v>#DIV/0!</v>
      </c>
      <c r="AC271" s="51" t="e">
        <f t="shared" si="8"/>
        <v>#DIV/0!</v>
      </c>
      <c r="AD271" s="19"/>
      <c r="AE271" s="19"/>
      <c r="AF271" s="285"/>
      <c r="AG271" s="240"/>
      <c r="AH271" s="242"/>
      <c r="AI271" s="242"/>
      <c r="AJ271" s="245"/>
      <c r="AK271" s="240"/>
      <c r="AL271" s="249"/>
      <c r="AM271" s="240"/>
      <c r="AN271" s="249"/>
      <c r="AO271" s="252"/>
      <c r="AP271" s="249"/>
    </row>
    <row r="272" spans="1:42" ht="17.100000000000001" customHeight="1" outlineLevel="5" x14ac:dyDescent="0.25">
      <c r="A272" s="222"/>
      <c r="B272" s="219"/>
      <c r="C272" s="229"/>
      <c r="D272" s="232"/>
      <c r="E272" s="235"/>
      <c r="F272" s="16">
        <v>55</v>
      </c>
      <c r="G272" s="34"/>
      <c r="H272" s="39"/>
      <c r="I272" s="39"/>
      <c r="J272" s="39"/>
      <c r="K272" s="39"/>
      <c r="L272" s="39"/>
      <c r="M272" s="39"/>
      <c r="N272" s="39"/>
      <c r="O272" s="39"/>
      <c r="P272" s="35"/>
      <c r="Q272" s="18"/>
      <c r="R272" s="34"/>
      <c r="S272" s="39"/>
      <c r="T272" s="39"/>
      <c r="U272" s="39"/>
      <c r="V272" s="39"/>
      <c r="W272" s="39"/>
      <c r="X272" s="39"/>
      <c r="Y272" s="39"/>
      <c r="Z272" s="39"/>
      <c r="AA272" s="35"/>
      <c r="AB272" s="50" t="e">
        <f t="shared" si="8"/>
        <v>#DIV/0!</v>
      </c>
      <c r="AC272" s="51" t="e">
        <f t="shared" si="8"/>
        <v>#DIV/0!</v>
      </c>
      <c r="AD272" s="19"/>
      <c r="AE272" s="19"/>
      <c r="AF272" s="285" t="s">
        <v>128</v>
      </c>
      <c r="AG272" s="240" t="e" cm="1">
        <f t="array" ref="AG272">bdRateExtend($G270:$G273,G270:G273,$R270:$R273,R270:R273)</f>
        <v>#VALUE!</v>
      </c>
      <c r="AH272" s="242"/>
      <c r="AI272" s="242"/>
      <c r="AJ272" s="245"/>
      <c r="AK272" s="240" t="e" cm="1">
        <f t="array" ref="AK272">bdRateExtend($G270:$G273,K270:K273,$R270:$R273,V270:V273)</f>
        <v>#VALUE!</v>
      </c>
      <c r="AL272" s="249"/>
      <c r="AM272" s="240" t="e" cm="1">
        <f t="array" ref="AM272">bdRateExtend($G270:$G273,L270:L273,$R270:$R273,W270:W273)</f>
        <v>#VALUE!</v>
      </c>
      <c r="AN272" s="249"/>
      <c r="AO272" s="252" t="e" cm="1">
        <f t="array" ref="AO272">bdRateExtend($G270:$G273,M270:M273,$R270:$R273,X270:X273)</f>
        <v>#VALUE!</v>
      </c>
      <c r="AP272" s="249"/>
    </row>
    <row r="273" spans="1:42" ht="17.100000000000001" customHeight="1" outlineLevel="5" thickBot="1" x14ac:dyDescent="0.3">
      <c r="A273" s="222"/>
      <c r="B273" s="220"/>
      <c r="C273" s="230"/>
      <c r="D273" s="233"/>
      <c r="E273" s="236"/>
      <c r="F273" s="9">
        <v>63</v>
      </c>
      <c r="G273" s="36"/>
      <c r="H273" s="37"/>
      <c r="I273" s="37"/>
      <c r="J273" s="37"/>
      <c r="K273" s="37"/>
      <c r="L273" s="37"/>
      <c r="M273" s="37"/>
      <c r="N273" s="37"/>
      <c r="O273" s="37"/>
      <c r="P273" s="38"/>
      <c r="Q273" s="18"/>
      <c r="R273" s="36"/>
      <c r="S273" s="37"/>
      <c r="T273" s="37"/>
      <c r="U273" s="37"/>
      <c r="V273" s="37"/>
      <c r="W273" s="37"/>
      <c r="X273" s="37"/>
      <c r="Y273" s="37"/>
      <c r="Z273" s="37"/>
      <c r="AA273" s="38"/>
      <c r="AB273" s="52" t="e">
        <f t="shared" si="8"/>
        <v>#DIV/0!</v>
      </c>
      <c r="AC273" s="53" t="e">
        <f t="shared" si="8"/>
        <v>#DIV/0!</v>
      </c>
      <c r="AD273" s="19"/>
      <c r="AE273" s="19"/>
      <c r="AF273" s="286"/>
      <c r="AG273" s="247"/>
      <c r="AH273" s="243"/>
      <c r="AI273" s="243"/>
      <c r="AJ273" s="246"/>
      <c r="AK273" s="247"/>
      <c r="AL273" s="250"/>
      <c r="AM273" s="247"/>
      <c r="AN273" s="250"/>
      <c r="AO273" s="253"/>
      <c r="AP273" s="250"/>
    </row>
    <row r="274" spans="1:42" ht="17.100000000000001" customHeight="1" outlineLevel="5" x14ac:dyDescent="0.25">
      <c r="A274" s="222"/>
      <c r="B274" s="218" t="s">
        <v>2</v>
      </c>
      <c r="C274" s="228" t="s">
        <v>79</v>
      </c>
      <c r="D274" s="231">
        <v>24</v>
      </c>
      <c r="E274" s="234">
        <v>10</v>
      </c>
      <c r="F274" s="7">
        <v>23</v>
      </c>
      <c r="G274" s="31"/>
      <c r="H274" s="32"/>
      <c r="I274" s="32"/>
      <c r="J274" s="32"/>
      <c r="K274" s="32"/>
      <c r="L274" s="32"/>
      <c r="M274" s="32"/>
      <c r="N274" s="32"/>
      <c r="O274" s="32"/>
      <c r="P274" s="33"/>
      <c r="Q274" s="18"/>
      <c r="R274" s="31"/>
      <c r="S274" s="32"/>
      <c r="T274" s="32"/>
      <c r="U274" s="32"/>
      <c r="V274" s="32"/>
      <c r="W274" s="32"/>
      <c r="X274" s="32"/>
      <c r="Y274" s="32"/>
      <c r="Z274" s="32"/>
      <c r="AA274" s="33"/>
      <c r="AB274" s="48" t="e">
        <f t="shared" si="8"/>
        <v>#DIV/0!</v>
      </c>
      <c r="AC274" s="49" t="e">
        <f t="shared" si="8"/>
        <v>#DIV/0!</v>
      </c>
      <c r="AD274" s="19"/>
      <c r="AE274" s="19"/>
      <c r="AF274" s="284" t="s">
        <v>126</v>
      </c>
      <c r="AG274" s="239" t="e" cm="1">
        <f t="array" ref="AG274">bdRateExtend($G274:$G277,G274:G277,$R274:$R277,R274:R277)</f>
        <v>#VALUE!</v>
      </c>
      <c r="AH274" s="241" t="e" cm="1">
        <f t="array" ref="AH274">bdRateExtend($G274:$G279,H274:H279,$R274:$R279,S274:S279)</f>
        <v>#VALUE!</v>
      </c>
      <c r="AI274" s="241" t="e" cm="1">
        <f t="array" ref="AI274">bdRateExtend($G274:$G279,I274:I279,$R274:$R279,T274:T279)</f>
        <v>#VALUE!</v>
      </c>
      <c r="AJ274" s="244" t="e" cm="1">
        <f t="array" ref="AJ274">bdRateExtend($G274:$G279,J274:J279,$R274:$R279,U274:U279)</f>
        <v>#VALUE!</v>
      </c>
      <c r="AK274" s="239" t="e" cm="1">
        <f t="array" ref="AK274">bdRateExtend($G274:$G277,K274:K277,$R274:$R277,V274:V277)</f>
        <v>#VALUE!</v>
      </c>
      <c r="AL274" s="248" t="e" cm="1">
        <f t="array" ref="AL274">bdRateExtend($G274:$G279,K274:K279,$R274:$R279,V274:V279)</f>
        <v>#VALUE!</v>
      </c>
      <c r="AM274" s="239" t="e" cm="1">
        <f t="array" ref="AM274">bdRateExtend($G274:$G277,L274:L277,$R274:$R277,W274:W277)</f>
        <v>#VALUE!</v>
      </c>
      <c r="AN274" s="248" t="e" cm="1">
        <f t="array" ref="AN274">bdRateExtend($G274:$G279,L274:L279,$R274:$R279,W274:W279)</f>
        <v>#VALUE!</v>
      </c>
      <c r="AO274" s="254" t="e" cm="1">
        <f t="array" ref="AO274">bdRateExtend($G274:$G277,M274:M277,$R274:$R277,X274:X277)</f>
        <v>#VALUE!</v>
      </c>
      <c r="AP274" s="248" t="e" cm="1">
        <f t="array" ref="AP274">bdRateExtend($G274:$G279,M274:M279,$R274:$R279,X274:X279)</f>
        <v>#VALUE!</v>
      </c>
    </row>
    <row r="275" spans="1:42" ht="17.100000000000001" customHeight="1" outlineLevel="5" x14ac:dyDescent="0.25">
      <c r="A275" s="222"/>
      <c r="B275" s="219"/>
      <c r="C275" s="229"/>
      <c r="D275" s="232"/>
      <c r="E275" s="235"/>
      <c r="F275" s="16">
        <v>31</v>
      </c>
      <c r="G275" s="34"/>
      <c r="H275" s="39"/>
      <c r="I275" s="39"/>
      <c r="J275" s="39"/>
      <c r="K275" s="39"/>
      <c r="L275" s="39"/>
      <c r="M275" s="39"/>
      <c r="N275" s="39"/>
      <c r="O275" s="39"/>
      <c r="P275" s="35"/>
      <c r="Q275" s="18"/>
      <c r="R275" s="34"/>
      <c r="S275" s="39"/>
      <c r="T275" s="39"/>
      <c r="U275" s="39"/>
      <c r="V275" s="39"/>
      <c r="W275" s="39"/>
      <c r="X275" s="39"/>
      <c r="Y275" s="39"/>
      <c r="Z275" s="39"/>
      <c r="AA275" s="35"/>
      <c r="AB275" s="50" t="e">
        <f t="shared" si="8"/>
        <v>#DIV/0!</v>
      </c>
      <c r="AC275" s="51" t="e">
        <f t="shared" si="8"/>
        <v>#DIV/0!</v>
      </c>
      <c r="AD275" s="19"/>
      <c r="AE275" s="19"/>
      <c r="AF275" s="285"/>
      <c r="AG275" s="240"/>
      <c r="AH275" s="242"/>
      <c r="AI275" s="242"/>
      <c r="AJ275" s="245"/>
      <c r="AK275" s="240"/>
      <c r="AL275" s="249"/>
      <c r="AM275" s="240"/>
      <c r="AN275" s="249"/>
      <c r="AO275" s="252"/>
      <c r="AP275" s="249"/>
    </row>
    <row r="276" spans="1:42" ht="17.100000000000001" customHeight="1" outlineLevel="5" x14ac:dyDescent="0.25">
      <c r="A276" s="222"/>
      <c r="B276" s="219"/>
      <c r="C276" s="229"/>
      <c r="D276" s="232"/>
      <c r="E276" s="235"/>
      <c r="F276" s="16">
        <v>39</v>
      </c>
      <c r="G276" s="34"/>
      <c r="H276" s="39"/>
      <c r="I276" s="39"/>
      <c r="J276" s="39"/>
      <c r="K276" s="39"/>
      <c r="L276" s="39"/>
      <c r="M276" s="39"/>
      <c r="N276" s="39"/>
      <c r="O276" s="39"/>
      <c r="P276" s="35"/>
      <c r="Q276" s="18"/>
      <c r="R276" s="34"/>
      <c r="S276" s="39"/>
      <c r="T276" s="39"/>
      <c r="U276" s="39"/>
      <c r="V276" s="39"/>
      <c r="W276" s="39"/>
      <c r="X276" s="39"/>
      <c r="Y276" s="39"/>
      <c r="Z276" s="39"/>
      <c r="AA276" s="35"/>
      <c r="AB276" s="50" t="e">
        <f t="shared" si="8"/>
        <v>#DIV/0!</v>
      </c>
      <c r="AC276" s="51" t="e">
        <f t="shared" si="8"/>
        <v>#DIV/0!</v>
      </c>
      <c r="AD276" s="19"/>
      <c r="AE276" s="19"/>
      <c r="AF276" s="285" t="s">
        <v>127</v>
      </c>
      <c r="AG276" s="240" t="e" cm="1">
        <f t="array" ref="AG276">bdRateExtend($G275:$G278,G275:G278,$R275:$R278,R275:R278)</f>
        <v>#VALUE!</v>
      </c>
      <c r="AH276" s="242"/>
      <c r="AI276" s="242"/>
      <c r="AJ276" s="245"/>
      <c r="AK276" s="240" t="e" cm="1">
        <f t="array" ref="AK276">bdRateExtend($G275:$G278,K275:K278,$R275:$R278,V275:V278)</f>
        <v>#VALUE!</v>
      </c>
      <c r="AL276" s="249"/>
      <c r="AM276" s="240" t="e" cm="1">
        <f t="array" ref="AM276">bdRateExtend($G275:$G278,L275:L278,$R275:$R278,W275:W278)</f>
        <v>#VALUE!</v>
      </c>
      <c r="AN276" s="249"/>
      <c r="AO276" s="252" t="e" cm="1">
        <f t="array" ref="AO276">bdRateExtend($G275:$G278,M275:M278,$R275:$R278,X275:X278)</f>
        <v>#VALUE!</v>
      </c>
      <c r="AP276" s="249"/>
    </row>
    <row r="277" spans="1:42" ht="17.100000000000001" customHeight="1" outlineLevel="5" x14ac:dyDescent="0.25">
      <c r="A277" s="222"/>
      <c r="B277" s="219"/>
      <c r="C277" s="229"/>
      <c r="D277" s="232"/>
      <c r="E277" s="235"/>
      <c r="F277" s="16">
        <v>47</v>
      </c>
      <c r="G277" s="34"/>
      <c r="H277" s="39"/>
      <c r="I277" s="39"/>
      <c r="J277" s="39"/>
      <c r="K277" s="39"/>
      <c r="L277" s="39"/>
      <c r="M277" s="39"/>
      <c r="N277" s="39"/>
      <c r="O277" s="39"/>
      <c r="P277" s="35"/>
      <c r="Q277" s="18"/>
      <c r="R277" s="34"/>
      <c r="S277" s="39"/>
      <c r="T277" s="39"/>
      <c r="U277" s="39"/>
      <c r="V277" s="39"/>
      <c r="W277" s="39"/>
      <c r="X277" s="39"/>
      <c r="Y277" s="39"/>
      <c r="Z277" s="39"/>
      <c r="AA277" s="35"/>
      <c r="AB277" s="50" t="e">
        <f t="shared" si="8"/>
        <v>#DIV/0!</v>
      </c>
      <c r="AC277" s="51" t="e">
        <f t="shared" si="8"/>
        <v>#DIV/0!</v>
      </c>
      <c r="AD277" s="19"/>
      <c r="AE277" s="19"/>
      <c r="AF277" s="285"/>
      <c r="AG277" s="240"/>
      <c r="AH277" s="242"/>
      <c r="AI277" s="242"/>
      <c r="AJ277" s="245"/>
      <c r="AK277" s="240"/>
      <c r="AL277" s="249"/>
      <c r="AM277" s="240"/>
      <c r="AN277" s="249"/>
      <c r="AO277" s="252"/>
      <c r="AP277" s="249"/>
    </row>
    <row r="278" spans="1:42" ht="17.100000000000001" customHeight="1" outlineLevel="5" x14ac:dyDescent="0.25">
      <c r="A278" s="222"/>
      <c r="B278" s="219"/>
      <c r="C278" s="229"/>
      <c r="D278" s="232"/>
      <c r="E278" s="235"/>
      <c r="F278" s="16">
        <v>55</v>
      </c>
      <c r="G278" s="34"/>
      <c r="H278" s="39"/>
      <c r="I278" s="39"/>
      <c r="J278" s="39"/>
      <c r="K278" s="39"/>
      <c r="L278" s="39"/>
      <c r="M278" s="39"/>
      <c r="N278" s="39"/>
      <c r="O278" s="39"/>
      <c r="P278" s="35"/>
      <c r="Q278" s="18"/>
      <c r="R278" s="34"/>
      <c r="S278" s="39"/>
      <c r="T278" s="39"/>
      <c r="U278" s="39"/>
      <c r="V278" s="39"/>
      <c r="W278" s="39"/>
      <c r="X278" s="39"/>
      <c r="Y278" s="39"/>
      <c r="Z278" s="39"/>
      <c r="AA278" s="35"/>
      <c r="AB278" s="50" t="e">
        <f t="shared" si="8"/>
        <v>#DIV/0!</v>
      </c>
      <c r="AC278" s="51" t="e">
        <f t="shared" si="8"/>
        <v>#DIV/0!</v>
      </c>
      <c r="AD278" s="19"/>
      <c r="AE278" s="19"/>
      <c r="AF278" s="285" t="s">
        <v>128</v>
      </c>
      <c r="AG278" s="240" t="e" cm="1">
        <f t="array" ref="AG278">bdRateExtend($G276:$G279,G276:G279,$R276:$R279,R276:R279)</f>
        <v>#VALUE!</v>
      </c>
      <c r="AH278" s="242"/>
      <c r="AI278" s="242"/>
      <c r="AJ278" s="245"/>
      <c r="AK278" s="240" t="e" cm="1">
        <f t="array" ref="AK278">bdRateExtend($G276:$G279,K276:K279,$R276:$R279,V276:V279)</f>
        <v>#VALUE!</v>
      </c>
      <c r="AL278" s="249"/>
      <c r="AM278" s="240" t="e" cm="1">
        <f t="array" ref="AM278">bdRateExtend($G276:$G279,L276:L279,$R276:$R279,W276:W279)</f>
        <v>#VALUE!</v>
      </c>
      <c r="AN278" s="249"/>
      <c r="AO278" s="252" t="e" cm="1">
        <f t="array" ref="AO278">bdRateExtend($G276:$G279,M276:M279,$R276:$R279,X276:X279)</f>
        <v>#VALUE!</v>
      </c>
      <c r="AP278" s="249"/>
    </row>
    <row r="279" spans="1:42" ht="17.100000000000001" customHeight="1" outlineLevel="5" thickBot="1" x14ac:dyDescent="0.3">
      <c r="A279" s="222"/>
      <c r="B279" s="220"/>
      <c r="C279" s="230"/>
      <c r="D279" s="233"/>
      <c r="E279" s="236"/>
      <c r="F279" s="9">
        <v>63</v>
      </c>
      <c r="G279" s="36"/>
      <c r="H279" s="37"/>
      <c r="I279" s="37"/>
      <c r="J279" s="37"/>
      <c r="K279" s="37"/>
      <c r="L279" s="37"/>
      <c r="M279" s="37"/>
      <c r="N279" s="37"/>
      <c r="O279" s="37"/>
      <c r="P279" s="38"/>
      <c r="Q279" s="18"/>
      <c r="R279" s="36"/>
      <c r="S279" s="37"/>
      <c r="T279" s="37"/>
      <c r="U279" s="37"/>
      <c r="V279" s="37"/>
      <c r="W279" s="37"/>
      <c r="X279" s="37"/>
      <c r="Y279" s="37"/>
      <c r="Z279" s="37"/>
      <c r="AA279" s="38"/>
      <c r="AB279" s="52" t="e">
        <f t="shared" si="8"/>
        <v>#DIV/0!</v>
      </c>
      <c r="AC279" s="53" t="e">
        <f t="shared" si="8"/>
        <v>#DIV/0!</v>
      </c>
      <c r="AD279" s="19"/>
      <c r="AE279" s="19"/>
      <c r="AF279" s="286"/>
      <c r="AG279" s="247"/>
      <c r="AH279" s="243"/>
      <c r="AI279" s="243"/>
      <c r="AJ279" s="246"/>
      <c r="AK279" s="247"/>
      <c r="AL279" s="250"/>
      <c r="AM279" s="247"/>
      <c r="AN279" s="250"/>
      <c r="AO279" s="253"/>
      <c r="AP279" s="250"/>
    </row>
    <row r="280" spans="1:42" ht="17.100000000000001" customHeight="1" outlineLevel="5" x14ac:dyDescent="0.25">
      <c r="A280" s="222"/>
      <c r="B280" s="218" t="s">
        <v>2</v>
      </c>
      <c r="C280" s="228" t="s">
        <v>80</v>
      </c>
      <c r="D280" s="231">
        <v>24</v>
      </c>
      <c r="E280" s="234">
        <v>10</v>
      </c>
      <c r="F280" s="7">
        <v>23</v>
      </c>
      <c r="G280" s="31"/>
      <c r="H280" s="32"/>
      <c r="I280" s="32"/>
      <c r="J280" s="32"/>
      <c r="K280" s="32"/>
      <c r="L280" s="32"/>
      <c r="M280" s="32"/>
      <c r="N280" s="32"/>
      <c r="O280" s="32"/>
      <c r="P280" s="33"/>
      <c r="Q280" s="18"/>
      <c r="R280" s="31"/>
      <c r="S280" s="32"/>
      <c r="T280" s="32"/>
      <c r="U280" s="32"/>
      <c r="V280" s="32"/>
      <c r="W280" s="32"/>
      <c r="X280" s="32"/>
      <c r="Y280" s="32"/>
      <c r="Z280" s="32"/>
      <c r="AA280" s="33"/>
      <c r="AB280" s="48" t="e">
        <f t="shared" si="8"/>
        <v>#DIV/0!</v>
      </c>
      <c r="AC280" s="49" t="e">
        <f t="shared" si="8"/>
        <v>#DIV/0!</v>
      </c>
      <c r="AD280" s="19"/>
      <c r="AE280" s="19"/>
      <c r="AF280" s="284" t="s">
        <v>126</v>
      </c>
      <c r="AG280" s="239" t="e" cm="1">
        <f t="array" ref="AG280">bdRateExtend($G280:$G283,G280:G283,$R280:$R283,R280:R283)</f>
        <v>#VALUE!</v>
      </c>
      <c r="AH280" s="241" t="e" cm="1">
        <f t="array" ref="AH280">bdRateExtend($G280:$G285,H280:H285,$R280:$R285,S280:S285)</f>
        <v>#VALUE!</v>
      </c>
      <c r="AI280" s="241" t="e" cm="1">
        <f t="array" ref="AI280">bdRateExtend($G280:$G285,I280:I285,$R280:$R285,T280:T285)</f>
        <v>#VALUE!</v>
      </c>
      <c r="AJ280" s="244" t="e" cm="1">
        <f t="array" ref="AJ280">bdRateExtend($G280:$G285,J280:J285,$R280:$R285,U280:U285)</f>
        <v>#VALUE!</v>
      </c>
      <c r="AK280" s="239" t="e" cm="1">
        <f t="array" ref="AK280">bdRateExtend($G280:$G283,K280:K283,$R280:$R283,V280:V283)</f>
        <v>#VALUE!</v>
      </c>
      <c r="AL280" s="248" t="e" cm="1">
        <f t="array" ref="AL280">bdRateExtend($G280:$G285,K280:K285,$R280:$R285,V280:V285)</f>
        <v>#VALUE!</v>
      </c>
      <c r="AM280" s="239" t="e" cm="1">
        <f t="array" ref="AM280">bdRateExtend($G280:$G283,L280:L283,$R280:$R283,W280:W283)</f>
        <v>#VALUE!</v>
      </c>
      <c r="AN280" s="248" t="e" cm="1">
        <f t="array" ref="AN280">bdRateExtend($G280:$G285,L280:L285,$R280:$R285,W280:W285)</f>
        <v>#VALUE!</v>
      </c>
      <c r="AO280" s="254" t="e" cm="1">
        <f t="array" ref="AO280">bdRateExtend($G280:$G283,M280:M283,$R280:$R283,X280:X283)</f>
        <v>#VALUE!</v>
      </c>
      <c r="AP280" s="248" t="e" cm="1">
        <f t="array" ref="AP280">bdRateExtend($G280:$G285,M280:M285,$R280:$R285,X280:X285)</f>
        <v>#VALUE!</v>
      </c>
    </row>
    <row r="281" spans="1:42" ht="17.100000000000001" customHeight="1" outlineLevel="5" x14ac:dyDescent="0.25">
      <c r="A281" s="222"/>
      <c r="B281" s="219"/>
      <c r="C281" s="229"/>
      <c r="D281" s="232"/>
      <c r="E281" s="235"/>
      <c r="F281" s="16">
        <v>31</v>
      </c>
      <c r="G281" s="34"/>
      <c r="H281" s="39"/>
      <c r="I281" s="39"/>
      <c r="J281" s="39"/>
      <c r="K281" s="39"/>
      <c r="L281" s="39"/>
      <c r="M281" s="39"/>
      <c r="N281" s="39"/>
      <c r="O281" s="39"/>
      <c r="P281" s="35"/>
      <c r="Q281" s="18"/>
      <c r="R281" s="34"/>
      <c r="S281" s="39"/>
      <c r="T281" s="39"/>
      <c r="U281" s="39"/>
      <c r="V281" s="39"/>
      <c r="W281" s="39"/>
      <c r="X281" s="39"/>
      <c r="Y281" s="39"/>
      <c r="Z281" s="39"/>
      <c r="AA281" s="35"/>
      <c r="AB281" s="50" t="e">
        <f t="shared" si="8"/>
        <v>#DIV/0!</v>
      </c>
      <c r="AC281" s="51" t="e">
        <f t="shared" si="8"/>
        <v>#DIV/0!</v>
      </c>
      <c r="AD281" s="19"/>
      <c r="AE281" s="19"/>
      <c r="AF281" s="285"/>
      <c r="AG281" s="240"/>
      <c r="AH281" s="242"/>
      <c r="AI281" s="242"/>
      <c r="AJ281" s="245"/>
      <c r="AK281" s="240"/>
      <c r="AL281" s="249"/>
      <c r="AM281" s="240"/>
      <c r="AN281" s="249"/>
      <c r="AO281" s="252"/>
      <c r="AP281" s="249"/>
    </row>
    <row r="282" spans="1:42" ht="17.100000000000001" customHeight="1" outlineLevel="5" x14ac:dyDescent="0.25">
      <c r="A282" s="222"/>
      <c r="B282" s="219"/>
      <c r="C282" s="229"/>
      <c r="D282" s="232"/>
      <c r="E282" s="235"/>
      <c r="F282" s="16">
        <v>39</v>
      </c>
      <c r="G282" s="34"/>
      <c r="H282" s="39"/>
      <c r="I282" s="39"/>
      <c r="J282" s="39"/>
      <c r="K282" s="39"/>
      <c r="L282" s="39"/>
      <c r="M282" s="39"/>
      <c r="N282" s="39"/>
      <c r="O282" s="39"/>
      <c r="P282" s="35"/>
      <c r="Q282" s="18"/>
      <c r="R282" s="34"/>
      <c r="S282" s="39"/>
      <c r="T282" s="39"/>
      <c r="U282" s="39"/>
      <c r="V282" s="39"/>
      <c r="W282" s="39"/>
      <c r="X282" s="39"/>
      <c r="Y282" s="39"/>
      <c r="Z282" s="39"/>
      <c r="AA282" s="35"/>
      <c r="AB282" s="50" t="e">
        <f t="shared" si="8"/>
        <v>#DIV/0!</v>
      </c>
      <c r="AC282" s="51" t="e">
        <f t="shared" si="8"/>
        <v>#DIV/0!</v>
      </c>
      <c r="AD282" s="19"/>
      <c r="AE282" s="19"/>
      <c r="AF282" s="285" t="s">
        <v>127</v>
      </c>
      <c r="AG282" s="240" t="e" cm="1">
        <f t="array" ref="AG282">bdRateExtend($G281:$G284,G281:G284,$R281:$R284,R281:R284)</f>
        <v>#VALUE!</v>
      </c>
      <c r="AH282" s="242"/>
      <c r="AI282" s="242"/>
      <c r="AJ282" s="245"/>
      <c r="AK282" s="240" t="e" cm="1">
        <f t="array" ref="AK282">bdRateExtend($G281:$G284,K281:K284,$R281:$R284,V281:V284)</f>
        <v>#VALUE!</v>
      </c>
      <c r="AL282" s="249"/>
      <c r="AM282" s="240" t="e" cm="1">
        <f t="array" ref="AM282">bdRateExtend($G281:$G284,L281:L284,$R281:$R284,W281:W284)</f>
        <v>#VALUE!</v>
      </c>
      <c r="AN282" s="249"/>
      <c r="AO282" s="252" t="e" cm="1">
        <f t="array" ref="AO282">bdRateExtend($G281:$G284,M281:M284,$R281:$R284,X281:X284)</f>
        <v>#VALUE!</v>
      </c>
      <c r="AP282" s="249"/>
    </row>
    <row r="283" spans="1:42" ht="17.100000000000001" customHeight="1" outlineLevel="5" x14ac:dyDescent="0.25">
      <c r="A283" s="222"/>
      <c r="B283" s="219"/>
      <c r="C283" s="229"/>
      <c r="D283" s="232"/>
      <c r="E283" s="235"/>
      <c r="F283" s="16">
        <v>47</v>
      </c>
      <c r="G283" s="34"/>
      <c r="H283" s="39"/>
      <c r="I283" s="39"/>
      <c r="J283" s="39"/>
      <c r="K283" s="39"/>
      <c r="L283" s="39"/>
      <c r="M283" s="39"/>
      <c r="N283" s="39"/>
      <c r="O283" s="39"/>
      <c r="P283" s="35"/>
      <c r="Q283" s="18"/>
      <c r="R283" s="34"/>
      <c r="S283" s="39"/>
      <c r="T283" s="39"/>
      <c r="U283" s="39"/>
      <c r="V283" s="39"/>
      <c r="W283" s="39"/>
      <c r="X283" s="39"/>
      <c r="Y283" s="39"/>
      <c r="Z283" s="39"/>
      <c r="AA283" s="35"/>
      <c r="AB283" s="50" t="e">
        <f t="shared" si="8"/>
        <v>#DIV/0!</v>
      </c>
      <c r="AC283" s="51" t="e">
        <f t="shared" si="8"/>
        <v>#DIV/0!</v>
      </c>
      <c r="AD283" s="19"/>
      <c r="AE283" s="19"/>
      <c r="AF283" s="285"/>
      <c r="AG283" s="240"/>
      <c r="AH283" s="242"/>
      <c r="AI283" s="242"/>
      <c r="AJ283" s="245"/>
      <c r="AK283" s="240"/>
      <c r="AL283" s="249"/>
      <c r="AM283" s="240"/>
      <c r="AN283" s="249"/>
      <c r="AO283" s="252"/>
      <c r="AP283" s="249"/>
    </row>
    <row r="284" spans="1:42" ht="17.100000000000001" customHeight="1" outlineLevel="5" x14ac:dyDescent="0.25">
      <c r="A284" s="222"/>
      <c r="B284" s="219"/>
      <c r="C284" s="229"/>
      <c r="D284" s="232"/>
      <c r="E284" s="235"/>
      <c r="F284" s="16">
        <v>55</v>
      </c>
      <c r="G284" s="34"/>
      <c r="H284" s="39"/>
      <c r="I284" s="39"/>
      <c r="J284" s="39"/>
      <c r="K284" s="39"/>
      <c r="L284" s="39"/>
      <c r="M284" s="39"/>
      <c r="N284" s="39"/>
      <c r="O284" s="39"/>
      <c r="P284" s="35"/>
      <c r="Q284" s="18"/>
      <c r="R284" s="34"/>
      <c r="S284" s="39"/>
      <c r="T284" s="39"/>
      <c r="U284" s="39"/>
      <c r="V284" s="39"/>
      <c r="W284" s="39"/>
      <c r="X284" s="39"/>
      <c r="Y284" s="39"/>
      <c r="Z284" s="39"/>
      <c r="AA284" s="35"/>
      <c r="AB284" s="50" t="e">
        <f t="shared" si="8"/>
        <v>#DIV/0!</v>
      </c>
      <c r="AC284" s="51" t="e">
        <f t="shared" si="8"/>
        <v>#DIV/0!</v>
      </c>
      <c r="AD284" s="19"/>
      <c r="AE284" s="19"/>
      <c r="AF284" s="285" t="s">
        <v>128</v>
      </c>
      <c r="AG284" s="240" t="e" cm="1">
        <f t="array" ref="AG284">bdRateExtend($G282:$G285,G282:G285,$R282:$R285,R282:R285)</f>
        <v>#VALUE!</v>
      </c>
      <c r="AH284" s="242"/>
      <c r="AI284" s="242"/>
      <c r="AJ284" s="245"/>
      <c r="AK284" s="240" t="e" cm="1">
        <f t="array" ref="AK284">bdRateExtend($G282:$G285,K282:K285,$R282:$R285,V282:V285)</f>
        <v>#VALUE!</v>
      </c>
      <c r="AL284" s="249"/>
      <c r="AM284" s="240" t="e" cm="1">
        <f t="array" ref="AM284">bdRateExtend($G282:$G285,L282:L285,$R282:$R285,W282:W285)</f>
        <v>#VALUE!</v>
      </c>
      <c r="AN284" s="249"/>
      <c r="AO284" s="252" t="e" cm="1">
        <f t="array" ref="AO284">bdRateExtend($G282:$G285,M282:M285,$R282:$R285,X282:X285)</f>
        <v>#VALUE!</v>
      </c>
      <c r="AP284" s="249"/>
    </row>
    <row r="285" spans="1:42" ht="17.100000000000001" customHeight="1" outlineLevel="5" thickBot="1" x14ac:dyDescent="0.3">
      <c r="A285" s="222"/>
      <c r="B285" s="220"/>
      <c r="C285" s="230"/>
      <c r="D285" s="233"/>
      <c r="E285" s="236"/>
      <c r="F285" s="9">
        <v>63</v>
      </c>
      <c r="G285" s="36"/>
      <c r="H285" s="37"/>
      <c r="I285" s="37"/>
      <c r="J285" s="37"/>
      <c r="K285" s="37"/>
      <c r="L285" s="37"/>
      <c r="M285" s="37"/>
      <c r="N285" s="37"/>
      <c r="O285" s="37"/>
      <c r="P285" s="38"/>
      <c r="Q285" s="18"/>
      <c r="R285" s="36"/>
      <c r="S285" s="37"/>
      <c r="T285" s="37"/>
      <c r="U285" s="37"/>
      <c r="V285" s="37"/>
      <c r="W285" s="37"/>
      <c r="X285" s="37"/>
      <c r="Y285" s="37"/>
      <c r="Z285" s="37"/>
      <c r="AA285" s="38"/>
      <c r="AB285" s="52" t="e">
        <f t="shared" si="8"/>
        <v>#DIV/0!</v>
      </c>
      <c r="AC285" s="53" t="e">
        <f t="shared" si="8"/>
        <v>#DIV/0!</v>
      </c>
      <c r="AD285" s="19"/>
      <c r="AE285" s="19"/>
      <c r="AF285" s="286"/>
      <c r="AG285" s="247"/>
      <c r="AH285" s="243"/>
      <c r="AI285" s="243"/>
      <c r="AJ285" s="246"/>
      <c r="AK285" s="247"/>
      <c r="AL285" s="250"/>
      <c r="AM285" s="247"/>
      <c r="AN285" s="250"/>
      <c r="AO285" s="253"/>
      <c r="AP285" s="250"/>
    </row>
    <row r="286" spans="1:42" ht="17.100000000000001" customHeight="1" outlineLevel="5" x14ac:dyDescent="0.25">
      <c r="A286" s="222"/>
      <c r="B286" s="218" t="s">
        <v>2</v>
      </c>
      <c r="C286" s="228" t="s">
        <v>81</v>
      </c>
      <c r="D286" s="231">
        <v>30</v>
      </c>
      <c r="E286" s="234" t="s">
        <v>23</v>
      </c>
      <c r="F286" s="7">
        <v>23</v>
      </c>
      <c r="G286" s="31"/>
      <c r="H286" s="32"/>
      <c r="I286" s="32"/>
      <c r="J286" s="32"/>
      <c r="K286" s="32"/>
      <c r="L286" s="32"/>
      <c r="M286" s="32"/>
      <c r="N286" s="32"/>
      <c r="O286" s="32"/>
      <c r="P286" s="33"/>
      <c r="Q286" s="18"/>
      <c r="R286" s="31"/>
      <c r="S286" s="32"/>
      <c r="T286" s="32"/>
      <c r="U286" s="32"/>
      <c r="V286" s="32"/>
      <c r="W286" s="32"/>
      <c r="X286" s="32"/>
      <c r="Y286" s="32"/>
      <c r="Z286" s="32"/>
      <c r="AA286" s="33"/>
      <c r="AB286" s="48" t="e">
        <f t="shared" si="8"/>
        <v>#DIV/0!</v>
      </c>
      <c r="AC286" s="49" t="e">
        <f t="shared" si="8"/>
        <v>#DIV/0!</v>
      </c>
      <c r="AD286" s="19"/>
      <c r="AE286" s="19"/>
      <c r="AF286" s="284" t="s">
        <v>126</v>
      </c>
      <c r="AG286" s="239" t="e" cm="1">
        <f t="array" ref="AG286">bdRateExtend($G286:$G289,G286:G289,$R286:$R289,R286:R289)</f>
        <v>#VALUE!</v>
      </c>
      <c r="AH286" s="241" t="e" cm="1">
        <f t="array" ref="AH286">bdRateExtend($G286:$G291,H286:H291,$R286:$R291,S286:S291)</f>
        <v>#VALUE!</v>
      </c>
      <c r="AI286" s="241" t="e" cm="1">
        <f t="array" ref="AI286">bdRateExtend($G286:$G291,I286:I291,$R286:$R291,T286:T291)</f>
        <v>#VALUE!</v>
      </c>
      <c r="AJ286" s="244" t="e" cm="1">
        <f t="array" ref="AJ286">bdRateExtend($G286:$G291,J286:J291,$R286:$R291,U286:U291)</f>
        <v>#VALUE!</v>
      </c>
      <c r="AK286" s="239" t="e" cm="1">
        <f t="array" ref="AK286">bdRateExtend($G286:$G289,K286:K289,$R286:$R289,V286:V289)</f>
        <v>#VALUE!</v>
      </c>
      <c r="AL286" s="248" t="e" cm="1">
        <f t="array" ref="AL286">bdRateExtend($G286:$G291,K286:K291,$R286:$R291,V286:V291)</f>
        <v>#VALUE!</v>
      </c>
      <c r="AM286" s="239" t="e" cm="1">
        <f t="array" ref="AM286">bdRateExtend($G286:$G289,L286:L289,$R286:$R289,W286:W289)</f>
        <v>#VALUE!</v>
      </c>
      <c r="AN286" s="248" t="e" cm="1">
        <f t="array" ref="AN286">bdRateExtend($G286:$G291,L286:L291,$R286:$R291,W286:W291)</f>
        <v>#VALUE!</v>
      </c>
      <c r="AO286" s="254" t="e" cm="1">
        <f t="array" ref="AO286">bdRateExtend($G286:$G289,M286:M289,$R286:$R289,X286:X289)</f>
        <v>#VALUE!</v>
      </c>
      <c r="AP286" s="248" t="e" cm="1">
        <f t="array" ref="AP286">bdRateExtend($G286:$G291,M286:M291,$R286:$R291,X286:X291)</f>
        <v>#VALUE!</v>
      </c>
    </row>
    <row r="287" spans="1:42" ht="17.100000000000001" customHeight="1" outlineLevel="5" x14ac:dyDescent="0.25">
      <c r="A287" s="222"/>
      <c r="B287" s="219"/>
      <c r="C287" s="229"/>
      <c r="D287" s="232"/>
      <c r="E287" s="235"/>
      <c r="F287" s="16">
        <v>31</v>
      </c>
      <c r="G287" s="34"/>
      <c r="H287" s="39"/>
      <c r="I287" s="39"/>
      <c r="J287" s="39"/>
      <c r="K287" s="39"/>
      <c r="L287" s="39"/>
      <c r="M287" s="39"/>
      <c r="N287" s="39"/>
      <c r="O287" s="39"/>
      <c r="P287" s="35"/>
      <c r="Q287" s="18"/>
      <c r="R287" s="34"/>
      <c r="S287" s="39"/>
      <c r="T287" s="39"/>
      <c r="U287" s="39"/>
      <c r="V287" s="39"/>
      <c r="W287" s="39"/>
      <c r="X287" s="39"/>
      <c r="Y287" s="39"/>
      <c r="Z287" s="39"/>
      <c r="AA287" s="35"/>
      <c r="AB287" s="50" t="e">
        <f t="shared" si="8"/>
        <v>#DIV/0!</v>
      </c>
      <c r="AC287" s="51" t="e">
        <f t="shared" si="8"/>
        <v>#DIV/0!</v>
      </c>
      <c r="AD287" s="19"/>
      <c r="AE287" s="19"/>
      <c r="AF287" s="285"/>
      <c r="AG287" s="240"/>
      <c r="AH287" s="242"/>
      <c r="AI287" s="242"/>
      <c r="AJ287" s="245"/>
      <c r="AK287" s="240"/>
      <c r="AL287" s="249"/>
      <c r="AM287" s="240"/>
      <c r="AN287" s="249"/>
      <c r="AO287" s="252"/>
      <c r="AP287" s="249"/>
    </row>
    <row r="288" spans="1:42" ht="17.100000000000001" customHeight="1" outlineLevel="5" x14ac:dyDescent="0.25">
      <c r="A288" s="222"/>
      <c r="B288" s="219"/>
      <c r="C288" s="229"/>
      <c r="D288" s="232"/>
      <c r="E288" s="235"/>
      <c r="F288" s="16">
        <v>39</v>
      </c>
      <c r="G288" s="34"/>
      <c r="H288" s="39"/>
      <c r="I288" s="39"/>
      <c r="J288" s="39"/>
      <c r="K288" s="39"/>
      <c r="L288" s="39"/>
      <c r="M288" s="39"/>
      <c r="N288" s="39"/>
      <c r="O288" s="39"/>
      <c r="P288" s="35"/>
      <c r="Q288" s="18"/>
      <c r="R288" s="34"/>
      <c r="S288" s="39"/>
      <c r="T288" s="39"/>
      <c r="U288" s="39"/>
      <c r="V288" s="39"/>
      <c r="W288" s="39"/>
      <c r="X288" s="39"/>
      <c r="Y288" s="39"/>
      <c r="Z288" s="39"/>
      <c r="AA288" s="35"/>
      <c r="AB288" s="50" t="e">
        <f t="shared" si="8"/>
        <v>#DIV/0!</v>
      </c>
      <c r="AC288" s="51" t="e">
        <f t="shared" si="8"/>
        <v>#DIV/0!</v>
      </c>
      <c r="AD288" s="19"/>
      <c r="AE288" s="19"/>
      <c r="AF288" s="285" t="s">
        <v>127</v>
      </c>
      <c r="AG288" s="240" t="e" cm="1">
        <f t="array" ref="AG288">bdRateExtend($G287:$G290,G287:G290,$R287:$R290,R287:R290)</f>
        <v>#VALUE!</v>
      </c>
      <c r="AH288" s="242"/>
      <c r="AI288" s="242"/>
      <c r="AJ288" s="245"/>
      <c r="AK288" s="240" t="e" cm="1">
        <f t="array" ref="AK288">bdRateExtend($G287:$G290,K287:K290,$R287:$R290,V287:V290)</f>
        <v>#VALUE!</v>
      </c>
      <c r="AL288" s="249"/>
      <c r="AM288" s="240" t="e" cm="1">
        <f t="array" ref="AM288">bdRateExtend($G287:$G290,L287:L290,$R287:$R290,W287:W290)</f>
        <v>#VALUE!</v>
      </c>
      <c r="AN288" s="249"/>
      <c r="AO288" s="252" t="e" cm="1">
        <f t="array" ref="AO288">bdRateExtend($G287:$G290,M287:M290,$R287:$R290,X287:X290)</f>
        <v>#VALUE!</v>
      </c>
      <c r="AP288" s="249"/>
    </row>
    <row r="289" spans="1:42" ht="17.100000000000001" customHeight="1" outlineLevel="5" x14ac:dyDescent="0.25">
      <c r="A289" s="222"/>
      <c r="B289" s="219"/>
      <c r="C289" s="229"/>
      <c r="D289" s="232"/>
      <c r="E289" s="235"/>
      <c r="F289" s="16">
        <v>47</v>
      </c>
      <c r="G289" s="34"/>
      <c r="H289" s="39"/>
      <c r="I289" s="39"/>
      <c r="J289" s="39"/>
      <c r="K289" s="39"/>
      <c r="L289" s="39"/>
      <c r="M289" s="39"/>
      <c r="N289" s="39"/>
      <c r="O289" s="39"/>
      <c r="P289" s="35"/>
      <c r="Q289" s="18"/>
      <c r="R289" s="34"/>
      <c r="S289" s="39"/>
      <c r="T289" s="39"/>
      <c r="U289" s="39"/>
      <c r="V289" s="39"/>
      <c r="W289" s="39"/>
      <c r="X289" s="39"/>
      <c r="Y289" s="39"/>
      <c r="Z289" s="39"/>
      <c r="AA289" s="35"/>
      <c r="AB289" s="50" t="e">
        <f t="shared" si="8"/>
        <v>#DIV/0!</v>
      </c>
      <c r="AC289" s="51" t="e">
        <f t="shared" si="8"/>
        <v>#DIV/0!</v>
      </c>
      <c r="AD289" s="19"/>
      <c r="AE289" s="19"/>
      <c r="AF289" s="285"/>
      <c r="AG289" s="240"/>
      <c r="AH289" s="242"/>
      <c r="AI289" s="242"/>
      <c r="AJ289" s="245"/>
      <c r="AK289" s="240"/>
      <c r="AL289" s="249"/>
      <c r="AM289" s="240"/>
      <c r="AN289" s="249"/>
      <c r="AO289" s="252"/>
      <c r="AP289" s="249"/>
    </row>
    <row r="290" spans="1:42" ht="17.100000000000001" customHeight="1" outlineLevel="5" x14ac:dyDescent="0.25">
      <c r="A290" s="222"/>
      <c r="B290" s="219"/>
      <c r="C290" s="229"/>
      <c r="D290" s="232"/>
      <c r="E290" s="235"/>
      <c r="F290" s="16">
        <v>55</v>
      </c>
      <c r="G290" s="34"/>
      <c r="H290" s="39"/>
      <c r="I290" s="39"/>
      <c r="J290" s="39"/>
      <c r="K290" s="39"/>
      <c r="L290" s="39"/>
      <c r="M290" s="39"/>
      <c r="N290" s="39"/>
      <c r="O290" s="39"/>
      <c r="P290" s="35"/>
      <c r="Q290" s="18"/>
      <c r="R290" s="34"/>
      <c r="S290" s="39"/>
      <c r="T290" s="39"/>
      <c r="U290" s="39"/>
      <c r="V290" s="39"/>
      <c r="W290" s="39"/>
      <c r="X290" s="39"/>
      <c r="Y290" s="39"/>
      <c r="Z290" s="39"/>
      <c r="AA290" s="35"/>
      <c r="AB290" s="50" t="e">
        <f t="shared" si="8"/>
        <v>#DIV/0!</v>
      </c>
      <c r="AC290" s="51" t="e">
        <f t="shared" si="8"/>
        <v>#DIV/0!</v>
      </c>
      <c r="AD290" s="19"/>
      <c r="AE290" s="19"/>
      <c r="AF290" s="285" t="s">
        <v>128</v>
      </c>
      <c r="AG290" s="240" t="e" cm="1">
        <f t="array" ref="AG290">bdRateExtend($G288:$G291,G288:G291,$R288:$R291,R288:R291)</f>
        <v>#VALUE!</v>
      </c>
      <c r="AH290" s="242"/>
      <c r="AI290" s="242"/>
      <c r="AJ290" s="245"/>
      <c r="AK290" s="240" t="e" cm="1">
        <f t="array" ref="AK290">bdRateExtend($G288:$G291,K288:K291,$R288:$R291,V288:V291)</f>
        <v>#VALUE!</v>
      </c>
      <c r="AL290" s="249"/>
      <c r="AM290" s="240" t="e" cm="1">
        <f t="array" ref="AM290">bdRateExtend($G288:$G291,L288:L291,$R288:$R291,W288:W291)</f>
        <v>#VALUE!</v>
      </c>
      <c r="AN290" s="249"/>
      <c r="AO290" s="252" t="e" cm="1">
        <f t="array" ref="AO290">bdRateExtend($G288:$G291,M288:M291,$R288:$R291,X288:X291)</f>
        <v>#VALUE!</v>
      </c>
      <c r="AP290" s="249"/>
    </row>
    <row r="291" spans="1:42" ht="17.100000000000001" customHeight="1" outlineLevel="5" thickBot="1" x14ac:dyDescent="0.3">
      <c r="A291" s="223"/>
      <c r="B291" s="220"/>
      <c r="C291" s="230"/>
      <c r="D291" s="233"/>
      <c r="E291" s="236"/>
      <c r="F291" s="9">
        <v>63</v>
      </c>
      <c r="G291" s="36"/>
      <c r="H291" s="37"/>
      <c r="I291" s="37"/>
      <c r="J291" s="37"/>
      <c r="K291" s="37"/>
      <c r="L291" s="37"/>
      <c r="M291" s="37"/>
      <c r="N291" s="37"/>
      <c r="O291" s="37"/>
      <c r="P291" s="38"/>
      <c r="Q291" s="18"/>
      <c r="R291" s="36"/>
      <c r="S291" s="37"/>
      <c r="T291" s="37"/>
      <c r="U291" s="37"/>
      <c r="V291" s="37"/>
      <c r="W291" s="37"/>
      <c r="X291" s="37"/>
      <c r="Y291" s="37"/>
      <c r="Z291" s="37"/>
      <c r="AA291" s="38"/>
      <c r="AB291" s="52" t="e">
        <f t="shared" si="8"/>
        <v>#DIV/0!</v>
      </c>
      <c r="AC291" s="53" t="e">
        <f t="shared" si="8"/>
        <v>#DIV/0!</v>
      </c>
      <c r="AD291" s="19"/>
      <c r="AE291" s="19"/>
      <c r="AF291" s="286"/>
      <c r="AG291" s="247"/>
      <c r="AH291" s="243"/>
      <c r="AI291" s="243"/>
      <c r="AJ291" s="246"/>
      <c r="AK291" s="247"/>
      <c r="AL291" s="250"/>
      <c r="AM291" s="247"/>
      <c r="AN291" s="250"/>
      <c r="AO291" s="253"/>
      <c r="AP291" s="250"/>
    </row>
    <row r="292" spans="1:42" ht="17.100000000000001" customHeight="1" thickBot="1" x14ac:dyDescent="0.3">
      <c r="A292" s="70"/>
      <c r="B292" s="71"/>
      <c r="C292" s="72"/>
      <c r="D292" s="71"/>
      <c r="E292" s="71"/>
      <c r="F292" s="71"/>
      <c r="G292" s="73"/>
      <c r="H292" s="73"/>
      <c r="I292" s="73"/>
      <c r="J292" s="73"/>
      <c r="K292" s="73"/>
      <c r="L292" s="73"/>
      <c r="M292" s="73"/>
      <c r="N292" s="73"/>
      <c r="O292" s="73"/>
      <c r="P292" s="73"/>
      <c r="Q292" s="74"/>
      <c r="R292" s="73"/>
      <c r="S292" s="73"/>
      <c r="T292" s="73"/>
      <c r="U292" s="73"/>
      <c r="V292" s="73"/>
      <c r="W292" s="73"/>
      <c r="X292" s="73"/>
      <c r="Y292" s="73"/>
      <c r="Z292" s="73"/>
      <c r="AA292" s="73"/>
      <c r="AB292" s="75"/>
      <c r="AC292" s="75"/>
      <c r="AD292" s="19"/>
      <c r="AE292" s="19"/>
      <c r="AF292" s="19"/>
      <c r="AG292" s="24"/>
      <c r="AH292" s="24"/>
      <c r="AI292" s="24"/>
      <c r="AJ292" s="24"/>
      <c r="AK292" s="24"/>
      <c r="AL292" s="24"/>
      <c r="AM292" s="24"/>
      <c r="AN292" s="24"/>
      <c r="AO292" s="24"/>
      <c r="AP292" s="24"/>
    </row>
    <row r="293" spans="1:42" ht="17.100000000000001" customHeight="1" x14ac:dyDescent="0.25">
      <c r="A293" s="70"/>
      <c r="B293" s="71"/>
      <c r="C293" s="72"/>
      <c r="D293" s="71"/>
      <c r="E293" s="71"/>
      <c r="F293" s="71"/>
      <c r="G293" s="73"/>
      <c r="H293" s="73"/>
      <c r="I293" s="73"/>
      <c r="J293" s="73"/>
      <c r="K293" s="73"/>
      <c r="L293" s="73"/>
      <c r="M293" s="73"/>
      <c r="N293" s="73"/>
      <c r="O293" s="262" t="s">
        <v>121</v>
      </c>
      <c r="P293" s="262"/>
      <c r="Q293" s="76"/>
      <c r="R293" s="77"/>
      <c r="S293" s="77"/>
      <c r="T293" s="77"/>
      <c r="U293" s="77"/>
      <c r="V293" s="77"/>
      <c r="W293" s="77"/>
      <c r="X293" s="77"/>
      <c r="Y293" s="77"/>
      <c r="Z293" s="262" t="s">
        <v>121</v>
      </c>
      <c r="AA293" s="262"/>
      <c r="AB293" s="78"/>
      <c r="AC293" s="75"/>
      <c r="AD293" s="91"/>
      <c r="AE293" s="92"/>
      <c r="AF293" s="93"/>
      <c r="AG293" s="260" t="s">
        <v>3</v>
      </c>
      <c r="AH293" s="260"/>
      <c r="AI293" s="260"/>
      <c r="AJ293" s="260"/>
      <c r="AK293" s="260" t="s">
        <v>1</v>
      </c>
      <c r="AL293" s="260"/>
      <c r="AM293" s="260" t="s">
        <v>116</v>
      </c>
      <c r="AN293" s="260"/>
      <c r="AO293" s="260" t="s">
        <v>0</v>
      </c>
      <c r="AP293" s="261"/>
    </row>
    <row r="294" spans="1:42" ht="17.100000000000001" customHeight="1" thickBot="1" x14ac:dyDescent="0.3">
      <c r="A294" s="70"/>
      <c r="B294" s="71"/>
      <c r="C294" s="72"/>
      <c r="D294" s="71"/>
      <c r="E294" s="71"/>
      <c r="F294" s="71"/>
      <c r="G294" s="73"/>
      <c r="H294" s="73"/>
      <c r="I294" s="73"/>
      <c r="J294" s="73"/>
      <c r="K294" s="73"/>
      <c r="L294" s="73"/>
      <c r="M294" s="73"/>
      <c r="N294" s="73"/>
      <c r="O294" s="5" t="s">
        <v>129</v>
      </c>
      <c r="P294" s="5" t="s">
        <v>130</v>
      </c>
      <c r="Z294" s="5" t="s">
        <v>129</v>
      </c>
      <c r="AA294" s="5" t="s">
        <v>130</v>
      </c>
      <c r="AC294" s="75"/>
      <c r="AD294" s="94"/>
      <c r="AE294" s="66"/>
      <c r="AF294" s="269" t="s">
        <v>98</v>
      </c>
      <c r="AG294" s="269"/>
      <c r="AH294" s="67" t="s">
        <v>15</v>
      </c>
      <c r="AI294" s="67" t="s">
        <v>16</v>
      </c>
      <c r="AJ294" s="67" t="s">
        <v>17</v>
      </c>
      <c r="AK294" s="67" t="s">
        <v>98</v>
      </c>
      <c r="AL294" s="67" t="s">
        <v>15</v>
      </c>
      <c r="AM294" s="67" t="s">
        <v>98</v>
      </c>
      <c r="AN294" s="67" t="s">
        <v>15</v>
      </c>
      <c r="AO294" s="67" t="s">
        <v>98</v>
      </c>
      <c r="AP294" s="95" t="s">
        <v>15</v>
      </c>
    </row>
    <row r="295" spans="1:42" ht="17.100000000000001" customHeight="1" x14ac:dyDescent="0.25">
      <c r="C295" s="4" t="s">
        <v>100</v>
      </c>
      <c r="N295" s="6" t="s">
        <v>132</v>
      </c>
      <c r="O295" s="43" t="e">
        <f>GEOMEAN(O4:O117)</f>
        <v>#NUM!</v>
      </c>
      <c r="P295" s="43" t="e">
        <f>GEOMEAN(P4:P117)</f>
        <v>#NUM!</v>
      </c>
      <c r="Z295" s="43" t="e">
        <f>GEOMEAN(Z4:Z117)</f>
        <v>#NUM!</v>
      </c>
      <c r="AA295" s="43" t="e">
        <f>GEOMEAN(AA4:AA117)</f>
        <v>#NUM!</v>
      </c>
      <c r="AB295" s="43" t="e">
        <f>GEOMEAN(AB4:AB117)</f>
        <v>#DIV/0!</v>
      </c>
      <c r="AC295" s="43" t="e">
        <f>GEOMEAN(AC4:AC117)</f>
        <v>#DIV/0!</v>
      </c>
      <c r="AD295" s="256" t="str">
        <f>C295</f>
        <v>Class A1_2K</v>
      </c>
      <c r="AE295" s="68" t="s">
        <v>123</v>
      </c>
      <c r="AF295" s="257" t="s">
        <v>126</v>
      </c>
      <c r="AG295" s="58" t="e">
        <f>AVERAGE(AG4,AG10,AG16,AG22,AG28,AG34,AG40,AG46,AG52,AG58,AG64,AG70,AG76,AG82,AG88,AG94,AG100,AG106,AG112)</f>
        <v>#VALUE!</v>
      </c>
      <c r="AH295" s="26" t="e">
        <f>AVERAGE(AH4:AH117)</f>
        <v>#VALUE!</v>
      </c>
      <c r="AI295" s="26" t="e">
        <f>AVERAGE(AI4:AI117)</f>
        <v>#VALUE!</v>
      </c>
      <c r="AJ295" s="26" t="e">
        <f>AVERAGE(AJ4:AJ117)</f>
        <v>#VALUE!</v>
      </c>
      <c r="AK295" s="58" t="e">
        <f>AVERAGE(AK4,AK10,AK16,AK22,AK28,AK34,AK40,AK46,AK52,AK58,AK64,AK70,AK76,AK82,AK88,AK94,AK100,AK106,AK112)</f>
        <v>#VALUE!</v>
      </c>
      <c r="AL295" s="26" t="e">
        <f>AVERAGE(AL4:AL117)</f>
        <v>#VALUE!</v>
      </c>
      <c r="AM295" s="58" t="e">
        <f>AVERAGE(AM4,AM10,AM16,AM22,AM28,AM34,AM40,AM46,AM52,AM58,AM64,AM70,AM76,AM82,AM88,AM94,AM100,AM106,AM112)</f>
        <v>#VALUE!</v>
      </c>
      <c r="AN295" s="26" t="e">
        <f>AVERAGE(AN4:AN117)</f>
        <v>#VALUE!</v>
      </c>
      <c r="AO295" s="58" t="e">
        <f>AVERAGE(AO4,AO10,AO16,AO22,AO28,AO34,AO40,AO46,AO52,AO58,AO64,AO70,AO76,AO82,AO88,AO94,AO100,AO106,AO112)</f>
        <v>#VALUE!</v>
      </c>
      <c r="AP295" s="27" t="e">
        <f>AVERAGE(AP4:AP117)</f>
        <v>#VALUE!</v>
      </c>
    </row>
    <row r="296" spans="1:42" ht="17.100000000000001" customHeight="1" x14ac:dyDescent="0.25">
      <c r="N296" s="6" t="s">
        <v>133</v>
      </c>
      <c r="O296" s="43">
        <f>SUM(O4:O117)</f>
        <v>0</v>
      </c>
      <c r="P296" s="43">
        <f>SUM(P4:P117)</f>
        <v>0</v>
      </c>
      <c r="Z296" s="43">
        <f>SUM(Z4:Z117)</f>
        <v>0</v>
      </c>
      <c r="AA296" s="43">
        <f>SUM(AA4:AA117)</f>
        <v>0</v>
      </c>
      <c r="AB296" s="43" t="e">
        <f>SUM(AB4:AB117)</f>
        <v>#DIV/0!</v>
      </c>
      <c r="AC296" s="43" t="e">
        <f>SUM(AC4:AC117)</f>
        <v>#DIV/0!</v>
      </c>
      <c r="AD296" s="256"/>
      <c r="AE296" s="69" t="s">
        <v>124</v>
      </c>
      <c r="AF296" s="258"/>
      <c r="AG296" s="59" t="e">
        <f>MIN(AG4,AG10,AG16,AG22,AG28,AG34,AG40,AG46,AG52,AG58,AG64,AG70,AG76,AG82,AG88,AG94,AG100,AG106,AG112)</f>
        <v>#VALUE!</v>
      </c>
      <c r="AH296" s="25" t="e">
        <f>MIN(AH4:AH117)</f>
        <v>#VALUE!</v>
      </c>
      <c r="AI296" s="25" t="e">
        <f>MIN(AI4:AI117)</f>
        <v>#VALUE!</v>
      </c>
      <c r="AJ296" s="25" t="e">
        <f>MIN(AJ4:AJ117)</f>
        <v>#VALUE!</v>
      </c>
      <c r="AK296" s="59" t="e">
        <f>MIN(AK4,AK10,AK16,AK22,AK28,AK34,AK40,AK46,AK52,AK58,AK64,AK70,AK76,AK82,AK88,AK94,AK100,AK106,AK112)</f>
        <v>#VALUE!</v>
      </c>
      <c r="AL296" s="25" t="e">
        <f>MIN(AL4:AL117)</f>
        <v>#VALUE!</v>
      </c>
      <c r="AM296" s="59" t="e">
        <f>MIN(AM4,AM10,AM16,AM22,AM28,AM34,AM40,AM46,AM52,AM58,AM64,AM70,AM76,AM82,AM88,AM94,AM100,AM106,AM112)</f>
        <v>#VALUE!</v>
      </c>
      <c r="AN296" s="25" t="e">
        <f>MIN(AN4:AN117)</f>
        <v>#VALUE!</v>
      </c>
      <c r="AO296" s="59" t="e">
        <f>MIN(AO4,AO10,AO16,AO22,AO28,AO34,AO40,AO46,AO52,AO58,AO64,AO70,AO76,AO82,AO88,AO94,AO100,AO106,AO112)</f>
        <v>#VALUE!</v>
      </c>
      <c r="AP296" s="29" t="e">
        <f>MIN(AP4:AP117)</f>
        <v>#VALUE!</v>
      </c>
    </row>
    <row r="297" spans="1:42" ht="17.100000000000001" customHeight="1" thickBot="1" x14ac:dyDescent="0.3">
      <c r="N297" s="6" t="s">
        <v>125</v>
      </c>
      <c r="O297" s="43">
        <f>MAX(O4:O117)</f>
        <v>0</v>
      </c>
      <c r="P297" s="43">
        <f>MAX(P4:P117)</f>
        <v>0</v>
      </c>
      <c r="Z297" s="43">
        <f>MAX(Z4:Z117)</f>
        <v>0</v>
      </c>
      <c r="AA297" s="43">
        <f>MAX(AA4:AA117)</f>
        <v>0</v>
      </c>
      <c r="AB297" s="43" t="e">
        <f>MAX(AB4:AB117)</f>
        <v>#DIV/0!</v>
      </c>
      <c r="AC297" s="43" t="e">
        <f>MAX(AC4:AC117)</f>
        <v>#DIV/0!</v>
      </c>
      <c r="AD297" s="256"/>
      <c r="AE297" s="69" t="s">
        <v>125</v>
      </c>
      <c r="AF297" s="259"/>
      <c r="AG297" s="60" t="e">
        <f>MAX(AG4,AG10,AG16,AG22,AG28,AG34,AG40,AG46,AG52,AG58,AG64,AG70,AG76,AG82,AG88,AG94,AG100,AG106,AG112)</f>
        <v>#VALUE!</v>
      </c>
      <c r="AH297" s="28" t="e">
        <f>MAX(AH4:AH117)</f>
        <v>#VALUE!</v>
      </c>
      <c r="AI297" s="28" t="e">
        <f>MAX(AI4:AI117)</f>
        <v>#VALUE!</v>
      </c>
      <c r="AJ297" s="28" t="e">
        <f>MAX(AJ4:AJ117)</f>
        <v>#VALUE!</v>
      </c>
      <c r="AK297" s="60" t="e">
        <f>MAX(AK4,AK10,AK16,AK22,AK28,AK34,AK40,AK46,AK52,AK58,AK64,AK70,AK76,AK82,AK88,AK94,AK100,AK106,AK112)</f>
        <v>#VALUE!</v>
      </c>
      <c r="AL297" s="28" t="e">
        <f>MAX(AL4:AL117)</f>
        <v>#VALUE!</v>
      </c>
      <c r="AM297" s="60" t="e">
        <f>MAX(AM4,AM10,AM16,AM22,AM28,AM34,AM40,AM46,AM52,AM58,AM64,AM70,AM76,AM82,AM88,AM94,AM100,AM106,AM112)</f>
        <v>#VALUE!</v>
      </c>
      <c r="AN297" s="28" t="e">
        <f>MAX(AN4:AN117)</f>
        <v>#VALUE!</v>
      </c>
      <c r="AO297" s="60" t="e">
        <f>MAX(AO4,AO10,AO16,AO22,AO28,AO34,AO40,AO46,AO52,AO58,AO64,AO70,AO76,AO82,AO88,AO94,AO100,AO106,AO112)</f>
        <v>#VALUE!</v>
      </c>
      <c r="AP297" s="30" t="e">
        <f>MAX(AP4:AP117)</f>
        <v>#VALUE!</v>
      </c>
    </row>
    <row r="298" spans="1:42" ht="17.100000000000001" customHeight="1" x14ac:dyDescent="0.25">
      <c r="N298" s="6" t="s">
        <v>124</v>
      </c>
      <c r="O298" s="43">
        <f>MIN(O4:O117)</f>
        <v>0</v>
      </c>
      <c r="P298" s="43">
        <f>MIN(P4:P117)</f>
        <v>0</v>
      </c>
      <c r="Z298" s="43">
        <f>MIN(Z4:Z117)</f>
        <v>0</v>
      </c>
      <c r="AA298" s="43">
        <f>MIN(AA4:AA117)</f>
        <v>0</v>
      </c>
      <c r="AB298" s="43" t="e">
        <f>MIN(AB4:AB117)</f>
        <v>#DIV/0!</v>
      </c>
      <c r="AC298" s="43" t="e">
        <f>MIN(AC4:AC117)</f>
        <v>#DIV/0!</v>
      </c>
      <c r="AD298" s="256"/>
      <c r="AE298" s="69" t="s">
        <v>123</v>
      </c>
      <c r="AF298" s="263" t="s">
        <v>127</v>
      </c>
      <c r="AG298" s="58" t="e">
        <f>AVERAGE(AG6,AG12,AG18,AG24,AG30,AG36,AG42,AG48,AG54,AG60,AG66,AG72,AG78,AG84,AG90,AG96,AG102,AG108,AG114)</f>
        <v>#VALUE!</v>
      </c>
      <c r="AH298" s="272"/>
      <c r="AI298" s="273"/>
      <c r="AJ298" s="274"/>
      <c r="AK298" s="58" t="e">
        <f>AVERAGE(AK6,AK12,AK18,AK24,AK30,AK36,AK42,AK48,AK54,AK60,AK66,AK72,AK78,AK84,AK90,AK96,AK102,AK108,AK114)</f>
        <v>#VALUE!</v>
      </c>
      <c r="AL298" s="281"/>
      <c r="AM298" s="58" t="e">
        <f>AVERAGE(AM6,AM12,AM18,AM24,AM30,AM36,AM42,AM48,AM54,AM60,AM66,AM72,AM78,AM84,AM90,AM96,AM102,AM108,AM114)</f>
        <v>#VALUE!</v>
      </c>
      <c r="AN298" s="281"/>
      <c r="AO298" s="58" t="e">
        <f>AVERAGE(AO6,AO12,AO18,AO24,AO30,AO36,AO42,AO48,AO54,AO60,AO66,AO72,AO78,AO84,AO90,AO96,AO102,AO108,AO114)</f>
        <v>#VALUE!</v>
      </c>
      <c r="AP298" s="281"/>
    </row>
    <row r="299" spans="1:42" ht="17.100000000000001" customHeight="1" x14ac:dyDescent="0.25">
      <c r="N299" s="6" t="s">
        <v>134</v>
      </c>
      <c r="O299" s="43"/>
      <c r="P299" s="43"/>
      <c r="Z299" s="112" t="e">
        <f>Z295/O295</f>
        <v>#NUM!</v>
      </c>
      <c r="AA299" s="112" t="e">
        <f>AA295/P295</f>
        <v>#NUM!</v>
      </c>
      <c r="AB299" s="43"/>
      <c r="AC299" s="43"/>
      <c r="AD299" s="256"/>
      <c r="AE299" s="69" t="s">
        <v>124</v>
      </c>
      <c r="AF299" s="264"/>
      <c r="AG299" s="59" t="e">
        <f>MIN(AG6,AG12,AG18,AG24,AG30,AG36,AG42,AG48,AG54,AG60,AG66,AG72,AG78,AG84,AG90,AG96,AG102,AG108,AG114)</f>
        <v>#VALUE!</v>
      </c>
      <c r="AH299" s="275"/>
      <c r="AI299" s="276"/>
      <c r="AJ299" s="277"/>
      <c r="AK299" s="59" t="e">
        <f>MIN(AK6,AK12,AK18,AK24,AK30,AK36,AK42,AK48,AK54,AK60,AK66,AK72,AK78,AK84,AK90,AK96,AK102,AK108,AK114)</f>
        <v>#VALUE!</v>
      </c>
      <c r="AL299" s="282"/>
      <c r="AM299" s="59" t="e">
        <f>MIN(AM6,AM12,AM18,AM24,AM30,AM36,AM42,AM48,AM54,AM60,AM66,AM72,AM78,AM84,AM90,AM96,AM102,AM108,AM114)</f>
        <v>#VALUE!</v>
      </c>
      <c r="AN299" s="282"/>
      <c r="AO299" s="59" t="e">
        <f>MIN(AO6,AO12,AO18,AO24,AO30,AO36,AO42,AO48,AO54,AO60,AO66,AO72,AO78,AO84,AO90,AO96,AO102,AO108,AO114)</f>
        <v>#VALUE!</v>
      </c>
      <c r="AP299" s="282"/>
    </row>
    <row r="300" spans="1:42" ht="17.100000000000001" customHeight="1" thickBot="1" x14ac:dyDescent="0.3">
      <c r="O300" s="43"/>
      <c r="P300" s="43"/>
      <c r="Z300" s="43"/>
      <c r="AA300" s="43"/>
      <c r="AB300" s="43"/>
      <c r="AC300" s="43"/>
      <c r="AD300" s="256"/>
      <c r="AE300" s="69" t="s">
        <v>125</v>
      </c>
      <c r="AF300" s="265"/>
      <c r="AG300" s="60" t="e">
        <f>MAX(AG6,AG12,AG18,AG24,AG30,AG36,AG42,AG48,AG54,AG60,AG66,AG72,AG78,AG84,AG90,AG96,AG102,AG108,AG114)</f>
        <v>#VALUE!</v>
      </c>
      <c r="AH300" s="275"/>
      <c r="AI300" s="276"/>
      <c r="AJ300" s="277"/>
      <c r="AK300" s="60" t="e">
        <f>MAX(AK6,AK12,AK18,AK24,AK30,AK36,AK42,AK48,AK54,AK60,AK66,AK72,AK78,AK84,AK90,AK96,AK102,AK108,AK114)</f>
        <v>#VALUE!</v>
      </c>
      <c r="AL300" s="282"/>
      <c r="AM300" s="60" t="e">
        <f>MAX(AM6,AM12,AM18,AM24,AM30,AM36,AM42,AM48,AM54,AM60,AM66,AM72,AM78,AM84,AM90,AM96,AM102,AM108,AM114)</f>
        <v>#VALUE!</v>
      </c>
      <c r="AN300" s="282"/>
      <c r="AO300" s="60" t="e">
        <f>MAX(AO6,AO12,AO18,AO24,AO30,AO36,AO42,AO48,AO54,AO60,AO66,AO72,AO78,AO84,AO90,AO96,AO102,AO108,AO114)</f>
        <v>#VALUE!</v>
      </c>
      <c r="AP300" s="282"/>
    </row>
    <row r="301" spans="1:42" ht="17.100000000000001" customHeight="1" x14ac:dyDescent="0.25">
      <c r="O301" s="43"/>
      <c r="P301" s="43"/>
      <c r="Z301" s="43"/>
      <c r="AA301" s="43"/>
      <c r="AB301" s="43"/>
      <c r="AC301" s="43"/>
      <c r="AD301" s="256"/>
      <c r="AE301" s="64" t="s">
        <v>123</v>
      </c>
      <c r="AF301" s="266" t="s">
        <v>128</v>
      </c>
      <c r="AG301" s="63" t="e">
        <f>AVERAGE(AG8,AG14,AG20,AG26,AG32,AG38,AG44,AG50,AG56,AG62,AG68,AG74,AG80,AG86,AG92,AG98,AG104,AG110,AG116)</f>
        <v>#VALUE!</v>
      </c>
      <c r="AH301" s="275"/>
      <c r="AI301" s="276"/>
      <c r="AJ301" s="277"/>
      <c r="AK301" s="63" t="e">
        <f>AVERAGE(AK8,AK14,AK20,AK26,AK32,AK38,AK44,AK50,AK56,AK62,AK68,AK74,AK80,AK86,AK92,AK98,AK104,AK110,AK116)</f>
        <v>#VALUE!</v>
      </c>
      <c r="AL301" s="282"/>
      <c r="AM301" s="63" t="e">
        <f>AVERAGE(AM8,AM14,AM20,AM26,AM32,AM38,AM44,AM50,AM56,AM62,AM68,AM74,AM80,AM86,AM92,AM98,AM104,AM110,AM116)</f>
        <v>#VALUE!</v>
      </c>
      <c r="AN301" s="282"/>
      <c r="AO301" s="63" t="e">
        <f>AVERAGE(AO8,AO14,AO20,AO26,AO32,AO38,AO44,AO50,AO56,AO62,AO68,AO74,AO80,AO86,AO92,AO98,AO104,AO110,AO116)</f>
        <v>#VALUE!</v>
      </c>
      <c r="AP301" s="282"/>
    </row>
    <row r="302" spans="1:42" ht="17.100000000000001" customHeight="1" x14ac:dyDescent="0.25">
      <c r="O302" s="43"/>
      <c r="P302" s="43"/>
      <c r="Z302" s="43"/>
      <c r="AA302" s="43"/>
      <c r="AB302" s="43"/>
      <c r="AC302" s="43"/>
      <c r="AD302" s="256"/>
      <c r="AE302" s="64" t="s">
        <v>124</v>
      </c>
      <c r="AF302" s="267"/>
      <c r="AG302" s="59" t="e">
        <f>MIN(AG8,AG14,AG20,AG26,AG32,AG38,AG44,AG50,AG56,AG62,AG68,AG74,AG80,AG86,AG92,AG98,AG104,AG110,AG116)</f>
        <v>#VALUE!</v>
      </c>
      <c r="AH302" s="275"/>
      <c r="AI302" s="276"/>
      <c r="AJ302" s="277"/>
      <c r="AK302" s="59" t="e">
        <f>MIN(AK8,AK14,AK20,AK26,AK32,AK38,AK44,AK50,AK56,AK62,AK68,AK74,AK80,AK86,AK92,AK98,AK104,AK110,AK116)</f>
        <v>#VALUE!</v>
      </c>
      <c r="AL302" s="282"/>
      <c r="AM302" s="59" t="e">
        <f>MIN(AM8,AM14,AM20,AM26,AM32,AM38,AM44,AM50,AM56,AM62,AM68,AM74,AM80,AM86,AM92,AM98,AM104,AM110,AM116)</f>
        <v>#VALUE!</v>
      </c>
      <c r="AN302" s="282"/>
      <c r="AO302" s="59" t="e">
        <f>MIN(AO8,AO14,AO20,AO26,AO32,AO38,AO44,AO50,AO56,AO62,AO68,AO74,AO80,AO86,AO92,AO98,AO104,AO110,AO116)</f>
        <v>#VALUE!</v>
      </c>
      <c r="AP302" s="282"/>
    </row>
    <row r="303" spans="1:42" ht="17.100000000000001" customHeight="1" thickBot="1" x14ac:dyDescent="0.3">
      <c r="O303" s="43"/>
      <c r="P303" s="43"/>
      <c r="Z303" s="43"/>
      <c r="AA303" s="43"/>
      <c r="AB303" s="43"/>
      <c r="AC303" s="43"/>
      <c r="AD303" s="256"/>
      <c r="AE303" s="65" t="s">
        <v>125</v>
      </c>
      <c r="AF303" s="268"/>
      <c r="AG303" s="60" t="e">
        <f>MAX(AG8,AG14,AG20,AG26,AG32,AG38,AG44,AG50,AG56,AG62,AG68,AG74,AG80,AG86,AG92,AG98,AG104,AG110,AG116)</f>
        <v>#VALUE!</v>
      </c>
      <c r="AH303" s="278"/>
      <c r="AI303" s="279"/>
      <c r="AJ303" s="280"/>
      <c r="AK303" s="60" t="e">
        <f>MAX(AK8,AK14,AK20,AK26,AK32,AK38,AK44,AK50,AK56,AK62,AK68,AK74,AK80,AK86,AK92,AK98,AK104,AK110,AK116)</f>
        <v>#VALUE!</v>
      </c>
      <c r="AL303" s="283"/>
      <c r="AM303" s="60" t="e">
        <f>MAX(AM8,AM14,AM20,AM26,AM32,AM38,AM44,AM50,AM56,AM62,AM68,AM74,AM80,AM86,AM92,AM98,AM104,AM110,AM116)</f>
        <v>#VALUE!</v>
      </c>
      <c r="AN303" s="283"/>
      <c r="AO303" s="60" t="e">
        <f>MAX(AO8,AO14,AO20,AO26,AO32,AO38,AO44,AO50,AO56,AO62,AO68,AO74,AO80,AO86,AO92,AO98,AO104,AO110,AO116)</f>
        <v>#VALUE!</v>
      </c>
      <c r="AP303" s="283"/>
    </row>
    <row r="304" spans="1:42" ht="17.100000000000001" customHeight="1" x14ac:dyDescent="0.25">
      <c r="C304" s="4" t="s">
        <v>101</v>
      </c>
      <c r="N304" s="6" t="s">
        <v>132</v>
      </c>
      <c r="O304" s="43" t="e">
        <f>GEOMEAN(O118:O165)</f>
        <v>#NUM!</v>
      </c>
      <c r="P304" s="43" t="e">
        <f>GEOMEAN(P118:P165)</f>
        <v>#NUM!</v>
      </c>
      <c r="Z304" s="43" t="e">
        <f>GEOMEAN(Z118:Z165)</f>
        <v>#NUM!</v>
      </c>
      <c r="AA304" s="43" t="e">
        <f>GEOMEAN(AA118:AA165)</f>
        <v>#NUM!</v>
      </c>
      <c r="AB304" s="43" t="e">
        <f>GEOMEAN(AB118:AB165)</f>
        <v>#DIV/0!</v>
      </c>
      <c r="AC304" s="43" t="e">
        <f>GEOMEAN(AC118:AC165)</f>
        <v>#DIV/0!</v>
      </c>
      <c r="AD304" s="256" t="str">
        <f>C304</f>
        <v>Class A3_720p</v>
      </c>
      <c r="AE304" s="68" t="s">
        <v>123</v>
      </c>
      <c r="AF304" s="257" t="s">
        <v>126</v>
      </c>
      <c r="AG304" s="58" t="e">
        <f>AVERAGE(AG118,AG124,AG130,AG136,AG142,AG148,AG154,AG160)</f>
        <v>#VALUE!</v>
      </c>
      <c r="AH304" s="26" t="e">
        <f>AVERAGE(AH118:AH165)</f>
        <v>#VALUE!</v>
      </c>
      <c r="AI304" s="26" t="e">
        <f>AVERAGE(AI118:AI165)</f>
        <v>#VALUE!</v>
      </c>
      <c r="AJ304" s="26" t="e">
        <f>AVERAGE(AJ118:AJ165)</f>
        <v>#VALUE!</v>
      </c>
      <c r="AK304" s="58" t="e">
        <f>AVERAGE(AK118,AK124,AK130,AK136,AK142,AK148,AK154,AK160)</f>
        <v>#VALUE!</v>
      </c>
      <c r="AL304" s="26" t="e">
        <f>AVERAGE(AL118:AL165)</f>
        <v>#VALUE!</v>
      </c>
      <c r="AM304" s="58" t="e">
        <f>AVERAGE(AM118,AM124,AM130,AM136,AM142,AM148,AM154,AM160)</f>
        <v>#VALUE!</v>
      </c>
      <c r="AN304" s="26" t="e">
        <f>AVERAGE(AN118:AN165)</f>
        <v>#VALUE!</v>
      </c>
      <c r="AO304" s="58" t="e">
        <f>AVERAGE(AO118,AO124,AO130,AO136,AO142,AO148,AO154,AO160)</f>
        <v>#VALUE!</v>
      </c>
      <c r="AP304" s="27" t="e">
        <f>AVERAGE(AP118:AP165)</f>
        <v>#VALUE!</v>
      </c>
    </row>
    <row r="305" spans="3:42" ht="17.100000000000001" customHeight="1" x14ac:dyDescent="0.25">
      <c r="N305" s="6" t="s">
        <v>133</v>
      </c>
      <c r="O305" s="43">
        <f>SUM(O118:O165)</f>
        <v>0</v>
      </c>
      <c r="P305" s="43">
        <f>SUM(P118:P165)</f>
        <v>0</v>
      </c>
      <c r="Z305" s="43">
        <f>SUM(Z118:Z165)</f>
        <v>0</v>
      </c>
      <c r="AA305" s="43">
        <f>SUM(AA118:AA165)</f>
        <v>0</v>
      </c>
      <c r="AB305" s="43" t="e">
        <f>SUM(AB118:AB165)</f>
        <v>#DIV/0!</v>
      </c>
      <c r="AC305" s="43" t="e">
        <f>SUM(AC118:AC165)</f>
        <v>#DIV/0!</v>
      </c>
      <c r="AD305" s="256"/>
      <c r="AE305" s="69" t="s">
        <v>124</v>
      </c>
      <c r="AF305" s="258"/>
      <c r="AG305" s="59" t="e">
        <f>MIN(AG118,AG124,AG130,AG136,AG142,AG148,AG154,AG160)</f>
        <v>#VALUE!</v>
      </c>
      <c r="AH305" s="25" t="e">
        <f>MIN(AH118:AH165)</f>
        <v>#VALUE!</v>
      </c>
      <c r="AI305" s="25" t="e">
        <f>MIN(AI118:AI165)</f>
        <v>#VALUE!</v>
      </c>
      <c r="AJ305" s="25" t="e">
        <f>MIN(AJ118:AJ165)</f>
        <v>#VALUE!</v>
      </c>
      <c r="AK305" s="59" t="e">
        <f>MIN(AK118,AK124,AK130,AK136,AK142,AK148,AK154,AK160)</f>
        <v>#VALUE!</v>
      </c>
      <c r="AL305" s="25" t="e">
        <f>MIN(AL118:AL165)</f>
        <v>#VALUE!</v>
      </c>
      <c r="AM305" s="59" t="e">
        <f>MIN(AM118,AM124,AM130,AM136,AM142,AM148,AM154,AM160)</f>
        <v>#VALUE!</v>
      </c>
      <c r="AN305" s="25" t="e">
        <f>MIN(AN118:AN165)</f>
        <v>#VALUE!</v>
      </c>
      <c r="AO305" s="59" t="e">
        <f>MIN(AO118,AO124,AO130,AO136,AO142,AO148,AO154,AO160)</f>
        <v>#VALUE!</v>
      </c>
      <c r="AP305" s="29" t="e">
        <f>MIN(AP118:AP165)</f>
        <v>#VALUE!</v>
      </c>
    </row>
    <row r="306" spans="3:42" ht="17.100000000000001" customHeight="1" thickBot="1" x14ac:dyDescent="0.3">
      <c r="N306" s="6" t="s">
        <v>125</v>
      </c>
      <c r="O306" s="43">
        <f>MAX(O118:O165)</f>
        <v>0</v>
      </c>
      <c r="P306" s="43">
        <f>MAX(P118:P165)</f>
        <v>0</v>
      </c>
      <c r="Z306" s="43">
        <f>MAX(Z118:Z165)</f>
        <v>0</v>
      </c>
      <c r="AA306" s="43">
        <f>MAX(AA118:AA165)</f>
        <v>0</v>
      </c>
      <c r="AB306" s="43" t="e">
        <f>MAX(AB118:AB165)</f>
        <v>#DIV/0!</v>
      </c>
      <c r="AC306" s="43" t="e">
        <f>MAX(AC118:AC165)</f>
        <v>#DIV/0!</v>
      </c>
      <c r="AD306" s="256"/>
      <c r="AE306" s="69" t="s">
        <v>125</v>
      </c>
      <c r="AF306" s="259"/>
      <c r="AG306" s="60" t="e">
        <f>MAX(AG118,AG124,AG130,AG136,AG142,AG148,AG154,AG160)</f>
        <v>#VALUE!</v>
      </c>
      <c r="AH306" s="28" t="e">
        <f>MAX(AH118:AH165)</f>
        <v>#VALUE!</v>
      </c>
      <c r="AI306" s="28" t="e">
        <f>MAX(AI118:AI165)</f>
        <v>#VALUE!</v>
      </c>
      <c r="AJ306" s="28" t="e">
        <f>MAX(AJ118:AJ165)</f>
        <v>#VALUE!</v>
      </c>
      <c r="AK306" s="60" t="e">
        <f>MAX(AK118,AK124,AK130,AK136,AK142,AK148,AK154,AK160)</f>
        <v>#VALUE!</v>
      </c>
      <c r="AL306" s="28" t="e">
        <f>MAX(AL118:AL165)</f>
        <v>#VALUE!</v>
      </c>
      <c r="AM306" s="60" t="e">
        <f>MAX(AM118,AM124,AM130,AM136,AM142,AM148,AM154,AM160)</f>
        <v>#VALUE!</v>
      </c>
      <c r="AN306" s="28" t="e">
        <f>MAX(AN118:AN165)</f>
        <v>#VALUE!</v>
      </c>
      <c r="AO306" s="60" t="e">
        <f>MAX(AO118,AO124,AO130,AO136,AO142,AO148,AO154,AO160)</f>
        <v>#VALUE!</v>
      </c>
      <c r="AP306" s="30" t="e">
        <f>MAX(AP118:AP165)</f>
        <v>#VALUE!</v>
      </c>
    </row>
    <row r="307" spans="3:42" ht="17.100000000000001" customHeight="1" x14ac:dyDescent="0.25">
      <c r="N307" s="6" t="s">
        <v>124</v>
      </c>
      <c r="O307" s="43">
        <f>MIN(O118:O165)</f>
        <v>0</v>
      </c>
      <c r="P307" s="43">
        <f>MIN(P118:P165)</f>
        <v>0</v>
      </c>
      <c r="Z307" s="43">
        <f>MIN(Z118:Z165)</f>
        <v>0</v>
      </c>
      <c r="AA307" s="43">
        <f>MIN(AA118:AA165)</f>
        <v>0</v>
      </c>
      <c r="AB307" s="43" t="e">
        <f>MIN(AB118:AB165)</f>
        <v>#DIV/0!</v>
      </c>
      <c r="AC307" s="43" t="e">
        <f>MIN(AC118:AC165)</f>
        <v>#DIV/0!</v>
      </c>
      <c r="AD307" s="256"/>
      <c r="AE307" s="69" t="s">
        <v>123</v>
      </c>
      <c r="AF307" s="263" t="s">
        <v>127</v>
      </c>
      <c r="AG307" s="58" t="e">
        <f>AVERAGE(AG120,AG126,AG132,AG138,AG144,AG150,AG156,AG162)</f>
        <v>#VALUE!</v>
      </c>
      <c r="AH307" s="272"/>
      <c r="AI307" s="273"/>
      <c r="AJ307" s="274"/>
      <c r="AK307" s="58" t="e">
        <f>AVERAGE(AK120,AK126,AK132,AK138,AK144,AK150,AK156,AK162)</f>
        <v>#VALUE!</v>
      </c>
      <c r="AL307" s="281"/>
      <c r="AM307" s="58" t="e">
        <f>AVERAGE(AM120,AM126,AM132,AM138,AM144,AM150,AM156,AM162)</f>
        <v>#VALUE!</v>
      </c>
      <c r="AN307" s="281"/>
      <c r="AO307" s="58" t="e">
        <f>AVERAGE(AO120,AO126,AO132,AO138,AO144,AO150,AO156,AO162)</f>
        <v>#VALUE!</v>
      </c>
      <c r="AP307" s="281"/>
    </row>
    <row r="308" spans="3:42" ht="17.100000000000001" customHeight="1" x14ac:dyDescent="0.25">
      <c r="N308" s="6" t="s">
        <v>134</v>
      </c>
      <c r="O308" s="43"/>
      <c r="P308" s="43"/>
      <c r="Z308" s="112" t="e">
        <f>Z304/O304</f>
        <v>#NUM!</v>
      </c>
      <c r="AA308" s="112" t="e">
        <f>AA304/P304</f>
        <v>#NUM!</v>
      </c>
      <c r="AB308" s="43"/>
      <c r="AC308" s="43"/>
      <c r="AD308" s="256"/>
      <c r="AE308" s="69" t="s">
        <v>124</v>
      </c>
      <c r="AF308" s="264"/>
      <c r="AG308" s="59" t="e">
        <f>MIN(AG120,AG126,AG132,AG138,AG144,AG150,AG156,AG162)</f>
        <v>#VALUE!</v>
      </c>
      <c r="AH308" s="275"/>
      <c r="AI308" s="276"/>
      <c r="AJ308" s="277"/>
      <c r="AK308" s="59" t="e">
        <f>MIN(AK120,AK126,AK132,AK138,AK144,AK150,AK156,AK162)</f>
        <v>#VALUE!</v>
      </c>
      <c r="AL308" s="282"/>
      <c r="AM308" s="59" t="e">
        <f>MIN(AM120,AM126,AM132,AM138,AM144,AM150,AM156,AM162)</f>
        <v>#VALUE!</v>
      </c>
      <c r="AN308" s="282"/>
      <c r="AO308" s="59" t="e">
        <f>MIN(AO120,AO126,AO132,AO138,AO144,AO150,AO156,AO162)</f>
        <v>#VALUE!</v>
      </c>
      <c r="AP308" s="282"/>
    </row>
    <row r="309" spans="3:42" ht="17.100000000000001" customHeight="1" thickBot="1" x14ac:dyDescent="0.3">
      <c r="O309" s="43"/>
      <c r="P309" s="43"/>
      <c r="Z309" s="43"/>
      <c r="AA309" s="43"/>
      <c r="AB309" s="43"/>
      <c r="AC309" s="43"/>
      <c r="AD309" s="256"/>
      <c r="AE309" s="69" t="s">
        <v>125</v>
      </c>
      <c r="AF309" s="265"/>
      <c r="AG309" s="60" t="e">
        <f>MAX(AG120,AG126,AG132,AG138,AG144,AG150,AG156,AG162)</f>
        <v>#VALUE!</v>
      </c>
      <c r="AH309" s="275"/>
      <c r="AI309" s="276"/>
      <c r="AJ309" s="277"/>
      <c r="AK309" s="60" t="e">
        <f>MAX(AK120,AK126,AK132,AK138,AK144,AK150,AK156,AK162)</f>
        <v>#VALUE!</v>
      </c>
      <c r="AL309" s="282"/>
      <c r="AM309" s="60" t="e">
        <f>MAX(AM120,AM126,AM132,AM138,AM144,AM150,AM156,AM162)</f>
        <v>#VALUE!</v>
      </c>
      <c r="AN309" s="282"/>
      <c r="AO309" s="60" t="e">
        <f>MAX(AO120,AO126,AO132,AO138,AO144,AO150,AO156,AO162)</f>
        <v>#VALUE!</v>
      </c>
      <c r="AP309" s="282"/>
    </row>
    <row r="310" spans="3:42" ht="17.100000000000001" customHeight="1" x14ac:dyDescent="0.25">
      <c r="O310" s="43"/>
      <c r="P310" s="43"/>
      <c r="Z310" s="43"/>
      <c r="AA310" s="43"/>
      <c r="AB310" s="43"/>
      <c r="AC310" s="43"/>
      <c r="AD310" s="256"/>
      <c r="AE310" s="64" t="s">
        <v>123</v>
      </c>
      <c r="AF310" s="266" t="s">
        <v>128</v>
      </c>
      <c r="AG310" s="63" t="e">
        <f>AVERAGE(AG122,AG128,AG134,AG140,AG146,AG152,AG158,AG164)</f>
        <v>#VALUE!</v>
      </c>
      <c r="AH310" s="275"/>
      <c r="AI310" s="276"/>
      <c r="AJ310" s="277"/>
      <c r="AK310" s="63" t="e">
        <f>AVERAGE(AK122,AK128,AK134,AK140,AK146,AK152,AK158,AK164)</f>
        <v>#VALUE!</v>
      </c>
      <c r="AL310" s="282"/>
      <c r="AM310" s="63" t="e">
        <f>AVERAGE(AM122,AM128,AM134,AM140,AM146,AM152,AM158,AM164)</f>
        <v>#VALUE!</v>
      </c>
      <c r="AN310" s="282"/>
      <c r="AO310" s="63" t="e">
        <f>AVERAGE(AO122,AO128,AO134,AO140,AO146,AO152,AO158,AO164)</f>
        <v>#VALUE!</v>
      </c>
      <c r="AP310" s="282"/>
    </row>
    <row r="311" spans="3:42" ht="17.100000000000001" customHeight="1" x14ac:dyDescent="0.25">
      <c r="O311" s="43"/>
      <c r="P311" s="43"/>
      <c r="Z311" s="43"/>
      <c r="AA311" s="43"/>
      <c r="AB311" s="43"/>
      <c r="AC311" s="43"/>
      <c r="AD311" s="256"/>
      <c r="AE311" s="64" t="s">
        <v>124</v>
      </c>
      <c r="AF311" s="267"/>
      <c r="AG311" s="59" t="e">
        <f>MIN(AG122,AG128,AG134,AG140,AG146,AG152,AG158,AG164)</f>
        <v>#VALUE!</v>
      </c>
      <c r="AH311" s="275"/>
      <c r="AI311" s="276"/>
      <c r="AJ311" s="277"/>
      <c r="AK311" s="59" t="e">
        <f>MIN(AK122,AK128,AK134,AK140,AK146,AK152,AK158,AK164)</f>
        <v>#VALUE!</v>
      </c>
      <c r="AL311" s="282"/>
      <c r="AM311" s="59" t="e">
        <f>MIN(AM122,AM128,AM134,AM140,AM146,AM152,AM158,AM164)</f>
        <v>#VALUE!</v>
      </c>
      <c r="AN311" s="282"/>
      <c r="AO311" s="59" t="e">
        <f>MIN(AO122,AO128,AO134,AO140,AO146,AO152,AO158,AO164)</f>
        <v>#VALUE!</v>
      </c>
      <c r="AP311" s="282"/>
    </row>
    <row r="312" spans="3:42" ht="17.100000000000001" customHeight="1" thickBot="1" x14ac:dyDescent="0.3">
      <c r="O312" s="43"/>
      <c r="P312" s="43"/>
      <c r="Z312" s="43"/>
      <c r="AA312" s="43"/>
      <c r="AB312" s="43"/>
      <c r="AC312" s="43"/>
      <c r="AD312" s="256"/>
      <c r="AE312" s="65" t="s">
        <v>125</v>
      </c>
      <c r="AF312" s="268"/>
      <c r="AG312" s="60" t="e">
        <f>MAX(AG122,AG128,AG134,AG140,AG146,AG152,AG158,AG164)</f>
        <v>#VALUE!</v>
      </c>
      <c r="AH312" s="278"/>
      <c r="AI312" s="279"/>
      <c r="AJ312" s="280"/>
      <c r="AK312" s="60" t="e">
        <f>MAX(AK122,AK128,AK134,AK140,AK146,AK152,AK158,AK164)</f>
        <v>#VALUE!</v>
      </c>
      <c r="AL312" s="283"/>
      <c r="AM312" s="60" t="e">
        <f>MAX(AM122,AM128,AM134,AM140,AM146,AM152,AM158,AM164)</f>
        <v>#VALUE!</v>
      </c>
      <c r="AN312" s="283"/>
      <c r="AO312" s="60" t="e">
        <f>MAX(AO122,AO128,AO134,AO140,AO146,AO152,AO158,AO164)</f>
        <v>#VALUE!</v>
      </c>
      <c r="AP312" s="283"/>
    </row>
    <row r="313" spans="3:42" ht="17.100000000000001" customHeight="1" x14ac:dyDescent="0.25">
      <c r="C313" s="4" t="s">
        <v>102</v>
      </c>
      <c r="N313" s="6" t="s">
        <v>132</v>
      </c>
      <c r="O313" s="43" t="e">
        <f>GEOMEAN(O166:O201)</f>
        <v>#NUM!</v>
      </c>
      <c r="P313" s="43" t="e">
        <f>GEOMEAN(P166:P201)</f>
        <v>#NUM!</v>
      </c>
      <c r="Z313" s="43" t="e">
        <f>GEOMEAN(Z166:Z201)</f>
        <v>#NUM!</v>
      </c>
      <c r="AA313" s="43" t="e">
        <f>GEOMEAN(AA166:AA201)</f>
        <v>#NUM!</v>
      </c>
      <c r="AB313" s="43" t="e">
        <f>GEOMEAN(AB166:AB201)</f>
        <v>#DIV/0!</v>
      </c>
      <c r="AC313" s="43" t="e">
        <f>GEOMEAN(AC166:AC201)</f>
        <v>#DIV/0!</v>
      </c>
      <c r="AD313" s="256" t="str">
        <f>C313</f>
        <v>Class A4_360p</v>
      </c>
      <c r="AE313" s="68" t="s">
        <v>123</v>
      </c>
      <c r="AF313" s="257" t="s">
        <v>126</v>
      </c>
      <c r="AG313" s="58" t="e">
        <f>AVERAGE(AG166,AG172,AG178,AG184,AG190,AG196)</f>
        <v>#VALUE!</v>
      </c>
      <c r="AH313" s="26" t="e">
        <f>AVERAGE(AH166:AH201)</f>
        <v>#VALUE!</v>
      </c>
      <c r="AI313" s="26" t="e">
        <f>AVERAGE(AI166:AI201)</f>
        <v>#VALUE!</v>
      </c>
      <c r="AJ313" s="26" t="e">
        <f>AVERAGE(AJ166:AJ201)</f>
        <v>#VALUE!</v>
      </c>
      <c r="AK313" s="58" t="e">
        <f>AVERAGE(AK166,AK172,AK178,AK184,AK190,AK196)</f>
        <v>#VALUE!</v>
      </c>
      <c r="AL313" s="26" t="e">
        <f>AVERAGE(AL166:AL201)</f>
        <v>#VALUE!</v>
      </c>
      <c r="AM313" s="58" t="e">
        <f>AVERAGE(AM166,AM172,AM178,AM184,AM190,AM196)</f>
        <v>#VALUE!</v>
      </c>
      <c r="AN313" s="26" t="e">
        <f>AVERAGE(AN166:AN201)</f>
        <v>#VALUE!</v>
      </c>
      <c r="AO313" s="58" t="e">
        <f>AVERAGE(AO166,AO172,AO178,AO184,AO190,AO196)</f>
        <v>#VALUE!</v>
      </c>
      <c r="AP313" s="27" t="e">
        <f>AVERAGE(AP166:AP201)</f>
        <v>#VALUE!</v>
      </c>
    </row>
    <row r="314" spans="3:42" ht="17.100000000000001" customHeight="1" x14ac:dyDescent="0.25">
      <c r="N314" s="6" t="s">
        <v>133</v>
      </c>
      <c r="O314" s="43">
        <f>SUM(O166:O201)</f>
        <v>0</v>
      </c>
      <c r="P314" s="43">
        <f>SUM(P166:P201)</f>
        <v>0</v>
      </c>
      <c r="Z314" s="43">
        <f>SUM(Z166:Z201)</f>
        <v>0</v>
      </c>
      <c r="AA314" s="43">
        <f>SUM(AA166:AA201)</f>
        <v>0</v>
      </c>
      <c r="AB314" s="43" t="e">
        <f>SUM(AB166:AB201)</f>
        <v>#DIV/0!</v>
      </c>
      <c r="AC314" s="43" t="e">
        <f>SUM(AC166:AC201)</f>
        <v>#DIV/0!</v>
      </c>
      <c r="AD314" s="256"/>
      <c r="AE314" s="69" t="s">
        <v>124</v>
      </c>
      <c r="AF314" s="258"/>
      <c r="AG314" s="59" t="e">
        <f>MIN(AG166,AG172,AG178,AG184,AG190,AG196)</f>
        <v>#VALUE!</v>
      </c>
      <c r="AH314" s="25" t="e">
        <f>MIN(AH166:AH201)</f>
        <v>#VALUE!</v>
      </c>
      <c r="AI314" s="25" t="e">
        <f>MIN(AI166:AI201)</f>
        <v>#VALUE!</v>
      </c>
      <c r="AJ314" s="25" t="e">
        <f>MIN(AJ166:AJ201)</f>
        <v>#VALUE!</v>
      </c>
      <c r="AK314" s="59" t="e">
        <f>MIN(AK166,AK172,AK178,AK184,AK190,AK196)</f>
        <v>#VALUE!</v>
      </c>
      <c r="AL314" s="25" t="e">
        <f>MIN(AL166:AL201)</f>
        <v>#VALUE!</v>
      </c>
      <c r="AM314" s="59" t="e">
        <f>MIN(AM166,AM172,AM178,AM184,AM190,AM196)</f>
        <v>#VALUE!</v>
      </c>
      <c r="AN314" s="25" t="e">
        <f>MIN(AN166:AN201)</f>
        <v>#VALUE!</v>
      </c>
      <c r="AO314" s="59" t="e">
        <f>MIN(AO166,AO172,AO178,AO184,AO190,AO196)</f>
        <v>#VALUE!</v>
      </c>
      <c r="AP314" s="29" t="e">
        <f>MIN(AP166:AP201)</f>
        <v>#VALUE!</v>
      </c>
    </row>
    <row r="315" spans="3:42" ht="17.100000000000001" customHeight="1" thickBot="1" x14ac:dyDescent="0.3">
      <c r="N315" s="6" t="s">
        <v>125</v>
      </c>
      <c r="O315" s="43">
        <f>MAX(O166:O201)</f>
        <v>0</v>
      </c>
      <c r="P315" s="43">
        <f>MAX(P166:P201)</f>
        <v>0</v>
      </c>
      <c r="Z315" s="43">
        <f>MAX(Z166:Z201)</f>
        <v>0</v>
      </c>
      <c r="AA315" s="43">
        <f>MAX(AA166:AA201)</f>
        <v>0</v>
      </c>
      <c r="AB315" s="43" t="e">
        <f>MAX(AB166:AB201)</f>
        <v>#DIV/0!</v>
      </c>
      <c r="AC315" s="43" t="e">
        <f>MAX(AC166:AC201)</f>
        <v>#DIV/0!</v>
      </c>
      <c r="AD315" s="256"/>
      <c r="AE315" s="69" t="s">
        <v>125</v>
      </c>
      <c r="AF315" s="259"/>
      <c r="AG315" s="60" t="e">
        <f>MAX(AG166,AG172,AG178,AG184,AG190,AG196)</f>
        <v>#VALUE!</v>
      </c>
      <c r="AH315" s="28" t="e">
        <f>MAX(AH166:AH201)</f>
        <v>#VALUE!</v>
      </c>
      <c r="AI315" s="28" t="e">
        <f>MAX(AI166:AI201)</f>
        <v>#VALUE!</v>
      </c>
      <c r="AJ315" s="28" t="e">
        <f>MAX(AJ166:AJ201)</f>
        <v>#VALUE!</v>
      </c>
      <c r="AK315" s="60" t="e">
        <f>MAX(AK166,AK172,AK178,AK184,AK190,AK196)</f>
        <v>#VALUE!</v>
      </c>
      <c r="AL315" s="28" t="e">
        <f>MAX(AL166:AL201)</f>
        <v>#VALUE!</v>
      </c>
      <c r="AM315" s="60" t="e">
        <f>MAX(AM166,AM172,AM178,AM184,AM190,AM196)</f>
        <v>#VALUE!</v>
      </c>
      <c r="AN315" s="28" t="e">
        <f>MAX(AN166:AN201)</f>
        <v>#VALUE!</v>
      </c>
      <c r="AO315" s="60" t="e">
        <f>MAX(AO166,AO172,AO178,AO184,AO190,AO196)</f>
        <v>#VALUE!</v>
      </c>
      <c r="AP315" s="30" t="e">
        <f>MAX(AP166:AP201)</f>
        <v>#VALUE!</v>
      </c>
    </row>
    <row r="316" spans="3:42" ht="17.100000000000001" customHeight="1" x14ac:dyDescent="0.25">
      <c r="N316" s="6" t="s">
        <v>124</v>
      </c>
      <c r="O316" s="43">
        <f>MIN(O166:O201)</f>
        <v>0</v>
      </c>
      <c r="P316" s="43">
        <f>MIN(P166:P201)</f>
        <v>0</v>
      </c>
      <c r="Z316" s="43">
        <f>MIN(Z166:Z201)</f>
        <v>0</v>
      </c>
      <c r="AA316" s="43">
        <f>MIN(AA166:AA201)</f>
        <v>0</v>
      </c>
      <c r="AB316" s="43" t="e">
        <f>MIN(AB166:AB201)</f>
        <v>#DIV/0!</v>
      </c>
      <c r="AC316" s="43" t="e">
        <f>MIN(AC166:AC201)</f>
        <v>#DIV/0!</v>
      </c>
      <c r="AD316" s="256"/>
      <c r="AE316" s="69" t="s">
        <v>123</v>
      </c>
      <c r="AF316" s="263" t="s">
        <v>127</v>
      </c>
      <c r="AG316" s="58" t="e">
        <f>AVERAGE(AG168,AG174,AG180,AG186,AG192,AG198)</f>
        <v>#VALUE!</v>
      </c>
      <c r="AH316" s="272"/>
      <c r="AI316" s="273"/>
      <c r="AJ316" s="274"/>
      <c r="AK316" s="58" t="e">
        <f>AVERAGE(AK168,AK174,AK180,AK186,AK192,AK198)</f>
        <v>#VALUE!</v>
      </c>
      <c r="AL316" s="281"/>
      <c r="AM316" s="58" t="e">
        <f>AVERAGE(AM168,AM174,AM180,AM186,AM192,AM198)</f>
        <v>#VALUE!</v>
      </c>
      <c r="AN316" s="281"/>
      <c r="AO316" s="58" t="e">
        <f>AVERAGE(AO168,AO174,AO180,AO186,AO192,AO198)</f>
        <v>#VALUE!</v>
      </c>
      <c r="AP316" s="281"/>
    </row>
    <row r="317" spans="3:42" ht="17.100000000000001" customHeight="1" x14ac:dyDescent="0.25">
      <c r="N317" s="6" t="s">
        <v>134</v>
      </c>
      <c r="O317" s="43"/>
      <c r="P317" s="43"/>
      <c r="Z317" s="112" t="e">
        <f>Z313/O313</f>
        <v>#NUM!</v>
      </c>
      <c r="AA317" s="112" t="e">
        <f>AA313/P313</f>
        <v>#NUM!</v>
      </c>
      <c r="AB317" s="43"/>
      <c r="AC317" s="43"/>
      <c r="AD317" s="256"/>
      <c r="AE317" s="69" t="s">
        <v>124</v>
      </c>
      <c r="AF317" s="264"/>
      <c r="AG317" s="59" t="e">
        <f>MIN(AG168,AG174,AG180,AG186,AG192,AG198)</f>
        <v>#VALUE!</v>
      </c>
      <c r="AH317" s="275"/>
      <c r="AI317" s="276"/>
      <c r="AJ317" s="277"/>
      <c r="AK317" s="59" t="e">
        <f>MIN(AK168,AK174,AK180,AK186,AK192,AK198)</f>
        <v>#VALUE!</v>
      </c>
      <c r="AL317" s="282"/>
      <c r="AM317" s="59" t="e">
        <f>MIN(AM168,AM174,AM180,AM186,AM192,AM198)</f>
        <v>#VALUE!</v>
      </c>
      <c r="AN317" s="282"/>
      <c r="AO317" s="59" t="e">
        <f>MIN(AO168,AO174,AO180,AO186,AO192,AO198)</f>
        <v>#VALUE!</v>
      </c>
      <c r="AP317" s="282"/>
    </row>
    <row r="318" spans="3:42" ht="17.100000000000001" customHeight="1" thickBot="1" x14ac:dyDescent="0.3">
      <c r="O318" s="43"/>
      <c r="P318" s="43"/>
      <c r="Z318" s="43"/>
      <c r="AA318" s="43"/>
      <c r="AB318" s="43"/>
      <c r="AC318" s="43"/>
      <c r="AD318" s="256"/>
      <c r="AE318" s="69" t="s">
        <v>125</v>
      </c>
      <c r="AF318" s="265"/>
      <c r="AG318" s="60" t="e">
        <f>MAX(AG168,AG174,AG180,AG186,AG192,AG198)</f>
        <v>#VALUE!</v>
      </c>
      <c r="AH318" s="275"/>
      <c r="AI318" s="276"/>
      <c r="AJ318" s="277"/>
      <c r="AK318" s="60" t="e">
        <f>MAX(AK168,AK174,AK180,AK186,AK192,AK198)</f>
        <v>#VALUE!</v>
      </c>
      <c r="AL318" s="282"/>
      <c r="AM318" s="60" t="e">
        <f>MAX(AM168,AM174,AM180,AM186,AM192,AM198)</f>
        <v>#VALUE!</v>
      </c>
      <c r="AN318" s="282"/>
      <c r="AO318" s="60" t="e">
        <f>MAX(AO168,AO174,AO180,AO186,AO192,AO198)</f>
        <v>#VALUE!</v>
      </c>
      <c r="AP318" s="282"/>
    </row>
    <row r="319" spans="3:42" ht="17.100000000000001" customHeight="1" x14ac:dyDescent="0.25">
      <c r="O319" s="43"/>
      <c r="P319" s="43"/>
      <c r="Z319" s="43"/>
      <c r="AA319" s="43"/>
      <c r="AB319" s="43"/>
      <c r="AC319" s="43"/>
      <c r="AD319" s="256"/>
      <c r="AE319" s="64" t="s">
        <v>123</v>
      </c>
      <c r="AF319" s="266" t="s">
        <v>128</v>
      </c>
      <c r="AG319" s="63" t="e">
        <f>AVERAGE(AG170,AG176,AG182,AG188,AG194,AG200)</f>
        <v>#VALUE!</v>
      </c>
      <c r="AH319" s="275"/>
      <c r="AI319" s="276"/>
      <c r="AJ319" s="277"/>
      <c r="AK319" s="63" t="e">
        <f>AVERAGE(AK170,AK176,AK182,AK188,AK194,AK200)</f>
        <v>#VALUE!</v>
      </c>
      <c r="AL319" s="282"/>
      <c r="AM319" s="63" t="e">
        <f>AVERAGE(AM170,AM176,AM182,AM188,AM194,AM200)</f>
        <v>#VALUE!</v>
      </c>
      <c r="AN319" s="282"/>
      <c r="AO319" s="63" t="e">
        <f>AVERAGE(AO170,AO176,AO182,AO188,AO194,AO200)</f>
        <v>#VALUE!</v>
      </c>
      <c r="AP319" s="282"/>
    </row>
    <row r="320" spans="3:42" ht="17.100000000000001" customHeight="1" x14ac:dyDescent="0.25">
      <c r="O320" s="43"/>
      <c r="P320" s="43"/>
      <c r="Z320" s="43"/>
      <c r="AA320" s="43"/>
      <c r="AB320" s="43"/>
      <c r="AC320" s="43"/>
      <c r="AD320" s="256"/>
      <c r="AE320" s="64" t="s">
        <v>124</v>
      </c>
      <c r="AF320" s="267"/>
      <c r="AG320" s="59" t="e">
        <f>MIN(AG170,AG176,AG182,AG188,AG194,AG200)</f>
        <v>#VALUE!</v>
      </c>
      <c r="AH320" s="275"/>
      <c r="AI320" s="276"/>
      <c r="AJ320" s="277"/>
      <c r="AK320" s="59" t="e">
        <f>MIN(AK170,AK176,AK182,AK188,AK194,AK200)</f>
        <v>#VALUE!</v>
      </c>
      <c r="AL320" s="282"/>
      <c r="AM320" s="59" t="e">
        <f>MIN(AM170,AM176,AM182,AM188,AM194,AM200)</f>
        <v>#VALUE!</v>
      </c>
      <c r="AN320" s="282"/>
      <c r="AO320" s="59" t="e">
        <f>MIN(AO170,AO176,AO182,AO188,AO194,AO200)</f>
        <v>#VALUE!</v>
      </c>
      <c r="AP320" s="282"/>
    </row>
    <row r="321" spans="3:42" ht="17.100000000000001" customHeight="1" thickBot="1" x14ac:dyDescent="0.3">
      <c r="O321" s="43"/>
      <c r="P321" s="43"/>
      <c r="Z321" s="43"/>
      <c r="AA321" s="43"/>
      <c r="AB321" s="43"/>
      <c r="AC321" s="43"/>
      <c r="AD321" s="256"/>
      <c r="AE321" s="65" t="s">
        <v>125</v>
      </c>
      <c r="AF321" s="268"/>
      <c r="AG321" s="60" t="e">
        <f>MAX(AG170,AG176,AG182,AG188,AG194,AG200)</f>
        <v>#VALUE!</v>
      </c>
      <c r="AH321" s="278"/>
      <c r="AI321" s="279"/>
      <c r="AJ321" s="280"/>
      <c r="AK321" s="60" t="e">
        <f>MAX(AK170,AK176,AK182,AK188,AK194,AK200)</f>
        <v>#VALUE!</v>
      </c>
      <c r="AL321" s="283"/>
      <c r="AM321" s="60" t="e">
        <f>MAX(AM170,AM176,AM182,AM188,AM194,AM200)</f>
        <v>#VALUE!</v>
      </c>
      <c r="AN321" s="283"/>
      <c r="AO321" s="60" t="e">
        <f>MAX(AO170,AO176,AO182,AO188,AO194,AO200)</f>
        <v>#VALUE!</v>
      </c>
      <c r="AP321" s="283"/>
    </row>
    <row r="322" spans="3:42" ht="17.100000000000001" customHeight="1" x14ac:dyDescent="0.25">
      <c r="C322" s="4" t="s">
        <v>115</v>
      </c>
      <c r="N322" s="6" t="s">
        <v>132</v>
      </c>
      <c r="O322" s="43" t="e">
        <f>GEOMEAN(O202:O225)</f>
        <v>#NUM!</v>
      </c>
      <c r="P322" s="43" t="e">
        <f>GEOMEAN(P202:P225)</f>
        <v>#NUM!</v>
      </c>
      <c r="Z322" s="43" t="e">
        <f>GEOMEAN(Z202:Z225)</f>
        <v>#NUM!</v>
      </c>
      <c r="AA322" s="43" t="e">
        <f>GEOMEAN(AA202:AA225)</f>
        <v>#NUM!</v>
      </c>
      <c r="AB322" s="43" t="e">
        <f>GEOMEAN(AB202:AB225)</f>
        <v>#DIV/0!</v>
      </c>
      <c r="AC322" s="43" t="e">
        <f>GEOMEAN(AC202:AC225)</f>
        <v>#DIV/0!</v>
      </c>
      <c r="AD322" s="256" t="str">
        <f>C322</f>
        <v>Class A5_270p</v>
      </c>
      <c r="AE322" s="68" t="s">
        <v>123</v>
      </c>
      <c r="AF322" s="257" t="s">
        <v>126</v>
      </c>
      <c r="AG322" s="58">
        <f>AVERAGE(AG202,AG208,AG214,AG220)</f>
        <v>2.4721827973419042E-3</v>
      </c>
      <c r="AH322" s="26">
        <f>AVERAGE(AH202:AH225)</f>
        <v>-0.21829619151660773</v>
      </c>
      <c r="AI322" s="26">
        <f>AVERAGE(AI202:AI225)</f>
        <v>-0.19705409131804794</v>
      </c>
      <c r="AJ322" s="26">
        <f>AVERAGE(AJ202:AJ225)</f>
        <v>-0.22861964171130875</v>
      </c>
      <c r="AK322" s="58">
        <f>AVERAGE(AK202,AK208,AK214,AK220)</f>
        <v>-0.22911545912498305</v>
      </c>
      <c r="AL322" s="26">
        <f>AVERAGE(AL202:AL225)</f>
        <v>-0.21996800935427213</v>
      </c>
      <c r="AM322" s="58">
        <f>AVERAGE(AM202,AM208,AM214,AM220)</f>
        <v>-0.2222327442773096</v>
      </c>
      <c r="AN322" s="26">
        <f>AVERAGE(AN202:AN225)</f>
        <v>-0.2077442377989844</v>
      </c>
      <c r="AO322" s="58">
        <f>AVERAGE(AO202,AO208,AO214,AO220)</f>
        <v>-0.20849251659361684</v>
      </c>
      <c r="AP322" s="27">
        <f>AVERAGE(AP202:AP225)</f>
        <v>-0.16192386093083494</v>
      </c>
    </row>
    <row r="323" spans="3:42" ht="17.100000000000001" customHeight="1" x14ac:dyDescent="0.25">
      <c r="N323" s="6" t="s">
        <v>133</v>
      </c>
      <c r="O323" s="43">
        <f>SUM(O202:O225)</f>
        <v>0</v>
      </c>
      <c r="P323" s="43">
        <f>SUM(P202:P225)</f>
        <v>0</v>
      </c>
      <c r="Z323" s="43">
        <f>SUM(Z202:Z225)</f>
        <v>0</v>
      </c>
      <c r="AA323" s="43">
        <f>SUM(AA202:AA225)</f>
        <v>0</v>
      </c>
      <c r="AB323" s="43" t="e">
        <f>SUM(AB202:AB225)</f>
        <v>#DIV/0!</v>
      </c>
      <c r="AC323" s="43" t="e">
        <f>SUM(AC202:AC225)</f>
        <v>#DIV/0!</v>
      </c>
      <c r="AD323" s="256"/>
      <c r="AE323" s="69" t="s">
        <v>124</v>
      </c>
      <c r="AF323" s="258"/>
      <c r="AG323" s="59">
        <f>MIN(AG202,AG208,AG214,AG220)</f>
        <v>7.0180282035958719E-4</v>
      </c>
      <c r="AH323" s="25">
        <f>MIN(AH202:AH225)</f>
        <v>-0.33305958719283879</v>
      </c>
      <c r="AI323" s="25">
        <f>MIN(AI202:AI225)</f>
        <v>-0.24733626461605129</v>
      </c>
      <c r="AJ323" s="25">
        <f>MIN(AJ202:AJ225)</f>
        <v>-0.31403503899055218</v>
      </c>
      <c r="AK323" s="59">
        <f>MIN(AK202,AK208,AK214,AK220)</f>
        <v>-0.31727125027782321</v>
      </c>
      <c r="AL323" s="25">
        <f>MIN(AL202:AL225)</f>
        <v>-0.33395251092735811</v>
      </c>
      <c r="AM323" s="59">
        <f>MIN(AM202,AM208,AM214,AM220)</f>
        <v>-0.29906301264047042</v>
      </c>
      <c r="AN323" s="25">
        <f>MIN(AN202:AN225)</f>
        <v>-0.307809924088708</v>
      </c>
      <c r="AO323" s="59">
        <f>MIN(AO202,AO208,AO214,AO220)</f>
        <v>-0.24346039900537364</v>
      </c>
      <c r="AP323" s="29">
        <f>MIN(AP202:AP225)</f>
        <v>-0.20484570399999102</v>
      </c>
    </row>
    <row r="324" spans="3:42" ht="17.100000000000001" customHeight="1" thickBot="1" x14ac:dyDescent="0.3">
      <c r="N324" s="6" t="s">
        <v>125</v>
      </c>
      <c r="O324" s="43">
        <f>MAX(O202:O225)</f>
        <v>0</v>
      </c>
      <c r="P324" s="43">
        <f>MAX(P202:P225)</f>
        <v>0</v>
      </c>
      <c r="Z324" s="43">
        <f>MAX(Z202:Z225)</f>
        <v>0</v>
      </c>
      <c r="AA324" s="43">
        <f>MAX(AA202:AA225)</f>
        <v>0</v>
      </c>
      <c r="AB324" s="43" t="e">
        <f>MAX(AB202:AB225)</f>
        <v>#DIV/0!</v>
      </c>
      <c r="AC324" s="43" t="e">
        <f>MAX(AC202:AC225)</f>
        <v>#DIV/0!</v>
      </c>
      <c r="AD324" s="256"/>
      <c r="AE324" s="69" t="s">
        <v>125</v>
      </c>
      <c r="AF324" s="259"/>
      <c r="AG324" s="60">
        <f>MAX(AG202,AG208,AG214,AG220)</f>
        <v>4.6573268459983996E-3</v>
      </c>
      <c r="AH324" s="28">
        <f>MAX(AH202:AH225)</f>
        <v>-0.13138895710511844</v>
      </c>
      <c r="AI324" s="28">
        <f>MAX(AI202:AI225)</f>
        <v>-0.11811283758149838</v>
      </c>
      <c r="AJ324" s="28">
        <f>MAX(AJ202:AJ225)</f>
        <v>-0.10916921767754373</v>
      </c>
      <c r="AK324" s="60">
        <f>MAX(AK202,AK208,AK214,AK220)</f>
        <v>-0.13904675831174185</v>
      </c>
      <c r="AL324" s="28">
        <f>MAX(AL202:AL225)</f>
        <v>-0.13447409712585534</v>
      </c>
      <c r="AM324" s="60">
        <f>MAX(AM202,AM208,AM214,AM220)</f>
        <v>-0.13996956655416293</v>
      </c>
      <c r="AN324" s="28">
        <f>MAX(AN202:AN225)</f>
        <v>-0.13574734650694364</v>
      </c>
      <c r="AO324" s="60">
        <f>MAX(AO202,AO208,AO214,AO220)</f>
        <v>-0.13524840892574319</v>
      </c>
      <c r="AP324" s="30">
        <f>MAX(AP202:AP225)</f>
        <v>-6.2926684475493322E-2</v>
      </c>
    </row>
    <row r="325" spans="3:42" ht="17.100000000000001" customHeight="1" x14ac:dyDescent="0.25">
      <c r="N325" s="6" t="s">
        <v>124</v>
      </c>
      <c r="O325" s="43">
        <f>MIN(O202:O225)</f>
        <v>0</v>
      </c>
      <c r="P325" s="43">
        <f>MIN(P202:P225)</f>
        <v>0</v>
      </c>
      <c r="Z325" s="43">
        <f>MIN(Z202:Z225)</f>
        <v>0</v>
      </c>
      <c r="AA325" s="43">
        <f>MIN(AA202:AA225)</f>
        <v>0</v>
      </c>
      <c r="AB325" s="43" t="e">
        <f>MIN(AB202:AB225)</f>
        <v>#DIV/0!</v>
      </c>
      <c r="AC325" s="43" t="e">
        <f>MIN(AC202:AC225)</f>
        <v>#DIV/0!</v>
      </c>
      <c r="AD325" s="256"/>
      <c r="AE325" s="69" t="s">
        <v>123</v>
      </c>
      <c r="AF325" s="263" t="s">
        <v>127</v>
      </c>
      <c r="AG325" s="58">
        <f>AVERAGE(AG204,AG210,AG216,AG222)</f>
        <v>2.4126944018537655E-3</v>
      </c>
      <c r="AH325" s="272"/>
      <c r="AI325" s="273"/>
      <c r="AJ325" s="274"/>
      <c r="AK325" s="58">
        <f>AVERAGE(AK204,AK210,AK216,AK222)</f>
        <v>-0.22872245867872093</v>
      </c>
      <c r="AL325" s="281"/>
      <c r="AM325" s="58">
        <f>AVERAGE(AM204,AM210,AM216,AM222)</f>
        <v>-0.21928900170948434</v>
      </c>
      <c r="AN325" s="281"/>
      <c r="AO325" s="58">
        <f>AVERAGE(AO204,AO210,AO216,AO222)</f>
        <v>-0.18911348323970684</v>
      </c>
      <c r="AP325" s="281"/>
    </row>
    <row r="326" spans="3:42" ht="17.100000000000001" customHeight="1" x14ac:dyDescent="0.25">
      <c r="N326" s="6" t="s">
        <v>134</v>
      </c>
      <c r="O326" s="43"/>
      <c r="P326" s="43"/>
      <c r="Z326" s="112" t="e">
        <f>Z322/O322</f>
        <v>#NUM!</v>
      </c>
      <c r="AA326" s="112" t="e">
        <f>AA322/P322</f>
        <v>#NUM!</v>
      </c>
      <c r="AB326" s="43"/>
      <c r="AC326" s="43"/>
      <c r="AD326" s="256"/>
      <c r="AE326" s="69" t="s">
        <v>124</v>
      </c>
      <c r="AF326" s="264"/>
      <c r="AG326" s="59">
        <f>MIN(AG204,AG210,AG216,AG222)</f>
        <v>9.0457068947280561E-5</v>
      </c>
      <c r="AH326" s="275"/>
      <c r="AI326" s="276"/>
      <c r="AJ326" s="277"/>
      <c r="AK326" s="59">
        <f>MIN(AK204,AK210,AK216,AK222)</f>
        <v>-0.35062630200036449</v>
      </c>
      <c r="AL326" s="282"/>
      <c r="AM326" s="59">
        <f>MIN(AM204,AM210,AM216,AM222)</f>
        <v>-0.33377783211094747</v>
      </c>
      <c r="AN326" s="282"/>
      <c r="AO326" s="59">
        <f>MIN(AO204,AO210,AO216,AO222)</f>
        <v>-0.2413999346910819</v>
      </c>
      <c r="AP326" s="282"/>
    </row>
    <row r="327" spans="3:42" ht="17.100000000000001" customHeight="1" thickBot="1" x14ac:dyDescent="0.3">
      <c r="O327" s="43"/>
      <c r="P327" s="43"/>
      <c r="Z327" s="43"/>
      <c r="AA327" s="43"/>
      <c r="AB327" s="43"/>
      <c r="AC327" s="43"/>
      <c r="AD327" s="256"/>
      <c r="AE327" s="69" t="s">
        <v>125</v>
      </c>
      <c r="AF327" s="265"/>
      <c r="AG327" s="60">
        <f>MAX(AG204,AG210,AG216,AG222)</f>
        <v>6.8699410154509088E-3</v>
      </c>
      <c r="AH327" s="275"/>
      <c r="AI327" s="276"/>
      <c r="AJ327" s="277"/>
      <c r="AK327" s="60">
        <f>MAX(AK204,AK210,AK216,AK222)</f>
        <v>-0.14109043827660239</v>
      </c>
      <c r="AL327" s="282"/>
      <c r="AM327" s="60">
        <f>MAX(AM204,AM210,AM216,AM222)</f>
        <v>-0.14068417096759889</v>
      </c>
      <c r="AN327" s="282"/>
      <c r="AO327" s="60">
        <f>MAX(AO204,AO210,AO216,AO222)</f>
        <v>-9.3208507171599786E-2</v>
      </c>
      <c r="AP327" s="282"/>
    </row>
    <row r="328" spans="3:42" ht="17.100000000000001" customHeight="1" x14ac:dyDescent="0.25">
      <c r="O328" s="43"/>
      <c r="P328" s="43"/>
      <c r="Z328" s="43"/>
      <c r="AA328" s="43"/>
      <c r="AB328" s="43"/>
      <c r="AC328" s="43"/>
      <c r="AD328" s="256"/>
      <c r="AE328" s="64" t="s">
        <v>123</v>
      </c>
      <c r="AF328" s="266" t="s">
        <v>128</v>
      </c>
      <c r="AG328" s="63">
        <f>AVERAGE(AG206,AG212,AG218,AG224)</f>
        <v>4.6882960224639558E-4</v>
      </c>
      <c r="AH328" s="275"/>
      <c r="AI328" s="276"/>
      <c r="AJ328" s="277"/>
      <c r="AK328" s="63">
        <f>AVERAGE(AK206,AK212,AK218,AK224)</f>
        <v>-0.21628857045103969</v>
      </c>
      <c r="AL328" s="282"/>
      <c r="AM328" s="63">
        <f>AVERAGE(AM206,AM212,AM218,AM224)</f>
        <v>-0.19947067324807816</v>
      </c>
      <c r="AN328" s="282"/>
      <c r="AO328" s="63">
        <f>AVERAGE(AO206,AO212,AO218,AO224)</f>
        <v>-0.15256853463136194</v>
      </c>
      <c r="AP328" s="282"/>
    </row>
    <row r="329" spans="3:42" ht="17.100000000000001" customHeight="1" x14ac:dyDescent="0.25">
      <c r="O329" s="43"/>
      <c r="P329" s="43"/>
      <c r="Z329" s="43"/>
      <c r="AA329" s="43"/>
      <c r="AB329" s="43"/>
      <c r="AC329" s="43"/>
      <c r="AD329" s="256"/>
      <c r="AE329" s="64" t="s">
        <v>124</v>
      </c>
      <c r="AF329" s="267"/>
      <c r="AG329" s="59">
        <f>MIN(AG206,AG212,AG218,AG224)</f>
        <v>-3.1866440066448121E-3</v>
      </c>
      <c r="AH329" s="275"/>
      <c r="AI329" s="276"/>
      <c r="AJ329" s="277"/>
      <c r="AK329" s="59">
        <f>MIN(AK206,AK212,AK218,AK224)</f>
        <v>-0.36279865482374496</v>
      </c>
      <c r="AL329" s="282"/>
      <c r="AM329" s="59">
        <f>MIN(AM206,AM212,AM218,AM224)</f>
        <v>-0.32811059091548278</v>
      </c>
      <c r="AN329" s="282"/>
      <c r="AO329" s="59">
        <f>MIN(AO206,AO212,AO218,AO224)</f>
        <v>-0.19917856374566489</v>
      </c>
      <c r="AP329" s="282"/>
    </row>
    <row r="330" spans="3:42" ht="17.100000000000001" customHeight="1" thickBot="1" x14ac:dyDescent="0.3">
      <c r="O330" s="43"/>
      <c r="P330" s="43"/>
      <c r="Z330" s="43"/>
      <c r="AA330" s="43"/>
      <c r="AB330" s="43"/>
      <c r="AC330" s="43"/>
      <c r="AD330" s="256"/>
      <c r="AE330" s="65" t="s">
        <v>125</v>
      </c>
      <c r="AF330" s="268"/>
      <c r="AG330" s="60">
        <f>MAX(AG206,AG212,AG218,AG224)</f>
        <v>5.4550531690584769E-3</v>
      </c>
      <c r="AH330" s="278"/>
      <c r="AI330" s="279"/>
      <c r="AJ330" s="280"/>
      <c r="AK330" s="60">
        <f>MAX(AK206,AK212,AK218,AK224)</f>
        <v>-0.1320486067793325</v>
      </c>
      <c r="AL330" s="283"/>
      <c r="AM330" s="60">
        <f>MAX(AM206,AM212,AM218,AM224)</f>
        <v>-0.13371099272641229</v>
      </c>
      <c r="AN330" s="283"/>
      <c r="AO330" s="60">
        <f>MAX(AO206,AO212,AO218,AO224)</f>
        <v>-4.7299282465810055E-2</v>
      </c>
      <c r="AP330" s="283"/>
    </row>
    <row r="331" spans="3:42" ht="17.100000000000001" customHeight="1" x14ac:dyDescent="0.25">
      <c r="C331" s="4" t="s">
        <v>103</v>
      </c>
      <c r="N331" s="6" t="s">
        <v>132</v>
      </c>
      <c r="O331" s="43" t="e">
        <f>GEOMEAN(O226:O291)</f>
        <v>#NUM!</v>
      </c>
      <c r="P331" s="43" t="e">
        <f>GEOMEAN(P226:P291)</f>
        <v>#NUM!</v>
      </c>
      <c r="Z331" s="43" t="e">
        <f>GEOMEAN(Z226:Z291)</f>
        <v>#NUM!</v>
      </c>
      <c r="AA331" s="43" t="e">
        <f>GEOMEAN(AA226:AA291)</f>
        <v>#NUM!</v>
      </c>
      <c r="AB331" s="43" t="e">
        <f>GEOMEAN(AB226:AB291)</f>
        <v>#DIV/0!</v>
      </c>
      <c r="AC331" s="43" t="e">
        <f>GEOMEAN(AC226:AC291)</f>
        <v>#DIV/0!</v>
      </c>
      <c r="AD331" s="256" t="str">
        <f>C331</f>
        <v>Class B1_SYN</v>
      </c>
      <c r="AE331" s="68" t="s">
        <v>123</v>
      </c>
      <c r="AF331" s="257" t="s">
        <v>126</v>
      </c>
      <c r="AG331" s="58" t="e">
        <f>AVERAGE(AG226,AG232,AG238,AG244,AG250,AG256,AG262,AG268,AG274,AG280,AG286)</f>
        <v>#VALUE!</v>
      </c>
      <c r="AH331" s="26" t="e">
        <f>AVERAGE(AH226:AH291)</f>
        <v>#VALUE!</v>
      </c>
      <c r="AI331" s="26" t="e">
        <f>AVERAGE(AI226:AI291)</f>
        <v>#VALUE!</v>
      </c>
      <c r="AJ331" s="26" t="e">
        <f>AVERAGE(AJ226:AJ291)</f>
        <v>#VALUE!</v>
      </c>
      <c r="AK331" s="58" t="e">
        <f>AVERAGE(AK226,AK232,AK238,AK244,AK250,AK256,AK262,AK268,AK274,AK280,AK286)</f>
        <v>#VALUE!</v>
      </c>
      <c r="AL331" s="26" t="e">
        <f>AVERAGE(AL226:AL291)</f>
        <v>#VALUE!</v>
      </c>
      <c r="AM331" s="58" t="e">
        <f>AVERAGE(AM226,AM232,AM238,AM244,AM250,AM256,AM262,AM268,AM274,AM280,AM286)</f>
        <v>#VALUE!</v>
      </c>
      <c r="AN331" s="26" t="e">
        <f>AVERAGE(AN226:AN291)</f>
        <v>#VALUE!</v>
      </c>
      <c r="AO331" s="58" t="e">
        <f>AVERAGE(AO226,AO232,AO238,AO244,AO250,AO256,AO262,AO268,AO274,AO280,AO286)</f>
        <v>#VALUE!</v>
      </c>
      <c r="AP331" s="27" t="e">
        <f>AVERAGE(AP226:AP291)</f>
        <v>#VALUE!</v>
      </c>
    </row>
    <row r="332" spans="3:42" ht="17.100000000000001" customHeight="1" x14ac:dyDescent="0.25">
      <c r="N332" s="6" t="s">
        <v>133</v>
      </c>
      <c r="O332" s="43">
        <f>SUM(O226:O291)</f>
        <v>0</v>
      </c>
      <c r="P332" s="43">
        <f>SUM(P226:P291)</f>
        <v>0</v>
      </c>
      <c r="Z332" s="43">
        <f>SUM(Z226:Z291)</f>
        <v>0</v>
      </c>
      <c r="AA332" s="43">
        <f>SUM(AA226:AA291)</f>
        <v>0</v>
      </c>
      <c r="AB332" s="43" t="e">
        <f>SUM(AB226:AB291)</f>
        <v>#DIV/0!</v>
      </c>
      <c r="AC332" s="43" t="e">
        <f>SUM(AC226:AC291)</f>
        <v>#DIV/0!</v>
      </c>
      <c r="AD332" s="256"/>
      <c r="AE332" s="69" t="s">
        <v>124</v>
      </c>
      <c r="AF332" s="258"/>
      <c r="AG332" s="59" t="e">
        <f>MIN(AG226,AG232,AG238,AG244,AG250,AG256,AG262,AG268,AG274,AG280,AG286)</f>
        <v>#VALUE!</v>
      </c>
      <c r="AH332" s="25" t="e">
        <f>MIN(AH226:AH291)</f>
        <v>#VALUE!</v>
      </c>
      <c r="AI332" s="25" t="e">
        <f>MIN(AI226:AI291)</f>
        <v>#VALUE!</v>
      </c>
      <c r="AJ332" s="25" t="e">
        <f>MIN(AJ226:AJ291)</f>
        <v>#VALUE!</v>
      </c>
      <c r="AK332" s="59" t="e">
        <f>MIN(AK226,AK232,AK238,AK244,AK250,AK256,AK262,AK268,AK274,AK280,AK286)</f>
        <v>#VALUE!</v>
      </c>
      <c r="AL332" s="25" t="e">
        <f>MIN(AL226:AL291)</f>
        <v>#VALUE!</v>
      </c>
      <c r="AM332" s="59" t="e">
        <f>MIN(AM226,AM232,AM238,AM244,AM250,AM256,AM262,AM268,AM274,AM280,AM286)</f>
        <v>#VALUE!</v>
      </c>
      <c r="AN332" s="25" t="e">
        <f>MIN(AN226:AN291)</f>
        <v>#VALUE!</v>
      </c>
      <c r="AO332" s="59" t="e">
        <f>MIN(AO226,AO232,AO238,AO244,AO250,AO256,AO262,AO268,AO274,AO280,AO286)</f>
        <v>#VALUE!</v>
      </c>
      <c r="AP332" s="29" t="e">
        <f>MIN(AP226:AP291)</f>
        <v>#VALUE!</v>
      </c>
    </row>
    <row r="333" spans="3:42" ht="17.100000000000001" customHeight="1" thickBot="1" x14ac:dyDescent="0.3">
      <c r="N333" s="6" t="s">
        <v>125</v>
      </c>
      <c r="O333" s="43">
        <f>MAX(O226:O291)</f>
        <v>0</v>
      </c>
      <c r="P333" s="43">
        <f>MAX(P226:P291)</f>
        <v>0</v>
      </c>
      <c r="Z333" s="43">
        <f>MAX(Z226:Z291)</f>
        <v>0</v>
      </c>
      <c r="AA333" s="43">
        <f>MAX(AA226:AA291)</f>
        <v>0</v>
      </c>
      <c r="AB333" s="43" t="e">
        <f>MAX(AB226:AB291)</f>
        <v>#DIV/0!</v>
      </c>
      <c r="AC333" s="43" t="e">
        <f>MAX(AC226:AC291)</f>
        <v>#DIV/0!</v>
      </c>
      <c r="AD333" s="256"/>
      <c r="AE333" s="69" t="s">
        <v>125</v>
      </c>
      <c r="AF333" s="259"/>
      <c r="AG333" s="60" t="e">
        <f>MAX(AG226,AG232,AG238,AG244,AG250,AG256,AG262,AG268,AG274,AG280,AG286)</f>
        <v>#VALUE!</v>
      </c>
      <c r="AH333" s="28" t="e">
        <f>MAX(AH226:AH291)</f>
        <v>#VALUE!</v>
      </c>
      <c r="AI333" s="28" t="e">
        <f>MAX(AI226:AI291)</f>
        <v>#VALUE!</v>
      </c>
      <c r="AJ333" s="28" t="e">
        <f>MAX(AJ226:AJ291)</f>
        <v>#VALUE!</v>
      </c>
      <c r="AK333" s="60" t="e">
        <f>MAX(AK226,AK232,AK238,AK244,AK250,AK256,AK262,AK268,AK274,AK280,AK286)</f>
        <v>#VALUE!</v>
      </c>
      <c r="AL333" s="28" t="e">
        <f>MAX(AL226:AL291)</f>
        <v>#VALUE!</v>
      </c>
      <c r="AM333" s="60" t="e">
        <f>MAX(AM226,AM232,AM238,AM244,AM250,AM256,AM262,AM268,AM274,AM280,AM286)</f>
        <v>#VALUE!</v>
      </c>
      <c r="AN333" s="28" t="e">
        <f>MAX(AN226:AN291)</f>
        <v>#VALUE!</v>
      </c>
      <c r="AO333" s="60" t="e">
        <f>MAX(AO226,AO232,AO238,AO244,AO250,AO256,AO262,AO268,AO274,AO280,AO286)</f>
        <v>#VALUE!</v>
      </c>
      <c r="AP333" s="30" t="e">
        <f>MAX(AP226:AP291)</f>
        <v>#VALUE!</v>
      </c>
    </row>
    <row r="334" spans="3:42" ht="17.100000000000001" customHeight="1" x14ac:dyDescent="0.25">
      <c r="N334" s="6" t="s">
        <v>124</v>
      </c>
      <c r="O334" s="43">
        <f>MIN(O226:O291)</f>
        <v>0</v>
      </c>
      <c r="P334" s="43">
        <f>MIN(P226:P291)</f>
        <v>0</v>
      </c>
      <c r="Z334" s="43">
        <f>MIN(Z226:Z291)</f>
        <v>0</v>
      </c>
      <c r="AA334" s="43">
        <f>MIN(AA226:AA291)</f>
        <v>0</v>
      </c>
      <c r="AB334" s="43" t="e">
        <f>MIN(AB226:AB291)</f>
        <v>#DIV/0!</v>
      </c>
      <c r="AC334" s="43" t="e">
        <f>MIN(AC226:AC291)</f>
        <v>#DIV/0!</v>
      </c>
      <c r="AD334" s="256"/>
      <c r="AE334" s="69" t="s">
        <v>123</v>
      </c>
      <c r="AF334" s="263" t="s">
        <v>127</v>
      </c>
      <c r="AG334" s="58" t="e">
        <f>AVERAGE(AG228,AG234,AG240,AG246,AG252,AG258,AG264,AG270,AG276,AG282,AG288)</f>
        <v>#VALUE!</v>
      </c>
      <c r="AH334" s="272"/>
      <c r="AI334" s="273"/>
      <c r="AJ334" s="274"/>
      <c r="AK334" s="58" t="e">
        <f>AVERAGE(AK228,AK234,AK240,AK246,AK252,AK258,AK264,AK270,AK276,AK282,AK288)</f>
        <v>#VALUE!</v>
      </c>
      <c r="AL334" s="281"/>
      <c r="AM334" s="58" t="e">
        <f>AVERAGE(AM228,AM234,AM240,AM246,AM252,AM258,AM264,AM270,AM276,AM282,AM288)</f>
        <v>#VALUE!</v>
      </c>
      <c r="AN334" s="281"/>
      <c r="AO334" s="58" t="e">
        <f>AVERAGE(AO228,AO234,AO240,AO246,AO252,AO258,AO264,AO270,AO276,AO282,AO288)</f>
        <v>#VALUE!</v>
      </c>
      <c r="AP334" s="281"/>
    </row>
    <row r="335" spans="3:42" ht="17.100000000000001" customHeight="1" x14ac:dyDescent="0.25">
      <c r="N335" s="6" t="s">
        <v>134</v>
      </c>
      <c r="O335" s="43"/>
      <c r="P335" s="43"/>
      <c r="Z335" s="112" t="e">
        <f>Z331/O331</f>
        <v>#NUM!</v>
      </c>
      <c r="AA335" s="112" t="e">
        <f>AA331/P331</f>
        <v>#NUM!</v>
      </c>
      <c r="AB335" s="43"/>
      <c r="AC335" s="43"/>
      <c r="AD335" s="256"/>
      <c r="AE335" s="69" t="s">
        <v>124</v>
      </c>
      <c r="AF335" s="264"/>
      <c r="AG335" s="59" t="e">
        <f>MIN(AG228,AG234,AG240,AG246,AG252,AG258,AG264,AG270,AG276,AG282,AG288)</f>
        <v>#VALUE!</v>
      </c>
      <c r="AH335" s="275"/>
      <c r="AI335" s="276"/>
      <c r="AJ335" s="277"/>
      <c r="AK335" s="59" t="e">
        <f>MIN(AK228,AK234,AK240,AK246,AK252,AK258,AK264,AK270,AK276,AK282,AK288)</f>
        <v>#VALUE!</v>
      </c>
      <c r="AL335" s="282"/>
      <c r="AM335" s="59" t="e">
        <f>MIN(AM228,AM234,AM240,AM246,AM252,AM258,AM264,AM270,AM276,AM282,AM288)</f>
        <v>#VALUE!</v>
      </c>
      <c r="AN335" s="282"/>
      <c r="AO335" s="59" t="e">
        <f>MIN(AO228,AO234,AO240,AO246,AO252,AO258,AO264,AO270,AO276,AO282,AO288)</f>
        <v>#VALUE!</v>
      </c>
      <c r="AP335" s="282"/>
    </row>
    <row r="336" spans="3:42" ht="17.100000000000001" customHeight="1" thickBot="1" x14ac:dyDescent="0.3">
      <c r="O336" s="43"/>
      <c r="P336" s="43"/>
      <c r="Z336" s="43"/>
      <c r="AA336" s="43"/>
      <c r="AB336" s="43"/>
      <c r="AC336" s="43"/>
      <c r="AD336" s="256"/>
      <c r="AE336" s="69" t="s">
        <v>125</v>
      </c>
      <c r="AF336" s="265"/>
      <c r="AG336" s="60" t="e">
        <f>MAX(AG228,AG234,AG240,AG246,AG252,AG258,AG264,AG270,AG276,AG282,AG288)</f>
        <v>#VALUE!</v>
      </c>
      <c r="AH336" s="275"/>
      <c r="AI336" s="276"/>
      <c r="AJ336" s="277"/>
      <c r="AK336" s="60" t="e">
        <f>MAX(AK228,AK234,AK240,AK246,AK252,AK258,AK264,AK270,AK276,AK282,AK288)</f>
        <v>#VALUE!</v>
      </c>
      <c r="AL336" s="282"/>
      <c r="AM336" s="60" t="e">
        <f>MAX(AM228,AM234,AM240,AM246,AM252,AM258,AM264,AM270,AM276,AM282,AM288)</f>
        <v>#VALUE!</v>
      </c>
      <c r="AN336" s="282"/>
      <c r="AO336" s="60" t="e">
        <f>MAX(AO228,AO234,AO240,AO246,AO252,AO258,AO264,AO270,AO276,AO282,AO288)</f>
        <v>#VALUE!</v>
      </c>
      <c r="AP336" s="282"/>
    </row>
    <row r="337" spans="1:42" ht="17.100000000000001" customHeight="1" x14ac:dyDescent="0.25">
      <c r="O337" s="43"/>
      <c r="P337" s="43"/>
      <c r="Z337" s="43"/>
      <c r="AA337" s="43"/>
      <c r="AB337" s="43"/>
      <c r="AC337" s="43"/>
      <c r="AD337" s="256"/>
      <c r="AE337" s="64" t="s">
        <v>123</v>
      </c>
      <c r="AF337" s="266" t="s">
        <v>128</v>
      </c>
      <c r="AG337" s="63" t="e">
        <f>AVERAGE(AG230,AG236,AG242,AG248,AG254,AG260,AG266,AG272,AG278,AG284,AG290)</f>
        <v>#VALUE!</v>
      </c>
      <c r="AH337" s="275"/>
      <c r="AI337" s="276"/>
      <c r="AJ337" s="277"/>
      <c r="AK337" s="63" t="e">
        <f>AVERAGE(AK230,AK236,AK242,AK248,AK254,AK260,AK266,AK272,AK278,AK284,AK290)</f>
        <v>#VALUE!</v>
      </c>
      <c r="AL337" s="282"/>
      <c r="AM337" s="63" t="e">
        <f>AVERAGE(AM230,AM236,AM242,AM248,AM254,AM260,AM266,AM272,AM278,AM284,AM290)</f>
        <v>#VALUE!</v>
      </c>
      <c r="AN337" s="282"/>
      <c r="AO337" s="63" t="e">
        <f>AVERAGE(AO230,AO236,AO242,AO248,AO254,AO260,AO266,AO272,AO278,AO284,AO290)</f>
        <v>#VALUE!</v>
      </c>
      <c r="AP337" s="282"/>
    </row>
    <row r="338" spans="1:42" ht="17.100000000000001" customHeight="1" x14ac:dyDescent="0.25">
      <c r="O338" s="43"/>
      <c r="P338" s="43"/>
      <c r="Z338" s="43"/>
      <c r="AA338" s="43"/>
      <c r="AB338" s="43"/>
      <c r="AC338" s="43"/>
      <c r="AD338" s="256"/>
      <c r="AE338" s="64" t="s">
        <v>124</v>
      </c>
      <c r="AF338" s="267"/>
      <c r="AG338" s="59" t="e">
        <f>MIN(AG230,AG236,AG242,AG248,AG254,AG260,AG266,AG272,AG278,AG284,AG290)</f>
        <v>#VALUE!</v>
      </c>
      <c r="AH338" s="275"/>
      <c r="AI338" s="276"/>
      <c r="AJ338" s="277"/>
      <c r="AK338" s="59" t="e">
        <f>MIN(AK230,AK236,AK242,AK248,AK254,AK260,AK266,AK272,AK278,AK284,AK290)</f>
        <v>#VALUE!</v>
      </c>
      <c r="AL338" s="282"/>
      <c r="AM338" s="59" t="e">
        <f>MIN(AM230,AM236,AM242,AM248,AM254,AM260,AM266,AM272,AM278,AM284,AM290)</f>
        <v>#VALUE!</v>
      </c>
      <c r="AN338" s="282"/>
      <c r="AO338" s="59" t="e">
        <f>MIN(AO230,AO236,AO242,AO248,AO254,AO260,AO266,AO272,AO278,AO284,AO290)</f>
        <v>#VALUE!</v>
      </c>
      <c r="AP338" s="282"/>
    </row>
    <row r="339" spans="1:42" ht="17.100000000000001" customHeight="1" thickBot="1" x14ac:dyDescent="0.3">
      <c r="O339" s="43"/>
      <c r="P339" s="43"/>
      <c r="Z339" s="43"/>
      <c r="AA339" s="43"/>
      <c r="AB339" s="43"/>
      <c r="AC339" s="43"/>
      <c r="AD339" s="256"/>
      <c r="AE339" s="65" t="s">
        <v>125</v>
      </c>
      <c r="AF339" s="268"/>
      <c r="AG339" s="60" t="e">
        <f>MAX(AG230,AG236,AG242,AG248,AG254,AG260,AG266,AG272,AG278,AG284,AG290)</f>
        <v>#VALUE!</v>
      </c>
      <c r="AH339" s="278"/>
      <c r="AI339" s="279"/>
      <c r="AJ339" s="280"/>
      <c r="AK339" s="60" t="e">
        <f>MAX(AK230,AK236,AK242,AK248,AK254,AK260,AK266,AK272,AK278,AK284,AK290)</f>
        <v>#VALUE!</v>
      </c>
      <c r="AL339" s="283"/>
      <c r="AM339" s="60" t="e">
        <f>MAX(AM230,AM236,AM242,AM248,AM254,AM260,AM266,AM272,AM278,AM284,AM290)</f>
        <v>#VALUE!</v>
      </c>
      <c r="AN339" s="283"/>
      <c r="AO339" s="60" t="e">
        <f>MAX(AO230,AO236,AO242,AO248,AO254,AO260,AO266,AO272,AO278,AO284,AO290)</f>
        <v>#VALUE!</v>
      </c>
      <c r="AP339" s="283"/>
    </row>
    <row r="340" spans="1:42" s="82" customFormat="1" ht="17.100000000000001" customHeight="1" x14ac:dyDescent="0.25">
      <c r="D340" s="83"/>
      <c r="F340" s="83"/>
      <c r="G340" s="83"/>
      <c r="H340" s="83"/>
      <c r="I340" s="83"/>
      <c r="J340" s="83"/>
      <c r="K340" s="83"/>
      <c r="L340" s="83"/>
      <c r="M340" s="83"/>
      <c r="N340" s="83"/>
      <c r="O340" s="84"/>
      <c r="P340" s="84"/>
      <c r="Q340" s="74"/>
      <c r="R340" s="74"/>
      <c r="S340" s="74"/>
      <c r="T340" s="74"/>
      <c r="U340" s="74"/>
      <c r="V340" s="74"/>
      <c r="W340" s="74"/>
      <c r="X340" s="74"/>
      <c r="Y340" s="74"/>
      <c r="Z340" s="90"/>
      <c r="AA340" s="90"/>
      <c r="AB340" s="90"/>
      <c r="AC340" s="90"/>
      <c r="AD340" s="85"/>
      <c r="AE340" s="86"/>
      <c r="AF340" s="87"/>
      <c r="AG340" s="88"/>
      <c r="AH340" s="89"/>
      <c r="AI340" s="89"/>
      <c r="AJ340" s="89"/>
      <c r="AK340" s="88"/>
      <c r="AL340" s="89"/>
      <c r="AM340" s="88"/>
      <c r="AN340" s="89"/>
      <c r="AO340" s="88"/>
      <c r="AP340" s="89"/>
    </row>
    <row r="341" spans="1:42" s="82" customFormat="1" ht="17.100000000000001" customHeight="1" thickBot="1" x14ac:dyDescent="0.3">
      <c r="A341" s="96"/>
      <c r="B341" s="96"/>
      <c r="C341" s="96"/>
      <c r="D341" s="97"/>
      <c r="E341" s="96"/>
      <c r="F341" s="97"/>
      <c r="G341" s="97"/>
      <c r="H341" s="97"/>
      <c r="I341" s="97"/>
      <c r="J341" s="97"/>
      <c r="K341" s="97"/>
      <c r="L341" s="97"/>
      <c r="M341" s="97"/>
      <c r="N341" s="97"/>
      <c r="O341" s="98"/>
      <c r="P341" s="98"/>
      <c r="Q341" s="96"/>
      <c r="R341" s="96"/>
      <c r="S341" s="96"/>
      <c r="T341" s="96"/>
      <c r="U341" s="96"/>
      <c r="V341" s="96"/>
      <c r="W341" s="96"/>
      <c r="X341" s="96"/>
      <c r="Y341" s="96"/>
      <c r="Z341" s="98"/>
      <c r="AA341" s="98"/>
      <c r="AB341" s="98"/>
      <c r="AC341" s="98"/>
      <c r="AD341" s="99"/>
      <c r="AE341" s="100"/>
      <c r="AF341" s="101"/>
      <c r="AG341" s="102"/>
      <c r="AH341" s="103"/>
      <c r="AI341" s="103"/>
      <c r="AJ341" s="103"/>
      <c r="AK341" s="102"/>
      <c r="AL341" s="103"/>
      <c r="AM341" s="102"/>
      <c r="AN341" s="103"/>
      <c r="AO341" s="102"/>
      <c r="AP341" s="103"/>
    </row>
    <row r="342" spans="1:42" ht="17.100000000000001" customHeight="1" x14ac:dyDescent="0.25">
      <c r="C342" s="4" t="s">
        <v>131</v>
      </c>
      <c r="N342" s="6" t="s">
        <v>132</v>
      </c>
      <c r="O342" s="43" t="e">
        <f>GEOMEAN(O4:O291)</f>
        <v>#NUM!</v>
      </c>
      <c r="P342" s="43" t="e">
        <f>GEOMEAN(P4:P291)</f>
        <v>#NUM!</v>
      </c>
      <c r="Z342" s="43" t="e">
        <f>GEOMEAN(Z4:Z291)</f>
        <v>#NUM!</v>
      </c>
      <c r="AA342" s="43" t="e">
        <f>GEOMEAN(AA4:AA291)</f>
        <v>#NUM!</v>
      </c>
      <c r="AB342" s="43" t="e">
        <f>GEOMEAN(AB4:AB291)</f>
        <v>#DIV/0!</v>
      </c>
      <c r="AC342" s="43" t="e">
        <f>GEOMEAN(AC4:AC291)</f>
        <v>#DIV/0!</v>
      </c>
      <c r="AD342" s="287" t="str">
        <f>C342</f>
        <v>Overall</v>
      </c>
      <c r="AE342" s="68" t="s">
        <v>123</v>
      </c>
      <c r="AF342" s="257" t="s">
        <v>126</v>
      </c>
      <c r="AG342" s="58" t="e">
        <f>AVERAGE(AG4,AG10,AG16,AG22,AG28,AG34,AG40,AG46,AG52,AG58,AG64,AG70,AG76,AG82,AG88,AG94,AG100,AG106,AG112,AG118,AG124,AG130,AG136,AG142,AG148,AG154,AG160,AG166,AG172,AG178,AG184,AG190,AG196,AG202,AG208,AG214,AG220,AG226,AG232,AG238,AG244,AG250,AG256,AG262,AG268,AG274,AG280,AG286)</f>
        <v>#VALUE!</v>
      </c>
      <c r="AH342" s="26" t="e">
        <f>AVERAGE(AH4:AH291)</f>
        <v>#VALUE!</v>
      </c>
      <c r="AI342" s="26" t="e">
        <f>AVERAGE(AI4:AI291)</f>
        <v>#VALUE!</v>
      </c>
      <c r="AJ342" s="26" t="e">
        <f>AVERAGE(AJ4:AJ291)</f>
        <v>#VALUE!</v>
      </c>
      <c r="AK342" s="58" t="e">
        <f>AVERAGE(AK4,AK10,AK16,AK22,AK28,AK34,AK40,AK46,AK52,AK58,AK64,AK70,AK76,AK82,AK88,AK94,AK100,AK106,AK112,AK118,AK124,AK130,AK136,AK142,AK148,AK154,AK160,AK166,AK172,AK178,AK184,AK190,AK196,AK202,AK208,AK214,AK220,AK226,AK232,AK238,AK244,AK250,AK256,AK262,AK268,AK274,AK280,AK286)</f>
        <v>#VALUE!</v>
      </c>
      <c r="AL342" s="26" t="e">
        <f>AVERAGE(AL4:AL291)</f>
        <v>#VALUE!</v>
      </c>
      <c r="AM342" s="58" t="e">
        <f>AVERAGE(AM4,AM10,AM16,AM22,AM28,AM34,AM40,AM46,AM52,AM58,AM64,AM70,AM76,AM82,AM88,AM94,AM100,AM106,AM112,AM118,AM124,AM130,AM136,AM142,AM148,AM154,AM160,AM166,AM172,AM178,AM184,AM190,AM196,AM202,AM208,AM214,AM220,AM226,AM232,AM238,AM244,AM250,AM256,AM262,AM268,AM274,AM280,AM286)</f>
        <v>#VALUE!</v>
      </c>
      <c r="AN342" s="26" t="e">
        <f>AVERAGE(AN4:AN291)</f>
        <v>#VALUE!</v>
      </c>
      <c r="AO342" s="58" t="e">
        <f>AVERAGE(AO4,AO10,AO16,AO22,AO28,AO34,AO40,AO46,AO52,AO58,AO64,AO70,AO76,AO82,AO88,AO94,AO100,AO106,AO112,AO118,AO124,AO130,AO136,AO142,AO148,AO154,AO160,AO166,AO172,AO178,AO184,AO190,AO196,AO202,AO208,AO214,AO220,AO226,AO232,AO238,AO244,AO250,AO256,AO262,AO268,AO274,AO280,AO286)</f>
        <v>#VALUE!</v>
      </c>
      <c r="AP342" s="26" t="e">
        <f>AVERAGE(AP4:AP291)</f>
        <v>#VALUE!</v>
      </c>
    </row>
    <row r="343" spans="1:42" ht="17.100000000000001" customHeight="1" x14ac:dyDescent="0.25">
      <c r="N343" s="6" t="s">
        <v>133</v>
      </c>
      <c r="O343" s="43">
        <f>SUM(O4:O291)</f>
        <v>0</v>
      </c>
      <c r="P343" s="43">
        <f>SUM(P4:P291)</f>
        <v>0</v>
      </c>
      <c r="Z343" s="43">
        <f>SUM(Z4:Z291)</f>
        <v>0</v>
      </c>
      <c r="AA343" s="43">
        <f>SUM(AA4:AA291)</f>
        <v>0</v>
      </c>
      <c r="AB343" s="43"/>
      <c r="AC343" s="43"/>
      <c r="AD343" s="288"/>
      <c r="AE343" s="69" t="s">
        <v>124</v>
      </c>
      <c r="AF343" s="258"/>
      <c r="AG343" s="59" t="e">
        <f>MIN(AG4,AG10,AG16,AG22,AG28,AG34,AG40,AG46,AG52,AG58,AG64,AG70,AG76,AG82,AG88,AG94,AG100,AG106,AG112,AG118,AG124,AG130,AG136,AG142,AG148,AG154,AG160,AG166,AG172,AG178,AG184,AG190,AG196,AG202,AG208,AG214,AG220,AG226,AG232,AG238,AG244,AG250,AG256,AG262,AG268,AG274,AG280,AG286)</f>
        <v>#VALUE!</v>
      </c>
      <c r="AH343" s="25" t="e">
        <f>MIN(AH4:AH291)</f>
        <v>#VALUE!</v>
      </c>
      <c r="AI343" s="25" t="e">
        <f>MIN(AI4:AI291)</f>
        <v>#VALUE!</v>
      </c>
      <c r="AJ343" s="25" t="e">
        <f>MIN(AJ4:AJ291)</f>
        <v>#VALUE!</v>
      </c>
      <c r="AK343" s="59" t="e">
        <f>MIN(AK4,AK10,AK16,AK22,AK28,AK34,AK40,AK46,AK52,AK58,AK64,AK70,AK76,AK82,AK88,AK94,AK100,AK106,AK112,AK118,AK124,AK130,AK136,AK142,AK148,AK154,AK160,AK166,AK172,AK178,AK184,AK190,AK196,AK202,AK208,AK214,AK220,AK226,AK232,AK238,AK244,AK250,AK256,AK262,AK268,AK274,AK280,AK286)</f>
        <v>#VALUE!</v>
      </c>
      <c r="AL343" s="25" t="e">
        <f>MIN(AL4:AL291)</f>
        <v>#VALUE!</v>
      </c>
      <c r="AM343" s="59" t="e">
        <f>MIN(AM4,AM10,AM16,AM22,AM28,AM34,AM40,AM46,AM52,AM58,AM64,AM70,AM76,AM82,AM88,AM94,AM100,AM106,AM112,AM118,AM124,AM130,AM136,AM142,AM148,AM154,AM160,AM166,AM172,AM178,AM184,AM190,AM196,AM202,AM208,AM214,AM220,AM226,AM232,AM238,AM244,AM250,AM256,AM262,AM268,AM274,AM280,AM286)</f>
        <v>#VALUE!</v>
      </c>
      <c r="AN343" s="25" t="e">
        <f>MIN(AN4:AN291)</f>
        <v>#VALUE!</v>
      </c>
      <c r="AO343" s="59" t="e">
        <f>MIN(AO4,AO10,AO16,AO22,AO28,AO34,AO40,AO46,AO52,AO58,AO64,AO70,AO76,AO82,AO88,AO94,AO100,AO106,AO112,AO118,AO124,AO130,AO136,AO142,AO148,AO154,AO160,AO166,AO172,AO178,AO184,AO190,AO196,AO202,AO208,AO214,AO220,AO226,AO232,AO238,AO244,AO250,AO256,AO262,AO268,AO274,AO280,AO286)</f>
        <v>#VALUE!</v>
      </c>
      <c r="AP343" s="25" t="e">
        <f>MIN(AP4:AP291)</f>
        <v>#VALUE!</v>
      </c>
    </row>
    <row r="344" spans="1:42" ht="17.100000000000001" customHeight="1" thickBot="1" x14ac:dyDescent="0.3">
      <c r="N344" s="6" t="s">
        <v>125</v>
      </c>
      <c r="O344" s="43">
        <f>MAX(O4:O291)</f>
        <v>0</v>
      </c>
      <c r="P344" s="43">
        <f>MAX(P4:P291)</f>
        <v>0</v>
      </c>
      <c r="Z344" s="43">
        <f>MAX(Z4:Z291)</f>
        <v>0</v>
      </c>
      <c r="AA344" s="43">
        <f>MAX(AA4:AA291)</f>
        <v>0</v>
      </c>
      <c r="AB344" s="43"/>
      <c r="AC344" s="43"/>
      <c r="AD344" s="288"/>
      <c r="AE344" s="69" t="s">
        <v>125</v>
      </c>
      <c r="AF344" s="259"/>
      <c r="AG344" s="60" t="e">
        <f>MAX(AG4,AG10,AG16,AG22,AG28,AG34,AG40,AG46,AG52,AG58,AG64,AG70,AG76,AG82,AG88,AG94,AG100,AG106,AG112,AG118,AG124,AG130,AG136,AG142,AG148,AG154,AG160,AG166,AG172,AG178,AG184,AG190,AG196,AG202,AG208,AG214,AG220,AG226,AG232,AG238,AG244,AG250,AG256,AG262,AG268,AG274,AG280,AG286)</f>
        <v>#VALUE!</v>
      </c>
      <c r="AH344" s="28" t="e">
        <f>MAX(AH4:AH291)</f>
        <v>#VALUE!</v>
      </c>
      <c r="AI344" s="28" t="e">
        <f>MAX(AI4:AI291)</f>
        <v>#VALUE!</v>
      </c>
      <c r="AJ344" s="28" t="e">
        <f>MAX(AJ4:AJ291)</f>
        <v>#VALUE!</v>
      </c>
      <c r="AK344" s="60" t="e">
        <f>MAX(AK4,AK10,AK16,AK22,AK28,AK34,AK40,AK46,AK52,AK58,AK64,AK70,AK76,AK82,AK88,AK94,AK100,AK106,AK112,AK118,AK124,AK130,AK136,AK142,AK148,AK154,AK160,AK166,AK172,AK178,AK184,AK190,AK196,AK202,AK208,AK214,AK220,AK226,AK232,AK238,AK244,AK250,AK256,AK262,AK268,AK274,AK280,AK286)</f>
        <v>#VALUE!</v>
      </c>
      <c r="AL344" s="28" t="e">
        <f>MAX(AL4:AL291)</f>
        <v>#VALUE!</v>
      </c>
      <c r="AM344" s="60" t="e">
        <f>MAX(AM4,AM10,AM16,AM22,AM28,AM34,AM40,AM46,AM52,AM58,AM64,AM70,AM76,AM82,AM88,AM94,AM100,AM106,AM112,AM118,AM124,AM130,AM136,AM142,AM148,AM154,AM160,AM166,AM172,AM178,AM184,AM190,AM196,AM202,AM208,AM214,AM220,AM226,AM232,AM238,AM244,AM250,AM256,AM262,AM268,AM274,AM280,AM286)</f>
        <v>#VALUE!</v>
      </c>
      <c r="AN344" s="28" t="e">
        <f>MAX(AN4:AN291)</f>
        <v>#VALUE!</v>
      </c>
      <c r="AO344" s="60" t="e">
        <f>MAX(AO4,AO10,AO16,AO22,AO28,AO34,AO40,AO46,AO52,AO58,AO64,AO70,AO76,AO82,AO88,AO94,AO100,AO106,AO112,AO118,AO124,AO130,AO136,AO142,AO148,AO154,AO160,AO166,AO172,AO178,AO184,AO190,AO196,AO202,AO208,AO214,AO220,AO226,AO232,AO238,AO244,AO250,AO256,AO262,AO268,AO274,AO280,AO286)</f>
        <v>#VALUE!</v>
      </c>
      <c r="AP344" s="28" t="e">
        <f>MAX(AP4:AP291)</f>
        <v>#VALUE!</v>
      </c>
    </row>
    <row r="345" spans="1:42" ht="17.100000000000001" customHeight="1" x14ac:dyDescent="0.25">
      <c r="N345" s="6" t="s">
        <v>124</v>
      </c>
      <c r="O345" s="43">
        <f>MIN(O4:O291)</f>
        <v>0</v>
      </c>
      <c r="P345" s="43">
        <f>MIN(P4:P291)</f>
        <v>0</v>
      </c>
      <c r="Z345" s="43">
        <f>MIN(Z4:Z291)</f>
        <v>0</v>
      </c>
      <c r="AA345" s="43">
        <f>MIN(AA4:AA291)</f>
        <v>0</v>
      </c>
      <c r="AB345" s="43"/>
      <c r="AC345" s="43"/>
      <c r="AD345" s="288"/>
      <c r="AE345" s="69" t="s">
        <v>123</v>
      </c>
      <c r="AF345" s="263" t="s">
        <v>127</v>
      </c>
      <c r="AG345" s="58" t="e">
        <f>AVERAGE(AG6,AG12,AG18,AG24,AG30,AG36,AG42,AG48,AG54,AG60,AG66,AG72,AG78,AG84,AG90,AG96,AG102,AG108,AG114,AG120,AG126,AG132,AG138,AG144,AG150,AG156,AG162,AG168,AG174,AG180,AG186,AG192,AG198,AG204,AG210,AG216,AG222,AG228,AG234,AG240,AG246,AG252,AG258,AG264,AG270,AG276,AG282,AG288)</f>
        <v>#VALUE!</v>
      </c>
      <c r="AH345" s="272"/>
      <c r="AI345" s="273"/>
      <c r="AJ345" s="274"/>
      <c r="AK345" s="58" t="e">
        <f>AVERAGE(AK6,AK12,AK18,AK24,AK30,AK36,AK42,AK48,AK54,AK60,AK66,AK72,AK78,AK84,AK90,AK96,AK102,AK108,AK114,AK120,AK126,AK132,AK138,AK144,AK150,AK156,AK162,AK168,AK174,AK180,AK186,AK192,AK198,AK204,AK210,AK216,AK222,AK228,AK234,AK240,AK246,AK252,AK258,AK264,AK270,AK276,AK282,AK288)</f>
        <v>#VALUE!</v>
      </c>
      <c r="AL345" s="281"/>
      <c r="AM345" s="58" t="e">
        <f>AVERAGE(AM6,AM12,AM18,AM24,AM30,AM36,AM42,AM48,AM54,AM60,AM66,AM72,AM78,AM84,AM90,AM96,AM102,AM108,AM114,AM120,AM126,AM132,AM138,AM144,AM150,AM156,AM162,AM168,AM174,AM180,AM186,AM192,AM198,AM204,AM210,AM216,AM222,AM228,AM234,AM240,AM246,AM252,AM258,AM264,AM270,AM276,AM282,AM288)</f>
        <v>#VALUE!</v>
      </c>
      <c r="AN345" s="281"/>
      <c r="AO345" s="58" t="e">
        <f>AVERAGE(AO6,AO12,AO18,AO24,AO30,AO36,AO42,AO48,AO54,AO60,AO66,AO72,AO78,AO84,AO90,AO96,AO102,AO108,AO114,AO120,AO126,AO132,AO138,AO144,AO150,AO156,AO162,AO168,AO174,AO180,AO186,AO192,AO198,AO204,AO210,AO216,AO222,AO228,AO234,AO240,AO246,AO252,AO258,AO264,AO270,AO276,AO282,AO288)</f>
        <v>#VALUE!</v>
      </c>
      <c r="AP345" s="281"/>
    </row>
    <row r="346" spans="1:42" ht="17.100000000000001" customHeight="1" x14ac:dyDescent="0.25">
      <c r="N346" s="6" t="s">
        <v>134</v>
      </c>
      <c r="O346" s="43"/>
      <c r="P346" s="43"/>
      <c r="Z346" s="112" t="e">
        <f>Z342/O342</f>
        <v>#NUM!</v>
      </c>
      <c r="AA346" s="112" t="e">
        <f>AA342/P342</f>
        <v>#NUM!</v>
      </c>
      <c r="AB346" s="43"/>
      <c r="AC346" s="43"/>
      <c r="AD346" s="288"/>
      <c r="AE346" s="69" t="s">
        <v>124</v>
      </c>
      <c r="AF346" s="264"/>
      <c r="AG346" s="59" t="e">
        <f>MIN(AG6,AG12,AG18,AG24,AG30,AG36,AG42,AG48,AG54,AG60,AG66,AG72,AG78,AG84,AG90,AG96,AG102,AG108,AG114,AG120,AG126,AG132,AG138,AG144,AG150,AG156,AG162,AG168,AG174,AG180,AG186,AG192,AG198,AG204,AG210,AG216,AG222,AG228,AG234,AG240,AG246,AG252,AG258,AG264,AG270,AG276,AG282,AG288)</f>
        <v>#VALUE!</v>
      </c>
      <c r="AH346" s="275"/>
      <c r="AI346" s="276"/>
      <c r="AJ346" s="277"/>
      <c r="AK346" s="59" t="e">
        <f>MIN(AK6,AK12,AK18,AK24,AK30,AK36,AK42,AK48,AK54,AK60,AK66,AK72,AK78,AK84,AK90,AK96,AK102,AK108,AK114,AK120,AK126,AK132,AK138,AK144,AK150,AK156,AK162,AK168,AK174,AK180,AK186,AK192,AK198,AK204,AK210,AK216,AK222,AK228,AK234,AK240,AK246,AK252,AK258,AK264,AK270,AK276,AK282,AK288)</f>
        <v>#VALUE!</v>
      </c>
      <c r="AL346" s="282"/>
      <c r="AM346" s="59" t="e">
        <f>MIN(AM6,AM12,AM18,AM24,AM30,AM36,AM42,AM48,AM54,AM60,AM66,AM72,AM78,AM84,AM90,AM96,AM102,AM108,AM114,AM120,AM126,AM132,AM138,AM144,AM150,AM156,AM162,AM168,AM174,AM180,AM186,AM192,AM198,AM204,AM210,AM216,AM222,AM228,AM234,AM240,AM246,AM252,AM258,AM264,AM270,AM276,AM282,AM288)</f>
        <v>#VALUE!</v>
      </c>
      <c r="AN346" s="282"/>
      <c r="AO346" s="59" t="e">
        <f>MIN(AO6,AO12,AO18,AO24,AO30,AO36,AO42,AO48,AO54,AO60,AO66,AO72,AO78,AO84,AO90,AO96,AO102,AO108,AO114,AO120,AO126,AO132,AO138,AO144,AO150,AO156,AO162,AO168,AO174,AO180,AO186,AO192,AO198,AO204,AO210,AO216,AO222,AO228,AO234,AO240,AO246,AO252,AO258,AO264,AO270,AO276,AO282,AO288)</f>
        <v>#VALUE!</v>
      </c>
      <c r="AP346" s="282"/>
    </row>
    <row r="347" spans="1:42" ht="17.100000000000001" customHeight="1" thickBot="1" x14ac:dyDescent="0.3">
      <c r="O347" s="43"/>
      <c r="P347" s="43"/>
      <c r="Z347" s="43"/>
      <c r="AA347" s="43"/>
      <c r="AB347" s="43"/>
      <c r="AC347" s="43"/>
      <c r="AD347" s="288"/>
      <c r="AE347" s="69" t="s">
        <v>125</v>
      </c>
      <c r="AF347" s="265"/>
      <c r="AG347" s="60" t="e">
        <f>MAX(AG6,AG12,AG18,AG24,AG30,AG36,AG42,AG48,AG54,AG60,AG66,AG72,AG78,AG84,AG90,AG96,AG102,AG108,AG114,AG120,AG126,AG132,AG138,AG144,AG150,AG156,AG162,AG168,AG174,AG180,AG186,AG192,AG198,AG204,AG210,AG216,AG222,AG228,AG234,AG240,AG246,AG252,AG258,AG264,AG270,AG276,AG282,AG288)</f>
        <v>#VALUE!</v>
      </c>
      <c r="AH347" s="275"/>
      <c r="AI347" s="276"/>
      <c r="AJ347" s="277"/>
      <c r="AK347" s="60" t="e">
        <f>MAX(AK6,AK12,AK18,AK24,AK30,AK36,AK42,AK48,AK54,AK60,AK66,AK72,AK78,AK84,AK90,AK96,AK102,AK108,AK114,AK120,AK126,AK132,AK138,AK144,AK150,AK156,AK162,AK168,AK174,AK180,AK186,AK192,AK198,AK204,AK210,AK216,AK222,AK228,AK234,AK240,AK246,AK252,AK258,AK264,AK270,AK276,AK282,AK288)</f>
        <v>#VALUE!</v>
      </c>
      <c r="AL347" s="282"/>
      <c r="AM347" s="60" t="e">
        <f>MAX(AM6,AM12,AM18,AM24,AM30,AM36,AM42,AM48,AM54,AM60,AM66,AM72,AM78,AM84,AM90,AM96,AM102,AM108,AM114,AM120,AM126,AM132,AM138,AM144,AM150,AM156,AM162,AM168,AM174,AM180,AM186,AM192,AM198,AM204,AM210,AM216,AM222,AM228,AM234,AM240,AM246,AM252,AM258,AM264,AM270,AM276,AM282,AM288)</f>
        <v>#VALUE!</v>
      </c>
      <c r="AN347" s="282"/>
      <c r="AO347" s="60" t="e">
        <f>MAX(AO6,AO12,AO18,AO24,AO30,AO36,AO42,AO48,AO54,AO60,AO66,AO72,AO78,AO84,AO90,AO96,AO102,AO108,AO114,AO120,AO126,AO132,AO138,AO144,AO150,AO156,AO162,AO168,AO174,AO180,AO186,AO192,AO198,AO204,AO210,AO216,AO222,AO228,AO234,AO240,AO246,AO252,AO258,AO264,AO270,AO276,AO282,AO288)</f>
        <v>#VALUE!</v>
      </c>
      <c r="AP347" s="282"/>
    </row>
    <row r="348" spans="1:42" ht="17.100000000000001" customHeight="1" x14ac:dyDescent="0.25">
      <c r="O348" s="43"/>
      <c r="P348" s="43"/>
      <c r="Z348" s="43"/>
      <c r="AA348" s="43"/>
      <c r="AB348" s="43"/>
      <c r="AC348" s="43"/>
      <c r="AD348" s="288"/>
      <c r="AE348" s="64" t="s">
        <v>123</v>
      </c>
      <c r="AF348" s="266" t="s">
        <v>128</v>
      </c>
      <c r="AG348" s="63" t="e">
        <f>AVERAGE(AG8,AG14,AG20,AG26,AG32,AG38,AG44,AG50,AG56,AG62,AG68,AG74,AG80,AG86,AG92,AG98,AG104,AG110,AG116,AG122,AG128,AG134,AG140,AG146,AG152,AG158,AG164,AG170,AG176,AG182,AG188,AG194,AG200,AG206,AG212,AG218,AG224,AG230,AG236,AG242,AG248,AG254,AG260,AG266,AG272,AG278,AG284,AG290)</f>
        <v>#VALUE!</v>
      </c>
      <c r="AH348" s="275"/>
      <c r="AI348" s="276"/>
      <c r="AJ348" s="277"/>
      <c r="AK348" s="63" t="e">
        <f>AVERAGE(AK8,AK14,AK20,AK26,AK32,AK38,AK44,AK50,AK56,AK62,AK68,AK74,AK80,AK86,AK92,AK98,AK104,AK110,AK116,AK122,AK128,AK134,AK140,AK146,AK152,AK158,AK164,AK170,AK176,AK182,AK188,AK194,AK200,AK206,AK212,AK218,AK224,AK230,AK236,AK242,AK248,AK254,AK260,AK266,AK272,AK278,AK284,AK290)</f>
        <v>#VALUE!</v>
      </c>
      <c r="AL348" s="282"/>
      <c r="AM348" s="63" t="e">
        <f>AVERAGE(AM8,AM14,AM20,AM26,AM32,AM38,AM44,AM50,AM56,AM62,AM68,AM74,AM80,AM86,AM92,AM98,AM104,AM110,AM116,AM122,AM128,AM134,AM140,AM146,AM152,AM158,AM164,AM170,AM176,AM182,AM188,AM194,AM200,AM206,AM212,AM218,AM224,AM230,AM236,AM242,AM248,AM254,AM260,AM266,AM272,AM278,AM284,AM290)</f>
        <v>#VALUE!</v>
      </c>
      <c r="AN348" s="282"/>
      <c r="AO348" s="63" t="e">
        <f>AVERAGE(AO8,AO14,AO20,AO26,AO32,AO38,AO44,AO50,AO56,AO62,AO68,AO74,AO80,AO86,AO92,AO98,AO104,AO110,AO116,AO122,AO128,AO134,AO140,AO146,AO152,AO158,AO164,AO170,AO176,AO182,AO188,AO194,AO200,AO206,AO212,AO218,AO224,AO230,AO236,AO242,AO248,AO254,AO260,AO266,AO272,AO278,AO284,AO290)</f>
        <v>#VALUE!</v>
      </c>
      <c r="AP348" s="282"/>
    </row>
    <row r="349" spans="1:42" ht="17.100000000000001" customHeight="1" x14ac:dyDescent="0.25">
      <c r="O349" s="43"/>
      <c r="P349" s="43"/>
      <c r="Z349" s="43"/>
      <c r="AA349" s="43"/>
      <c r="AB349" s="43"/>
      <c r="AC349" s="43"/>
      <c r="AD349" s="288"/>
      <c r="AE349" s="64" t="s">
        <v>124</v>
      </c>
      <c r="AF349" s="267"/>
      <c r="AG349" s="59" t="e">
        <f>MIN(AG8,AG14,AG20,AG26,AG32,AG38,AG44,AG50,AG56,AG62,AG68,AG74,AG80,AG86,AG92,AG98,AG104,AG110,AG116,AG122,AG128,AG134,AG140,AG146,AG152,AG158,AG164,AG170,AG176,AG182,AG188,AG194,AG200,AG206,AG212,AG218,AG224,AG230,AG236,AG242,AG248,AG254,AG260,AG266,AG272,AG278,AG284,AG290)</f>
        <v>#VALUE!</v>
      </c>
      <c r="AH349" s="275"/>
      <c r="AI349" s="276"/>
      <c r="AJ349" s="277"/>
      <c r="AK349" s="59" t="e">
        <f>MIN(AK8,AK14,AK20,AK26,AK32,AK38,AK44,AK50,AK56,AK62,AK68,AK74,AK80,AK86,AK92,AK98,AK104,AK110,AK116,AK122,AK128,AK134,AK140,AK146,AK152,AK158,AK164,AK170,AK176,AK182,AK188,AK194,AK200,AK206,AK212,AK218,AK224,AK230,AK236,AK242,AK248,AK254,AK260,AK266,AK272,AK278,AK284,AK290)</f>
        <v>#VALUE!</v>
      </c>
      <c r="AL349" s="282"/>
      <c r="AM349" s="59" t="e">
        <f>MIN(AM8,AM14,AM20,AM26,AM32,AM38,AM44,AM50,AM56,AM62,AM68,AM74,AM80,AM86,AM92,AM98,AM104,AM110,AM116,AM122,AM128,AM134,AM140,AM146,AM152,AM158,AM164,AM170,AM176,AM182,AM188,AM194,AM200,AM206,AM212,AM218,AM224,AM230,AM236,AM242,AM248,AM254,AM260,AM266,AM272,AM278,AM284,AM290)</f>
        <v>#VALUE!</v>
      </c>
      <c r="AN349" s="282"/>
      <c r="AO349" s="59" t="e">
        <f>MIN(AO8,AO14,AO20,AO26,AO32,AO38,AO44,AO50,AO56,AO62,AO68,AO74,AO80,AO86,AO92,AO98,AO104,AO110,AO116,AO122,AO128,AO134,AO140,AO146,AO152,AO158,AO164,AO170,AO176,AO182,AO188,AO194,AO200,AO206,AO212,AO218,AO224,AO230,AO236,AO242,AO248,AO254,AO260,AO266,AO272,AO278,AO284,AO290)</f>
        <v>#VALUE!</v>
      </c>
      <c r="AP349" s="282"/>
    </row>
    <row r="350" spans="1:42" ht="17.100000000000001" customHeight="1" thickBot="1" x14ac:dyDescent="0.3">
      <c r="O350" s="43"/>
      <c r="P350" s="43"/>
      <c r="Z350" s="43"/>
      <c r="AA350" s="43"/>
      <c r="AB350" s="43"/>
      <c r="AC350" s="43"/>
      <c r="AD350" s="289"/>
      <c r="AE350" s="65" t="s">
        <v>125</v>
      </c>
      <c r="AF350" s="268"/>
      <c r="AG350" s="60" t="e">
        <f>MAX(AG8,AG14,AG20,AG26,AG32,AG38,AG44,AG50,AG56,AG62,AG68,AG74,AG80,AG86,AG92,AG98,AG104,AG110,AG116,AG122,AG128,AG134,AG140,AG146,AG152,AG158,AG164,AG170,AG176,AG182,AG188,AG194,AG200,AG206,AG212,AG218,AG224,AG230,AG236,AG242,AG248,AG254,AG260,AG266,AG272,AG278,AG284,AG290)</f>
        <v>#VALUE!</v>
      </c>
      <c r="AH350" s="278"/>
      <c r="AI350" s="279"/>
      <c r="AJ350" s="280"/>
      <c r="AK350" s="60" t="e">
        <f>MAX(AK8,AK14,AK20,AK26,AK32,AK38,AK44,AK50,AK56,AK62,AK68,AK74,AK80,AK86,AK92,AK98,AK104,AK110,AK116,AK122,AK128,AK134,AK140,AK146,AK152,AK158,AK164,AK170,AK176,AK182,AK188,AK194,AK200,AK206,AK212,AK218,AK224,AK230,AK236,AK242,AK248,AK254,AK260,AK266,AK272,AK278,AK284,AK290)</f>
        <v>#VALUE!</v>
      </c>
      <c r="AL350" s="283"/>
      <c r="AM350" s="60" t="e">
        <f>MAX(AM8,AM14,AM20,AM26,AM32,AM38,AM44,AM50,AM56,AM62,AM68,AM74,AM80,AM86,AM92,AM98,AM104,AM110,AM116,AM122,AM128,AM134,AM140,AM146,AM152,AM158,AM164,AM170,AM176,AM182,AM188,AM194,AM200,AM206,AM212,AM218,AM224,AM230,AM236,AM242,AM248,AM254,AM260,AM266,AM272,AM278,AM284,AM290)</f>
        <v>#VALUE!</v>
      </c>
      <c r="AN350" s="283"/>
      <c r="AO350" s="60" t="e">
        <f>MAX(AO8,AO14,AO20,AO26,AO32,AO38,AO44,AO50,AO56,AO62,AO68,AO74,AO80,AO86,AO92,AO98,AO104,AO110,AO116,AO122,AO128,AO134,AO140,AO146,AO152,AO158,AO164,AO170,AO176,AO182,AO188,AO194,AO200,AO206,AO212,AO218,AO224,AO230,AO236,AO242,AO248,AO254,AO260,AO266,AO272,AO278,AO284,AO290)</f>
        <v>#VALUE!</v>
      </c>
      <c r="AP350" s="283"/>
    </row>
    <row r="351" spans="1:42" s="82" customFormat="1" ht="17.100000000000001" customHeight="1" x14ac:dyDescent="0.25">
      <c r="D351" s="83"/>
      <c r="F351" s="83"/>
      <c r="G351" s="83"/>
      <c r="H351" s="83"/>
      <c r="I351" s="83"/>
      <c r="J351" s="83"/>
      <c r="K351" s="83"/>
      <c r="L351" s="83"/>
      <c r="M351" s="83"/>
      <c r="N351" s="83"/>
      <c r="O351" s="84"/>
      <c r="P351" s="84"/>
      <c r="Z351" s="84"/>
      <c r="AA351" s="84"/>
      <c r="AB351" s="84"/>
      <c r="AC351" s="84"/>
      <c r="AD351" s="85"/>
      <c r="AE351" s="86"/>
      <c r="AF351" s="87"/>
      <c r="AG351" s="88"/>
      <c r="AH351" s="89"/>
      <c r="AI351" s="89"/>
      <c r="AJ351" s="89"/>
      <c r="AK351" s="88"/>
      <c r="AL351" s="89"/>
      <c r="AM351" s="88"/>
      <c r="AN351" s="89"/>
      <c r="AO351" s="88"/>
      <c r="AP351" s="89"/>
    </row>
    <row r="352" spans="1:42" s="82" customFormat="1" ht="17.100000000000001" customHeight="1" thickBot="1" x14ac:dyDescent="0.3">
      <c r="A352" s="104"/>
      <c r="B352" s="104"/>
      <c r="C352" s="104"/>
      <c r="D352" s="105"/>
      <c r="E352" s="104"/>
      <c r="F352" s="105"/>
      <c r="G352" s="105"/>
      <c r="H352" s="105"/>
      <c r="I352" s="105"/>
      <c r="J352" s="105"/>
      <c r="K352" s="105"/>
      <c r="L352" s="105"/>
      <c r="M352" s="105"/>
      <c r="N352" s="105"/>
      <c r="O352" s="106"/>
      <c r="P352" s="106"/>
      <c r="Q352" s="104"/>
      <c r="R352" s="104"/>
      <c r="S352" s="104"/>
      <c r="T352" s="104"/>
      <c r="U352" s="104"/>
      <c r="V352" s="104"/>
      <c r="W352" s="104"/>
      <c r="X352" s="104"/>
      <c r="Y352" s="104"/>
      <c r="Z352" s="106"/>
      <c r="AA352" s="106"/>
      <c r="AB352" s="106"/>
      <c r="AC352" s="106"/>
      <c r="AD352" s="107"/>
      <c r="AE352" s="108"/>
      <c r="AF352" s="109"/>
      <c r="AG352" s="110"/>
      <c r="AH352" s="111"/>
      <c r="AI352" s="111"/>
      <c r="AJ352" s="111"/>
      <c r="AK352" s="110"/>
      <c r="AL352" s="111"/>
      <c r="AM352" s="110"/>
      <c r="AN352" s="111"/>
      <c r="AO352" s="110"/>
      <c r="AP352" s="111"/>
    </row>
    <row r="353" spans="1:42" ht="17.100000000000001" customHeight="1" thickBot="1" x14ac:dyDescent="0.3">
      <c r="A353" s="10"/>
      <c r="B353" s="10"/>
      <c r="C353" s="11"/>
      <c r="D353" s="23"/>
      <c r="E353" s="11"/>
      <c r="F353" s="23"/>
      <c r="G353" s="23"/>
      <c r="H353" s="23"/>
      <c r="I353" s="23"/>
      <c r="J353" s="23"/>
      <c r="K353" s="23"/>
      <c r="L353" s="23"/>
      <c r="M353" s="23"/>
      <c r="N353" s="23"/>
      <c r="O353" s="44"/>
      <c r="P353" s="44"/>
      <c r="Q353" s="11"/>
      <c r="R353" s="11"/>
      <c r="S353" s="11"/>
      <c r="T353" s="11"/>
      <c r="U353" s="11"/>
      <c r="V353" s="11"/>
      <c r="W353" s="11"/>
      <c r="X353" s="11"/>
      <c r="Y353" s="11"/>
      <c r="Z353" s="44"/>
      <c r="AA353" s="44"/>
      <c r="AB353" s="44"/>
      <c r="AC353" s="44"/>
      <c r="AD353" s="11"/>
      <c r="AE353" s="11"/>
      <c r="AF353" s="11"/>
      <c r="AG353" s="12"/>
      <c r="AH353" s="12"/>
      <c r="AI353" s="13"/>
      <c r="AJ353" s="13"/>
      <c r="AK353" s="12"/>
      <c r="AL353" s="12"/>
      <c r="AM353" s="12"/>
      <c r="AN353" s="12"/>
      <c r="AO353" s="12"/>
      <c r="AP353" s="12"/>
    </row>
    <row r="354" spans="1:42" ht="17.100000000000001" customHeight="1" x14ac:dyDescent="0.25">
      <c r="O354" s="45"/>
      <c r="P354" s="45"/>
      <c r="Z354" s="14"/>
      <c r="AA354" s="14"/>
      <c r="AB354" s="14"/>
      <c r="AC354" s="14"/>
    </row>
    <row r="355" spans="1:42" ht="17.100000000000001" customHeight="1" x14ac:dyDescent="0.25">
      <c r="Z355" s="15"/>
      <c r="AA355" s="15"/>
      <c r="AB355" s="15"/>
      <c r="AC355" s="15"/>
    </row>
    <row r="356" spans="1:42" ht="17.100000000000001" customHeight="1" x14ac:dyDescent="0.25">
      <c r="O356" s="45"/>
      <c r="P356" s="45"/>
      <c r="Z356" s="14"/>
      <c r="AA356" s="14"/>
      <c r="AB356" s="14"/>
      <c r="AC356" s="14"/>
    </row>
    <row r="359" spans="1:42" ht="17.100000000000001" customHeight="1" x14ac:dyDescent="0.25">
      <c r="O359" s="43"/>
      <c r="P359" s="43"/>
      <c r="Z359" s="8"/>
      <c r="AA359" s="8"/>
      <c r="AB359" s="8"/>
      <c r="AC359" s="8"/>
    </row>
    <row r="360" spans="1:42" ht="17.100000000000001" customHeight="1" x14ac:dyDescent="0.25">
      <c r="O360" s="43"/>
      <c r="P360" s="43"/>
      <c r="Z360" s="8"/>
      <c r="AA360" s="8"/>
      <c r="AB360" s="8"/>
      <c r="AC360" s="8"/>
    </row>
    <row r="361" spans="1:42" ht="17.100000000000001" customHeight="1" x14ac:dyDescent="0.25">
      <c r="O361" s="43"/>
      <c r="P361" s="43"/>
      <c r="Z361" s="8"/>
      <c r="AA361" s="8"/>
      <c r="AB361" s="8"/>
      <c r="AC361" s="8"/>
    </row>
    <row r="362" spans="1:42" ht="17.100000000000001" customHeight="1" x14ac:dyDescent="0.25">
      <c r="O362" s="43"/>
      <c r="P362" s="43"/>
      <c r="Z362" s="8"/>
      <c r="AA362" s="8"/>
      <c r="AB362" s="8"/>
      <c r="AC362" s="8"/>
    </row>
    <row r="363" spans="1:42" ht="17.100000000000001" customHeight="1" x14ac:dyDescent="0.25">
      <c r="O363" s="43"/>
      <c r="P363" s="43"/>
      <c r="Z363" s="8"/>
      <c r="AA363" s="8"/>
      <c r="AB363" s="8"/>
      <c r="AC363" s="8"/>
    </row>
    <row r="364" spans="1:42" ht="17.100000000000001" customHeight="1" x14ac:dyDescent="0.25">
      <c r="O364" s="43"/>
      <c r="P364" s="43"/>
      <c r="Z364" s="8"/>
      <c r="AA364" s="8"/>
      <c r="AB364" s="8"/>
      <c r="AC364" s="8"/>
    </row>
    <row r="365" spans="1:42" ht="17.100000000000001" customHeight="1" x14ac:dyDescent="0.25">
      <c r="O365" s="43"/>
      <c r="P365" s="43"/>
      <c r="Z365" s="8"/>
      <c r="AA365" s="8"/>
      <c r="AB365" s="8"/>
      <c r="AC365" s="8"/>
    </row>
    <row r="366" spans="1:42" ht="17.100000000000001" customHeight="1" x14ac:dyDescent="0.25">
      <c r="O366" s="43"/>
      <c r="P366" s="43"/>
      <c r="Z366" s="8"/>
      <c r="AA366" s="8"/>
      <c r="AB366" s="8"/>
      <c r="AC366" s="8"/>
    </row>
    <row r="367" spans="1:42" ht="17.100000000000001" customHeight="1" x14ac:dyDescent="0.25">
      <c r="AB367" s="8"/>
      <c r="AC367" s="8"/>
    </row>
    <row r="368" spans="1:42" ht="17.100000000000001" customHeight="1" x14ac:dyDescent="0.25">
      <c r="AB368" s="8"/>
      <c r="AC368" s="8"/>
    </row>
    <row r="369" spans="15:29" ht="17.100000000000001" customHeight="1" x14ac:dyDescent="0.25">
      <c r="O369" s="43"/>
      <c r="P369" s="43"/>
      <c r="Z369" s="8"/>
      <c r="AA369" s="8"/>
      <c r="AB369" s="8"/>
      <c r="AC369" s="8"/>
    </row>
    <row r="370" spans="15:29" ht="17.100000000000001" customHeight="1" x14ac:dyDescent="0.25">
      <c r="O370" s="43"/>
      <c r="P370" s="43"/>
      <c r="Z370" s="8"/>
      <c r="AA370" s="8"/>
      <c r="AB370" s="8"/>
      <c r="AC370" s="8"/>
    </row>
    <row r="371" spans="15:29" ht="17.100000000000001" customHeight="1" x14ac:dyDescent="0.25">
      <c r="O371" s="43"/>
      <c r="P371" s="43"/>
      <c r="Z371" s="8"/>
      <c r="AA371" s="8"/>
      <c r="AB371" s="8"/>
      <c r="AC371" s="8"/>
    </row>
    <row r="372" spans="15:29" ht="17.100000000000001" customHeight="1" x14ac:dyDescent="0.25">
      <c r="O372" s="43"/>
      <c r="P372" s="43"/>
      <c r="Z372" s="8"/>
      <c r="AA372" s="8"/>
      <c r="AB372" s="8"/>
      <c r="AC372" s="8"/>
    </row>
    <row r="373" spans="15:29" ht="17.100000000000001" customHeight="1" x14ac:dyDescent="0.25">
      <c r="O373" s="43"/>
      <c r="P373" s="43"/>
      <c r="Z373" s="8"/>
      <c r="AA373" s="8"/>
      <c r="AB373" s="8"/>
      <c r="AC373" s="8"/>
    </row>
    <row r="374" spans="15:29" ht="17.100000000000001" customHeight="1" x14ac:dyDescent="0.25">
      <c r="O374" s="43"/>
      <c r="P374" s="43"/>
      <c r="Z374" s="8"/>
      <c r="AA374" s="8"/>
      <c r="AB374" s="8"/>
      <c r="AC374" s="8"/>
    </row>
    <row r="375" spans="15:29" ht="17.100000000000001" customHeight="1" x14ac:dyDescent="0.25">
      <c r="O375" s="43"/>
      <c r="P375" s="43"/>
      <c r="Z375" s="8"/>
      <c r="AA375" s="8"/>
      <c r="AB375" s="8"/>
      <c r="AC375" s="8"/>
    </row>
    <row r="376" spans="15:29" ht="17.100000000000001" customHeight="1" x14ac:dyDescent="0.25">
      <c r="O376" s="43"/>
      <c r="P376" s="43"/>
      <c r="Z376" s="8"/>
      <c r="AA376" s="8"/>
      <c r="AB376" s="8"/>
      <c r="AC376" s="8"/>
    </row>
  </sheetData>
  <mergeCells count="1270">
    <mergeCell ref="AN345:AN350"/>
    <mergeCell ref="AP345:AP350"/>
    <mergeCell ref="AF348:AF350"/>
    <mergeCell ref="AD342:AD350"/>
    <mergeCell ref="AF342:AF344"/>
    <mergeCell ref="AF345:AF347"/>
    <mergeCell ref="AH345:AJ350"/>
    <mergeCell ref="AL345:AL350"/>
    <mergeCell ref="AF337:AF339"/>
    <mergeCell ref="AN325:AN330"/>
    <mergeCell ref="AP325:AP330"/>
    <mergeCell ref="AF328:AF330"/>
    <mergeCell ref="AD331:AD339"/>
    <mergeCell ref="AF331:AF333"/>
    <mergeCell ref="AF334:AF336"/>
    <mergeCell ref="AH334:AJ339"/>
    <mergeCell ref="AL334:AL339"/>
    <mergeCell ref="AN334:AN339"/>
    <mergeCell ref="AP334:AP339"/>
    <mergeCell ref="AF319:AF321"/>
    <mergeCell ref="AD322:AD330"/>
    <mergeCell ref="AF322:AF324"/>
    <mergeCell ref="AF325:AF327"/>
    <mergeCell ref="AH325:AJ330"/>
    <mergeCell ref="AL325:AL330"/>
    <mergeCell ref="AN307:AN312"/>
    <mergeCell ref="AP307:AP312"/>
    <mergeCell ref="AF310:AF312"/>
    <mergeCell ref="AD313:AD321"/>
    <mergeCell ref="AF313:AF315"/>
    <mergeCell ref="AF316:AF318"/>
    <mergeCell ref="AH316:AJ321"/>
    <mergeCell ref="AL316:AL321"/>
    <mergeCell ref="AN316:AN321"/>
    <mergeCell ref="AP316:AP321"/>
    <mergeCell ref="AF301:AF303"/>
    <mergeCell ref="AD304:AD312"/>
    <mergeCell ref="AF304:AF306"/>
    <mergeCell ref="AF307:AF309"/>
    <mergeCell ref="AH307:AJ312"/>
    <mergeCell ref="AL307:AL312"/>
    <mergeCell ref="AD295:AD303"/>
    <mergeCell ref="AF295:AF297"/>
    <mergeCell ref="AF298:AF300"/>
    <mergeCell ref="AH298:AJ303"/>
    <mergeCell ref="AL298:AL303"/>
    <mergeCell ref="AN298:AN303"/>
    <mergeCell ref="AP298:AP303"/>
    <mergeCell ref="AF294:AG294"/>
    <mergeCell ref="O293:P293"/>
    <mergeCell ref="Z293:AA293"/>
    <mergeCell ref="AG293:AJ293"/>
    <mergeCell ref="AK293:AL293"/>
    <mergeCell ref="AM293:AN293"/>
    <mergeCell ref="AO293:AP293"/>
    <mergeCell ref="AF288:AF289"/>
    <mergeCell ref="AG288:AG289"/>
    <mergeCell ref="AK288:AK289"/>
    <mergeCell ref="AM288:AM289"/>
    <mergeCell ref="AO288:AO289"/>
    <mergeCell ref="AF290:AF291"/>
    <mergeCell ref="AG290:AG291"/>
    <mergeCell ref="AK290:AK291"/>
    <mergeCell ref="AM290:AM291"/>
    <mergeCell ref="AO290:AO291"/>
    <mergeCell ref="AK286:AK287"/>
    <mergeCell ref="AL286:AL291"/>
    <mergeCell ref="AM286:AM287"/>
    <mergeCell ref="AN286:AN291"/>
    <mergeCell ref="AO286:AO287"/>
    <mergeCell ref="AP286:AP291"/>
    <mergeCell ref="AO284:AO285"/>
    <mergeCell ref="B286:B291"/>
    <mergeCell ref="C286:C291"/>
    <mergeCell ref="D286:D291"/>
    <mergeCell ref="E286:E291"/>
    <mergeCell ref="AF286:AF287"/>
    <mergeCell ref="AG286:AG287"/>
    <mergeCell ref="AH286:AH291"/>
    <mergeCell ref="AI286:AI291"/>
    <mergeCell ref="AJ286:AJ291"/>
    <mergeCell ref="AN280:AN285"/>
    <mergeCell ref="AO280:AO281"/>
    <mergeCell ref="AP280:AP285"/>
    <mergeCell ref="AF282:AF283"/>
    <mergeCell ref="AG282:AG283"/>
    <mergeCell ref="AK282:AK283"/>
    <mergeCell ref="AM282:AM283"/>
    <mergeCell ref="AO282:AO283"/>
    <mergeCell ref="AF284:AF285"/>
    <mergeCell ref="AG284:AG285"/>
    <mergeCell ref="AH280:AH285"/>
    <mergeCell ref="AI280:AI285"/>
    <mergeCell ref="AJ280:AJ285"/>
    <mergeCell ref="AK280:AK281"/>
    <mergeCell ref="AL280:AL285"/>
    <mergeCell ref="AM280:AM281"/>
    <mergeCell ref="AK284:AK285"/>
    <mergeCell ref="AM284:AM285"/>
    <mergeCell ref="B280:B285"/>
    <mergeCell ref="C280:C285"/>
    <mergeCell ref="D280:D285"/>
    <mergeCell ref="E280:E285"/>
    <mergeCell ref="AF280:AF281"/>
    <mergeCell ref="AG280:AG281"/>
    <mergeCell ref="AF276:AF277"/>
    <mergeCell ref="AG276:AG277"/>
    <mergeCell ref="AK276:AK277"/>
    <mergeCell ref="AM276:AM277"/>
    <mergeCell ref="AO276:AO277"/>
    <mergeCell ref="AF278:AF279"/>
    <mergeCell ref="AG278:AG279"/>
    <mergeCell ref="AK278:AK279"/>
    <mergeCell ref="AM278:AM279"/>
    <mergeCell ref="AO278:AO279"/>
    <mergeCell ref="AK274:AK275"/>
    <mergeCell ref="AL274:AL279"/>
    <mergeCell ref="AM274:AM275"/>
    <mergeCell ref="AN274:AN279"/>
    <mergeCell ref="AO274:AO275"/>
    <mergeCell ref="AP274:AP279"/>
    <mergeCell ref="AO272:AO273"/>
    <mergeCell ref="B274:B279"/>
    <mergeCell ref="C274:C279"/>
    <mergeCell ref="D274:D279"/>
    <mergeCell ref="E274:E279"/>
    <mergeCell ref="AF274:AF275"/>
    <mergeCell ref="AG274:AG275"/>
    <mergeCell ref="AH274:AH279"/>
    <mergeCell ref="AI274:AI279"/>
    <mergeCell ref="AJ274:AJ279"/>
    <mergeCell ref="AN268:AN273"/>
    <mergeCell ref="AO268:AO269"/>
    <mergeCell ref="AP268:AP273"/>
    <mergeCell ref="AF270:AF271"/>
    <mergeCell ref="AG270:AG271"/>
    <mergeCell ref="AK270:AK271"/>
    <mergeCell ref="AM270:AM271"/>
    <mergeCell ref="AO270:AO271"/>
    <mergeCell ref="AF272:AF273"/>
    <mergeCell ref="AG272:AG273"/>
    <mergeCell ref="AH268:AH273"/>
    <mergeCell ref="AI268:AI273"/>
    <mergeCell ref="AJ268:AJ273"/>
    <mergeCell ref="AK268:AK269"/>
    <mergeCell ref="AL268:AL273"/>
    <mergeCell ref="AM268:AM269"/>
    <mergeCell ref="AK272:AK273"/>
    <mergeCell ref="AM272:AM273"/>
    <mergeCell ref="B268:B273"/>
    <mergeCell ref="C268:C273"/>
    <mergeCell ref="D268:D273"/>
    <mergeCell ref="E268:E273"/>
    <mergeCell ref="AF268:AF269"/>
    <mergeCell ref="AG268:AG269"/>
    <mergeCell ref="AF264:AF265"/>
    <mergeCell ref="AG264:AG265"/>
    <mergeCell ref="AK264:AK265"/>
    <mergeCell ref="AM264:AM265"/>
    <mergeCell ref="AO264:AO265"/>
    <mergeCell ref="AF266:AF267"/>
    <mergeCell ref="AG266:AG267"/>
    <mergeCell ref="AK266:AK267"/>
    <mergeCell ref="AM266:AM267"/>
    <mergeCell ref="AO266:AO267"/>
    <mergeCell ref="AK262:AK263"/>
    <mergeCell ref="AL262:AL267"/>
    <mergeCell ref="AM262:AM263"/>
    <mergeCell ref="AN262:AN267"/>
    <mergeCell ref="AO262:AO263"/>
    <mergeCell ref="AP262:AP267"/>
    <mergeCell ref="AO260:AO261"/>
    <mergeCell ref="B262:B267"/>
    <mergeCell ref="C262:C267"/>
    <mergeCell ref="D262:D267"/>
    <mergeCell ref="E262:E267"/>
    <mergeCell ref="AF262:AF263"/>
    <mergeCell ref="AG262:AG263"/>
    <mergeCell ref="AH262:AH267"/>
    <mergeCell ref="AI262:AI267"/>
    <mergeCell ref="AJ262:AJ267"/>
    <mergeCell ref="AN256:AN261"/>
    <mergeCell ref="AO256:AO257"/>
    <mergeCell ref="AP256:AP261"/>
    <mergeCell ref="AF258:AF259"/>
    <mergeCell ref="AG258:AG259"/>
    <mergeCell ref="AK258:AK259"/>
    <mergeCell ref="AM258:AM259"/>
    <mergeCell ref="AO258:AO259"/>
    <mergeCell ref="AF260:AF261"/>
    <mergeCell ref="AG260:AG261"/>
    <mergeCell ref="AH256:AH261"/>
    <mergeCell ref="AI256:AI261"/>
    <mergeCell ref="AJ256:AJ261"/>
    <mergeCell ref="AK256:AK257"/>
    <mergeCell ref="AL256:AL261"/>
    <mergeCell ref="AM256:AM257"/>
    <mergeCell ref="AK260:AK261"/>
    <mergeCell ref="AM260:AM261"/>
    <mergeCell ref="B256:B261"/>
    <mergeCell ref="C256:C261"/>
    <mergeCell ref="D256:D261"/>
    <mergeCell ref="E256:E261"/>
    <mergeCell ref="AF256:AF257"/>
    <mergeCell ref="AG256:AG257"/>
    <mergeCell ref="AF252:AF253"/>
    <mergeCell ref="AG252:AG253"/>
    <mergeCell ref="AK252:AK253"/>
    <mergeCell ref="AM252:AM253"/>
    <mergeCell ref="AO252:AO253"/>
    <mergeCell ref="AF254:AF255"/>
    <mergeCell ref="AG254:AG255"/>
    <mergeCell ref="AK254:AK255"/>
    <mergeCell ref="AM254:AM255"/>
    <mergeCell ref="AO254:AO255"/>
    <mergeCell ref="AK250:AK251"/>
    <mergeCell ref="AL250:AL255"/>
    <mergeCell ref="AM250:AM251"/>
    <mergeCell ref="AN250:AN255"/>
    <mergeCell ref="AO250:AO251"/>
    <mergeCell ref="AP250:AP255"/>
    <mergeCell ref="AO248:AO249"/>
    <mergeCell ref="B250:B255"/>
    <mergeCell ref="C250:C255"/>
    <mergeCell ref="D250:D255"/>
    <mergeCell ref="E250:E255"/>
    <mergeCell ref="AF250:AF251"/>
    <mergeCell ref="AG250:AG251"/>
    <mergeCell ref="AH250:AH255"/>
    <mergeCell ref="AI250:AI255"/>
    <mergeCell ref="AJ250:AJ255"/>
    <mergeCell ref="AN244:AN249"/>
    <mergeCell ref="AO244:AO245"/>
    <mergeCell ref="AP244:AP249"/>
    <mergeCell ref="AF246:AF247"/>
    <mergeCell ref="AG246:AG247"/>
    <mergeCell ref="AK246:AK247"/>
    <mergeCell ref="AM246:AM247"/>
    <mergeCell ref="AO246:AO247"/>
    <mergeCell ref="AF248:AF249"/>
    <mergeCell ref="AG248:AG249"/>
    <mergeCell ref="AH244:AH249"/>
    <mergeCell ref="AI244:AI249"/>
    <mergeCell ref="AJ244:AJ249"/>
    <mergeCell ref="AK244:AK245"/>
    <mergeCell ref="AL244:AL249"/>
    <mergeCell ref="AM244:AM245"/>
    <mergeCell ref="AK248:AK249"/>
    <mergeCell ref="AM248:AM249"/>
    <mergeCell ref="B244:B249"/>
    <mergeCell ref="C244:C249"/>
    <mergeCell ref="D244:D249"/>
    <mergeCell ref="E244:E249"/>
    <mergeCell ref="AF244:AF245"/>
    <mergeCell ref="AG244:AG245"/>
    <mergeCell ref="AF240:AF241"/>
    <mergeCell ref="AG240:AG241"/>
    <mergeCell ref="AK240:AK241"/>
    <mergeCell ref="AM240:AM241"/>
    <mergeCell ref="AO240:AO241"/>
    <mergeCell ref="AF242:AF243"/>
    <mergeCell ref="AG242:AG243"/>
    <mergeCell ref="AK242:AK243"/>
    <mergeCell ref="AM242:AM243"/>
    <mergeCell ref="AO242:AO243"/>
    <mergeCell ref="AK238:AK239"/>
    <mergeCell ref="AL238:AL243"/>
    <mergeCell ref="AM238:AM239"/>
    <mergeCell ref="AN238:AN243"/>
    <mergeCell ref="AO238:AO239"/>
    <mergeCell ref="AP238:AP243"/>
    <mergeCell ref="AO236:AO237"/>
    <mergeCell ref="B238:B243"/>
    <mergeCell ref="C238:C243"/>
    <mergeCell ref="D238:D243"/>
    <mergeCell ref="E238:E243"/>
    <mergeCell ref="AF238:AF239"/>
    <mergeCell ref="AG238:AG239"/>
    <mergeCell ref="AH238:AH243"/>
    <mergeCell ref="AI238:AI243"/>
    <mergeCell ref="AJ238:AJ243"/>
    <mergeCell ref="AN232:AN237"/>
    <mergeCell ref="AO232:AO233"/>
    <mergeCell ref="AP232:AP237"/>
    <mergeCell ref="AF234:AF235"/>
    <mergeCell ref="AG234:AG235"/>
    <mergeCell ref="AK234:AK235"/>
    <mergeCell ref="AM234:AM235"/>
    <mergeCell ref="AO234:AO235"/>
    <mergeCell ref="AF236:AF237"/>
    <mergeCell ref="AG236:AG237"/>
    <mergeCell ref="AH232:AH237"/>
    <mergeCell ref="AI232:AI237"/>
    <mergeCell ref="AJ232:AJ237"/>
    <mergeCell ref="AK232:AK233"/>
    <mergeCell ref="AL232:AL237"/>
    <mergeCell ref="AM232:AM233"/>
    <mergeCell ref="AK236:AK237"/>
    <mergeCell ref="AM236:AM237"/>
    <mergeCell ref="B232:B237"/>
    <mergeCell ref="C232:C237"/>
    <mergeCell ref="D232:D237"/>
    <mergeCell ref="E232:E237"/>
    <mergeCell ref="AF232:AF233"/>
    <mergeCell ref="AG232:AG233"/>
    <mergeCell ref="AP226:AP231"/>
    <mergeCell ref="AF228:AF229"/>
    <mergeCell ref="AG228:AG229"/>
    <mergeCell ref="AK228:AK229"/>
    <mergeCell ref="AM228:AM229"/>
    <mergeCell ref="AO228:AO229"/>
    <mergeCell ref="AF230:AF231"/>
    <mergeCell ref="AG230:AG231"/>
    <mergeCell ref="AK230:AK231"/>
    <mergeCell ref="AM230:AM231"/>
    <mergeCell ref="AJ226:AJ231"/>
    <mergeCell ref="AK226:AK227"/>
    <mergeCell ref="AL226:AL231"/>
    <mergeCell ref="AM226:AM227"/>
    <mergeCell ref="AN226:AN231"/>
    <mergeCell ref="AO226:AO227"/>
    <mergeCell ref="AO230:AO231"/>
    <mergeCell ref="AO224:AO225"/>
    <mergeCell ref="A226:A291"/>
    <mergeCell ref="B226:B231"/>
    <mergeCell ref="C226:C231"/>
    <mergeCell ref="D226:D231"/>
    <mergeCell ref="E226:E231"/>
    <mergeCell ref="AF226:AF227"/>
    <mergeCell ref="AG226:AG227"/>
    <mergeCell ref="AH226:AH231"/>
    <mergeCell ref="AI226:AI231"/>
    <mergeCell ref="AN220:AN225"/>
    <mergeCell ref="AO220:AO221"/>
    <mergeCell ref="AP220:AP225"/>
    <mergeCell ref="AF222:AF223"/>
    <mergeCell ref="AG222:AG223"/>
    <mergeCell ref="AK222:AK223"/>
    <mergeCell ref="AM222:AM223"/>
    <mergeCell ref="AO222:AO223"/>
    <mergeCell ref="AF224:AF225"/>
    <mergeCell ref="AG224:AG225"/>
    <mergeCell ref="AH220:AH225"/>
    <mergeCell ref="AI220:AI225"/>
    <mergeCell ref="AJ220:AJ225"/>
    <mergeCell ref="AK220:AK221"/>
    <mergeCell ref="AL220:AL225"/>
    <mergeCell ref="AM220:AM221"/>
    <mergeCell ref="AK224:AK225"/>
    <mergeCell ref="AM224:AM225"/>
    <mergeCell ref="B220:B225"/>
    <mergeCell ref="C220:C225"/>
    <mergeCell ref="D220:D225"/>
    <mergeCell ref="E220:E225"/>
    <mergeCell ref="AF220:AF221"/>
    <mergeCell ref="AG220:AG221"/>
    <mergeCell ref="AF216:AF217"/>
    <mergeCell ref="AG216:AG217"/>
    <mergeCell ref="AK216:AK217"/>
    <mergeCell ref="AM216:AM217"/>
    <mergeCell ref="AO216:AO217"/>
    <mergeCell ref="AF218:AF219"/>
    <mergeCell ref="AG218:AG219"/>
    <mergeCell ref="AK218:AK219"/>
    <mergeCell ref="AM218:AM219"/>
    <mergeCell ref="AO218:AO219"/>
    <mergeCell ref="AK214:AK215"/>
    <mergeCell ref="AL214:AL219"/>
    <mergeCell ref="AM214:AM215"/>
    <mergeCell ref="AN214:AN219"/>
    <mergeCell ref="AO214:AO215"/>
    <mergeCell ref="AP214:AP219"/>
    <mergeCell ref="AO212:AO213"/>
    <mergeCell ref="B214:B219"/>
    <mergeCell ref="C214:C219"/>
    <mergeCell ref="D214:D219"/>
    <mergeCell ref="E214:E219"/>
    <mergeCell ref="AF214:AF215"/>
    <mergeCell ref="AG214:AG215"/>
    <mergeCell ref="AH214:AH219"/>
    <mergeCell ref="AI214:AI219"/>
    <mergeCell ref="AJ214:AJ219"/>
    <mergeCell ref="AN208:AN213"/>
    <mergeCell ref="AO208:AO209"/>
    <mergeCell ref="AP208:AP213"/>
    <mergeCell ref="AF210:AF211"/>
    <mergeCell ref="AG210:AG211"/>
    <mergeCell ref="AK210:AK211"/>
    <mergeCell ref="AM210:AM211"/>
    <mergeCell ref="AO210:AO211"/>
    <mergeCell ref="AF212:AF213"/>
    <mergeCell ref="AG212:AG213"/>
    <mergeCell ref="AH208:AH213"/>
    <mergeCell ref="AI208:AI213"/>
    <mergeCell ref="AJ208:AJ213"/>
    <mergeCell ref="AK208:AK209"/>
    <mergeCell ref="AL208:AL213"/>
    <mergeCell ref="AM208:AM209"/>
    <mergeCell ref="AK212:AK213"/>
    <mergeCell ref="AM212:AM213"/>
    <mergeCell ref="B208:B213"/>
    <mergeCell ref="C208:C213"/>
    <mergeCell ref="D208:D213"/>
    <mergeCell ref="E208:E213"/>
    <mergeCell ref="AF208:AF209"/>
    <mergeCell ref="AG208:AG209"/>
    <mergeCell ref="AP202:AP207"/>
    <mergeCell ref="AF204:AF205"/>
    <mergeCell ref="AG204:AG205"/>
    <mergeCell ref="AK204:AK205"/>
    <mergeCell ref="AM204:AM205"/>
    <mergeCell ref="AO204:AO205"/>
    <mergeCell ref="AF206:AF207"/>
    <mergeCell ref="AG206:AG207"/>
    <mergeCell ref="AK206:AK207"/>
    <mergeCell ref="AM206:AM207"/>
    <mergeCell ref="AJ202:AJ207"/>
    <mergeCell ref="AK202:AK203"/>
    <mergeCell ref="AL202:AL207"/>
    <mergeCell ref="AM202:AM203"/>
    <mergeCell ref="AN202:AN207"/>
    <mergeCell ref="AO202:AO203"/>
    <mergeCell ref="AO206:AO207"/>
    <mergeCell ref="AO200:AO201"/>
    <mergeCell ref="A202:A225"/>
    <mergeCell ref="B202:B207"/>
    <mergeCell ref="C202:C207"/>
    <mergeCell ref="D202:D207"/>
    <mergeCell ref="E202:E207"/>
    <mergeCell ref="AF202:AF203"/>
    <mergeCell ref="AG202:AG203"/>
    <mergeCell ref="AH202:AH207"/>
    <mergeCell ref="AI202:AI207"/>
    <mergeCell ref="AN196:AN201"/>
    <mergeCell ref="AO196:AO197"/>
    <mergeCell ref="AP196:AP201"/>
    <mergeCell ref="AF198:AF199"/>
    <mergeCell ref="AG198:AG199"/>
    <mergeCell ref="AK198:AK199"/>
    <mergeCell ref="AM198:AM199"/>
    <mergeCell ref="AO198:AO199"/>
    <mergeCell ref="AF200:AF201"/>
    <mergeCell ref="AG200:AG201"/>
    <mergeCell ref="AH196:AH201"/>
    <mergeCell ref="AI196:AI201"/>
    <mergeCell ref="AJ196:AJ201"/>
    <mergeCell ref="AK196:AK197"/>
    <mergeCell ref="AL196:AL201"/>
    <mergeCell ref="AM196:AM197"/>
    <mergeCell ref="AK200:AK201"/>
    <mergeCell ref="AM200:AM201"/>
    <mergeCell ref="B196:B201"/>
    <mergeCell ref="C196:C201"/>
    <mergeCell ref="D196:D201"/>
    <mergeCell ref="E196:E201"/>
    <mergeCell ref="AF196:AF197"/>
    <mergeCell ref="AG196:AG197"/>
    <mergeCell ref="AF192:AF193"/>
    <mergeCell ref="AG192:AG193"/>
    <mergeCell ref="AK192:AK193"/>
    <mergeCell ref="AM192:AM193"/>
    <mergeCell ref="AO192:AO193"/>
    <mergeCell ref="AF194:AF195"/>
    <mergeCell ref="AG194:AG195"/>
    <mergeCell ref="AK194:AK195"/>
    <mergeCell ref="AM194:AM195"/>
    <mergeCell ref="AO194:AO195"/>
    <mergeCell ref="AK190:AK191"/>
    <mergeCell ref="AL190:AL195"/>
    <mergeCell ref="AM190:AM191"/>
    <mergeCell ref="AN190:AN195"/>
    <mergeCell ref="AO190:AO191"/>
    <mergeCell ref="AP190:AP195"/>
    <mergeCell ref="AO188:AO189"/>
    <mergeCell ref="B190:B195"/>
    <mergeCell ref="C190:C195"/>
    <mergeCell ref="D190:D195"/>
    <mergeCell ref="E190:E195"/>
    <mergeCell ref="AF190:AF191"/>
    <mergeCell ref="AG190:AG191"/>
    <mergeCell ref="AH190:AH195"/>
    <mergeCell ref="AI190:AI195"/>
    <mergeCell ref="AJ190:AJ195"/>
    <mergeCell ref="AN184:AN189"/>
    <mergeCell ref="AO184:AO185"/>
    <mergeCell ref="AP184:AP189"/>
    <mergeCell ref="AF186:AF187"/>
    <mergeCell ref="AG186:AG187"/>
    <mergeCell ref="AK186:AK187"/>
    <mergeCell ref="AM186:AM187"/>
    <mergeCell ref="AO186:AO187"/>
    <mergeCell ref="AF188:AF189"/>
    <mergeCell ref="AG188:AG189"/>
    <mergeCell ref="AH184:AH189"/>
    <mergeCell ref="AI184:AI189"/>
    <mergeCell ref="AJ184:AJ189"/>
    <mergeCell ref="AK184:AK185"/>
    <mergeCell ref="AL184:AL189"/>
    <mergeCell ref="AM184:AM185"/>
    <mergeCell ref="AK188:AK189"/>
    <mergeCell ref="AM188:AM189"/>
    <mergeCell ref="B184:B189"/>
    <mergeCell ref="C184:C189"/>
    <mergeCell ref="D184:D189"/>
    <mergeCell ref="E184:E189"/>
    <mergeCell ref="AF184:AF185"/>
    <mergeCell ref="AG184:AG185"/>
    <mergeCell ref="AF180:AF181"/>
    <mergeCell ref="AG180:AG181"/>
    <mergeCell ref="AK180:AK181"/>
    <mergeCell ref="AM180:AM181"/>
    <mergeCell ref="AO180:AO181"/>
    <mergeCell ref="AF182:AF183"/>
    <mergeCell ref="AG182:AG183"/>
    <mergeCell ref="AK182:AK183"/>
    <mergeCell ref="AM182:AM183"/>
    <mergeCell ref="AO182:AO183"/>
    <mergeCell ref="AK178:AK179"/>
    <mergeCell ref="AL178:AL183"/>
    <mergeCell ref="AM178:AM179"/>
    <mergeCell ref="AN178:AN183"/>
    <mergeCell ref="AO178:AO179"/>
    <mergeCell ref="AP178:AP183"/>
    <mergeCell ref="AO176:AO177"/>
    <mergeCell ref="B178:B183"/>
    <mergeCell ref="C178:C183"/>
    <mergeCell ref="D178:D183"/>
    <mergeCell ref="E178:E183"/>
    <mergeCell ref="AF178:AF179"/>
    <mergeCell ref="AG178:AG179"/>
    <mergeCell ref="AH178:AH183"/>
    <mergeCell ref="AI178:AI183"/>
    <mergeCell ref="AJ178:AJ183"/>
    <mergeCell ref="AN172:AN177"/>
    <mergeCell ref="AO172:AO173"/>
    <mergeCell ref="AP172:AP177"/>
    <mergeCell ref="AF174:AF175"/>
    <mergeCell ref="AG174:AG175"/>
    <mergeCell ref="AK174:AK175"/>
    <mergeCell ref="AM174:AM175"/>
    <mergeCell ref="AO174:AO175"/>
    <mergeCell ref="AF176:AF177"/>
    <mergeCell ref="AG176:AG177"/>
    <mergeCell ref="AH172:AH177"/>
    <mergeCell ref="AI172:AI177"/>
    <mergeCell ref="AJ172:AJ177"/>
    <mergeCell ref="AK172:AK173"/>
    <mergeCell ref="AL172:AL177"/>
    <mergeCell ref="AM172:AM173"/>
    <mergeCell ref="AK176:AK177"/>
    <mergeCell ref="AM176:AM177"/>
    <mergeCell ref="B172:B177"/>
    <mergeCell ref="C172:C177"/>
    <mergeCell ref="D172:D177"/>
    <mergeCell ref="E172:E177"/>
    <mergeCell ref="AF172:AF173"/>
    <mergeCell ref="AG172:AG173"/>
    <mergeCell ref="AP166:AP171"/>
    <mergeCell ref="AF168:AF169"/>
    <mergeCell ref="AG168:AG169"/>
    <mergeCell ref="AK168:AK169"/>
    <mergeCell ref="AM168:AM169"/>
    <mergeCell ref="AO168:AO169"/>
    <mergeCell ref="AF170:AF171"/>
    <mergeCell ref="AG170:AG171"/>
    <mergeCell ref="AK170:AK171"/>
    <mergeCell ref="AM170:AM171"/>
    <mergeCell ref="AJ166:AJ171"/>
    <mergeCell ref="AK166:AK167"/>
    <mergeCell ref="AL166:AL171"/>
    <mergeCell ref="AM166:AM167"/>
    <mergeCell ref="AN166:AN171"/>
    <mergeCell ref="AO166:AO167"/>
    <mergeCell ref="AO170:AO171"/>
    <mergeCell ref="AO164:AO165"/>
    <mergeCell ref="A166:A201"/>
    <mergeCell ref="B166:B171"/>
    <mergeCell ref="C166:C171"/>
    <mergeCell ref="D166:D171"/>
    <mergeCell ref="E166:E171"/>
    <mergeCell ref="AF166:AF167"/>
    <mergeCell ref="AG166:AG167"/>
    <mergeCell ref="AH166:AH171"/>
    <mergeCell ref="AI166:AI171"/>
    <mergeCell ref="AN160:AN165"/>
    <mergeCell ref="AO160:AO161"/>
    <mergeCell ref="AP160:AP165"/>
    <mergeCell ref="AF162:AF163"/>
    <mergeCell ref="AG162:AG163"/>
    <mergeCell ref="AK162:AK163"/>
    <mergeCell ref="AM162:AM163"/>
    <mergeCell ref="AO162:AO163"/>
    <mergeCell ref="AF164:AF165"/>
    <mergeCell ref="AG164:AG165"/>
    <mergeCell ref="AH160:AH165"/>
    <mergeCell ref="AI160:AI165"/>
    <mergeCell ref="AJ160:AJ165"/>
    <mergeCell ref="AK160:AK161"/>
    <mergeCell ref="AL160:AL165"/>
    <mergeCell ref="AM160:AM161"/>
    <mergeCell ref="AK164:AK165"/>
    <mergeCell ref="AM164:AM165"/>
    <mergeCell ref="B160:B165"/>
    <mergeCell ref="C160:C165"/>
    <mergeCell ref="D160:D165"/>
    <mergeCell ref="E160:E165"/>
    <mergeCell ref="AF160:AF161"/>
    <mergeCell ref="AG160:AG161"/>
    <mergeCell ref="AF156:AF157"/>
    <mergeCell ref="AG156:AG157"/>
    <mergeCell ref="AK156:AK157"/>
    <mergeCell ref="AM156:AM157"/>
    <mergeCell ref="AO156:AO157"/>
    <mergeCell ref="AF158:AF159"/>
    <mergeCell ref="AG158:AG159"/>
    <mergeCell ref="AK158:AK159"/>
    <mergeCell ref="AM158:AM159"/>
    <mergeCell ref="AO158:AO159"/>
    <mergeCell ref="AK154:AK155"/>
    <mergeCell ref="AL154:AL159"/>
    <mergeCell ref="AM154:AM155"/>
    <mergeCell ref="AN154:AN159"/>
    <mergeCell ref="AO154:AO155"/>
    <mergeCell ref="AP154:AP159"/>
    <mergeCell ref="AO152:AO153"/>
    <mergeCell ref="B154:B159"/>
    <mergeCell ref="C154:C159"/>
    <mergeCell ref="D154:D159"/>
    <mergeCell ref="E154:E159"/>
    <mergeCell ref="AF154:AF155"/>
    <mergeCell ref="AG154:AG155"/>
    <mergeCell ref="AH154:AH159"/>
    <mergeCell ref="AI154:AI159"/>
    <mergeCell ref="AJ154:AJ159"/>
    <mergeCell ref="AN148:AN153"/>
    <mergeCell ref="AO148:AO149"/>
    <mergeCell ref="AP148:AP153"/>
    <mergeCell ref="AF150:AF151"/>
    <mergeCell ref="AG150:AG151"/>
    <mergeCell ref="AK150:AK151"/>
    <mergeCell ref="AM150:AM151"/>
    <mergeCell ref="AO150:AO151"/>
    <mergeCell ref="AF152:AF153"/>
    <mergeCell ref="AG152:AG153"/>
    <mergeCell ref="AH148:AH153"/>
    <mergeCell ref="AI148:AI153"/>
    <mergeCell ref="AJ148:AJ153"/>
    <mergeCell ref="AK148:AK149"/>
    <mergeCell ref="AL148:AL153"/>
    <mergeCell ref="AM148:AM149"/>
    <mergeCell ref="AK152:AK153"/>
    <mergeCell ref="AM152:AM153"/>
    <mergeCell ref="B148:B153"/>
    <mergeCell ref="C148:C153"/>
    <mergeCell ref="D148:D153"/>
    <mergeCell ref="E148:E153"/>
    <mergeCell ref="AF148:AF149"/>
    <mergeCell ref="AG148:AG149"/>
    <mergeCell ref="AF144:AF145"/>
    <mergeCell ref="AG144:AG145"/>
    <mergeCell ref="AK144:AK145"/>
    <mergeCell ref="AM144:AM145"/>
    <mergeCell ref="AO144:AO145"/>
    <mergeCell ref="AF146:AF147"/>
    <mergeCell ref="AG146:AG147"/>
    <mergeCell ref="AK146:AK147"/>
    <mergeCell ref="AM146:AM147"/>
    <mergeCell ref="AO146:AO147"/>
    <mergeCell ref="AK142:AK143"/>
    <mergeCell ref="AL142:AL147"/>
    <mergeCell ref="AM142:AM143"/>
    <mergeCell ref="AN142:AN147"/>
    <mergeCell ref="AO142:AO143"/>
    <mergeCell ref="AP142:AP147"/>
    <mergeCell ref="AO140:AO141"/>
    <mergeCell ref="B142:B147"/>
    <mergeCell ref="C142:C147"/>
    <mergeCell ref="D142:D147"/>
    <mergeCell ref="E142:E147"/>
    <mergeCell ref="AF142:AF143"/>
    <mergeCell ref="AG142:AG143"/>
    <mergeCell ref="AH142:AH147"/>
    <mergeCell ref="AI142:AI147"/>
    <mergeCell ref="AJ142:AJ147"/>
    <mergeCell ref="AN136:AN141"/>
    <mergeCell ref="AO136:AO137"/>
    <mergeCell ref="AP136:AP141"/>
    <mergeCell ref="AF138:AF139"/>
    <mergeCell ref="AG138:AG139"/>
    <mergeCell ref="AK138:AK139"/>
    <mergeCell ref="AM138:AM139"/>
    <mergeCell ref="AO138:AO139"/>
    <mergeCell ref="AF140:AF141"/>
    <mergeCell ref="AG140:AG141"/>
    <mergeCell ref="AH136:AH141"/>
    <mergeCell ref="AI136:AI141"/>
    <mergeCell ref="AJ136:AJ141"/>
    <mergeCell ref="AK136:AK137"/>
    <mergeCell ref="AL136:AL141"/>
    <mergeCell ref="AM136:AM137"/>
    <mergeCell ref="AK140:AK141"/>
    <mergeCell ref="AM140:AM141"/>
    <mergeCell ref="B136:B141"/>
    <mergeCell ref="C136:C141"/>
    <mergeCell ref="D136:D141"/>
    <mergeCell ref="E136:E141"/>
    <mergeCell ref="AF136:AF137"/>
    <mergeCell ref="AG136:AG137"/>
    <mergeCell ref="AF132:AF133"/>
    <mergeCell ref="AG132:AG133"/>
    <mergeCell ref="AK132:AK133"/>
    <mergeCell ref="AM132:AM133"/>
    <mergeCell ref="AO132:AO133"/>
    <mergeCell ref="AF134:AF135"/>
    <mergeCell ref="AG134:AG135"/>
    <mergeCell ref="AK134:AK135"/>
    <mergeCell ref="AM134:AM135"/>
    <mergeCell ref="AO134:AO135"/>
    <mergeCell ref="AK130:AK131"/>
    <mergeCell ref="AL130:AL135"/>
    <mergeCell ref="AM130:AM131"/>
    <mergeCell ref="AN130:AN135"/>
    <mergeCell ref="AO130:AO131"/>
    <mergeCell ref="AP130:AP135"/>
    <mergeCell ref="AO128:AO129"/>
    <mergeCell ref="B130:B135"/>
    <mergeCell ref="C130:C135"/>
    <mergeCell ref="D130:D135"/>
    <mergeCell ref="E130:E135"/>
    <mergeCell ref="AF130:AF131"/>
    <mergeCell ref="AG130:AG131"/>
    <mergeCell ref="AH130:AH135"/>
    <mergeCell ref="AI130:AI135"/>
    <mergeCell ref="AJ130:AJ135"/>
    <mergeCell ref="AN124:AN129"/>
    <mergeCell ref="AO124:AO125"/>
    <mergeCell ref="AP124:AP129"/>
    <mergeCell ref="AF126:AF127"/>
    <mergeCell ref="AG126:AG127"/>
    <mergeCell ref="AK126:AK127"/>
    <mergeCell ref="AM126:AM127"/>
    <mergeCell ref="AO126:AO127"/>
    <mergeCell ref="AF128:AF129"/>
    <mergeCell ref="AG128:AG129"/>
    <mergeCell ref="AH124:AH129"/>
    <mergeCell ref="AI124:AI129"/>
    <mergeCell ref="AJ124:AJ129"/>
    <mergeCell ref="AK124:AK125"/>
    <mergeCell ref="AL124:AL129"/>
    <mergeCell ref="AM124:AM125"/>
    <mergeCell ref="AK128:AK129"/>
    <mergeCell ref="AM128:AM129"/>
    <mergeCell ref="B124:B129"/>
    <mergeCell ref="C124:C129"/>
    <mergeCell ref="D124:D129"/>
    <mergeCell ref="E124:E129"/>
    <mergeCell ref="AF124:AF125"/>
    <mergeCell ref="AG124:AG125"/>
    <mergeCell ref="AP118:AP123"/>
    <mergeCell ref="AF120:AF121"/>
    <mergeCell ref="AG120:AG121"/>
    <mergeCell ref="AK120:AK121"/>
    <mergeCell ref="AM120:AM121"/>
    <mergeCell ref="AO120:AO121"/>
    <mergeCell ref="AF122:AF123"/>
    <mergeCell ref="AG122:AG123"/>
    <mergeCell ref="AK122:AK123"/>
    <mergeCell ref="AM122:AM123"/>
    <mergeCell ref="AJ118:AJ123"/>
    <mergeCell ref="AK118:AK119"/>
    <mergeCell ref="AL118:AL123"/>
    <mergeCell ref="AM118:AM119"/>
    <mergeCell ref="AN118:AN123"/>
    <mergeCell ref="AO118:AO119"/>
    <mergeCell ref="AO122:AO123"/>
    <mergeCell ref="AO116:AO117"/>
    <mergeCell ref="A118:A165"/>
    <mergeCell ref="B118:B123"/>
    <mergeCell ref="C118:C123"/>
    <mergeCell ref="D118:D123"/>
    <mergeCell ref="E118:E123"/>
    <mergeCell ref="AF118:AF119"/>
    <mergeCell ref="AG118:AG119"/>
    <mergeCell ref="AH118:AH123"/>
    <mergeCell ref="AI118:AI123"/>
    <mergeCell ref="AN112:AN117"/>
    <mergeCell ref="AO112:AO113"/>
    <mergeCell ref="AP112:AP117"/>
    <mergeCell ref="AF114:AF115"/>
    <mergeCell ref="AG114:AG115"/>
    <mergeCell ref="AK114:AK115"/>
    <mergeCell ref="AM114:AM115"/>
    <mergeCell ref="AO114:AO115"/>
    <mergeCell ref="AF116:AF117"/>
    <mergeCell ref="AG116:AG117"/>
    <mergeCell ref="AH112:AH117"/>
    <mergeCell ref="AI112:AI117"/>
    <mergeCell ref="AJ112:AJ117"/>
    <mergeCell ref="AK112:AK113"/>
    <mergeCell ref="AL112:AL117"/>
    <mergeCell ref="AM112:AM113"/>
    <mergeCell ref="AK116:AK117"/>
    <mergeCell ref="AM116:AM117"/>
    <mergeCell ref="B112:B117"/>
    <mergeCell ref="C112:C117"/>
    <mergeCell ref="D112:D117"/>
    <mergeCell ref="E112:E117"/>
    <mergeCell ref="AF112:AF113"/>
    <mergeCell ref="AG112:AG113"/>
    <mergeCell ref="AF108:AF109"/>
    <mergeCell ref="AG108:AG109"/>
    <mergeCell ref="AK108:AK109"/>
    <mergeCell ref="AM108:AM109"/>
    <mergeCell ref="AO108:AO109"/>
    <mergeCell ref="AF110:AF111"/>
    <mergeCell ref="AG110:AG111"/>
    <mergeCell ref="AK110:AK111"/>
    <mergeCell ref="AM110:AM111"/>
    <mergeCell ref="AO110:AO111"/>
    <mergeCell ref="AK106:AK107"/>
    <mergeCell ref="AL106:AL111"/>
    <mergeCell ref="AM106:AM107"/>
    <mergeCell ref="AN106:AN111"/>
    <mergeCell ref="AO106:AO107"/>
    <mergeCell ref="AP106:AP111"/>
    <mergeCell ref="AO104:AO105"/>
    <mergeCell ref="B106:B111"/>
    <mergeCell ref="C106:C111"/>
    <mergeCell ref="D106:D111"/>
    <mergeCell ref="E106:E111"/>
    <mergeCell ref="AF106:AF107"/>
    <mergeCell ref="AG106:AG107"/>
    <mergeCell ref="AH106:AH111"/>
    <mergeCell ref="AI106:AI111"/>
    <mergeCell ref="AJ106:AJ111"/>
    <mergeCell ref="AN100:AN105"/>
    <mergeCell ref="AO100:AO101"/>
    <mergeCell ref="AP100:AP105"/>
    <mergeCell ref="AF102:AF103"/>
    <mergeCell ref="AG102:AG103"/>
    <mergeCell ref="AK102:AK103"/>
    <mergeCell ref="AM102:AM103"/>
    <mergeCell ref="AO102:AO103"/>
    <mergeCell ref="AF104:AF105"/>
    <mergeCell ref="AG104:AG105"/>
    <mergeCell ref="AH100:AH105"/>
    <mergeCell ref="AI100:AI105"/>
    <mergeCell ref="AJ100:AJ105"/>
    <mergeCell ref="AK100:AK101"/>
    <mergeCell ref="AL100:AL105"/>
    <mergeCell ref="AM100:AM101"/>
    <mergeCell ref="AK104:AK105"/>
    <mergeCell ref="AM104:AM105"/>
    <mergeCell ref="B100:B105"/>
    <mergeCell ref="C100:C105"/>
    <mergeCell ref="D100:D105"/>
    <mergeCell ref="E100:E105"/>
    <mergeCell ref="AF100:AF101"/>
    <mergeCell ref="AG100:AG101"/>
    <mergeCell ref="AF96:AF97"/>
    <mergeCell ref="AG96:AG97"/>
    <mergeCell ref="AK96:AK97"/>
    <mergeCell ref="AM96:AM97"/>
    <mergeCell ref="AO96:AO97"/>
    <mergeCell ref="AF98:AF99"/>
    <mergeCell ref="AG98:AG99"/>
    <mergeCell ref="AK98:AK99"/>
    <mergeCell ref="AM98:AM99"/>
    <mergeCell ref="AO98:AO99"/>
    <mergeCell ref="AK94:AK95"/>
    <mergeCell ref="AL94:AL99"/>
    <mergeCell ref="AM94:AM95"/>
    <mergeCell ref="AN94:AN99"/>
    <mergeCell ref="AO94:AO95"/>
    <mergeCell ref="AP94:AP99"/>
    <mergeCell ref="AO92:AO93"/>
    <mergeCell ref="B94:B99"/>
    <mergeCell ref="C94:C99"/>
    <mergeCell ref="D94:D99"/>
    <mergeCell ref="E94:E99"/>
    <mergeCell ref="AF94:AF95"/>
    <mergeCell ref="AG94:AG95"/>
    <mergeCell ref="AH94:AH99"/>
    <mergeCell ref="AI94:AI99"/>
    <mergeCell ref="AJ94:AJ99"/>
    <mergeCell ref="AN88:AN93"/>
    <mergeCell ref="AO88:AO89"/>
    <mergeCell ref="AP88:AP93"/>
    <mergeCell ref="AF90:AF91"/>
    <mergeCell ref="AG90:AG91"/>
    <mergeCell ref="AK90:AK91"/>
    <mergeCell ref="AM90:AM91"/>
    <mergeCell ref="AO90:AO91"/>
    <mergeCell ref="AF92:AF93"/>
    <mergeCell ref="AG92:AG93"/>
    <mergeCell ref="AH88:AH93"/>
    <mergeCell ref="AI88:AI93"/>
    <mergeCell ref="AJ88:AJ93"/>
    <mergeCell ref="AK88:AK89"/>
    <mergeCell ref="AL88:AL93"/>
    <mergeCell ref="AM88:AM89"/>
    <mergeCell ref="AK92:AK93"/>
    <mergeCell ref="AM92:AM93"/>
    <mergeCell ref="B88:B93"/>
    <mergeCell ref="C88:C93"/>
    <mergeCell ref="D88:D93"/>
    <mergeCell ref="E88:E93"/>
    <mergeCell ref="AF88:AF89"/>
    <mergeCell ref="AG88:AG89"/>
    <mergeCell ref="AF84:AF85"/>
    <mergeCell ref="AG84:AG85"/>
    <mergeCell ref="AK84:AK85"/>
    <mergeCell ref="AM84:AM85"/>
    <mergeCell ref="AO84:AO85"/>
    <mergeCell ref="AF86:AF87"/>
    <mergeCell ref="AG86:AG87"/>
    <mergeCell ref="AK86:AK87"/>
    <mergeCell ref="AM86:AM87"/>
    <mergeCell ref="AO86:AO87"/>
    <mergeCell ref="AK82:AK83"/>
    <mergeCell ref="AL82:AL87"/>
    <mergeCell ref="AM82:AM83"/>
    <mergeCell ref="AN82:AN87"/>
    <mergeCell ref="AO82:AO83"/>
    <mergeCell ref="AP82:AP87"/>
    <mergeCell ref="AO80:AO81"/>
    <mergeCell ref="B82:B87"/>
    <mergeCell ref="C82:C87"/>
    <mergeCell ref="D82:D87"/>
    <mergeCell ref="E82:E87"/>
    <mergeCell ref="AF82:AF83"/>
    <mergeCell ref="AG82:AG83"/>
    <mergeCell ref="AH82:AH87"/>
    <mergeCell ref="AI82:AI87"/>
    <mergeCell ref="AJ82:AJ87"/>
    <mergeCell ref="AN76:AN81"/>
    <mergeCell ref="AO76:AO77"/>
    <mergeCell ref="AP76:AP81"/>
    <mergeCell ref="AF78:AF79"/>
    <mergeCell ref="AG78:AG79"/>
    <mergeCell ref="AK78:AK79"/>
    <mergeCell ref="AM78:AM79"/>
    <mergeCell ref="AO78:AO79"/>
    <mergeCell ref="AF80:AF81"/>
    <mergeCell ref="AG80:AG81"/>
    <mergeCell ref="AH76:AH81"/>
    <mergeCell ref="AI76:AI81"/>
    <mergeCell ref="AJ76:AJ81"/>
    <mergeCell ref="AK76:AK77"/>
    <mergeCell ref="AL76:AL81"/>
    <mergeCell ref="AM76:AM77"/>
    <mergeCell ref="AK80:AK81"/>
    <mergeCell ref="AM80:AM81"/>
    <mergeCell ref="B76:B81"/>
    <mergeCell ref="C76:C81"/>
    <mergeCell ref="D76:D81"/>
    <mergeCell ref="E76:E81"/>
    <mergeCell ref="AF76:AF77"/>
    <mergeCell ref="AG76:AG77"/>
    <mergeCell ref="AF72:AF73"/>
    <mergeCell ref="AG72:AG73"/>
    <mergeCell ref="AK72:AK73"/>
    <mergeCell ref="AM72:AM73"/>
    <mergeCell ref="AO72:AO73"/>
    <mergeCell ref="AF74:AF75"/>
    <mergeCell ref="AG74:AG75"/>
    <mergeCell ref="AK74:AK75"/>
    <mergeCell ref="AM74:AM75"/>
    <mergeCell ref="AO74:AO75"/>
    <mergeCell ref="AK70:AK71"/>
    <mergeCell ref="AL70:AL75"/>
    <mergeCell ref="AM70:AM71"/>
    <mergeCell ref="AN70:AN75"/>
    <mergeCell ref="AO70:AO71"/>
    <mergeCell ref="AP70:AP75"/>
    <mergeCell ref="AO68:AO69"/>
    <mergeCell ref="B70:B75"/>
    <mergeCell ref="C70:C75"/>
    <mergeCell ref="D70:D75"/>
    <mergeCell ref="E70:E75"/>
    <mergeCell ref="AF70:AF71"/>
    <mergeCell ref="AG70:AG71"/>
    <mergeCell ref="AH70:AH75"/>
    <mergeCell ref="AI70:AI75"/>
    <mergeCell ref="AJ70:AJ75"/>
    <mergeCell ref="AN64:AN69"/>
    <mergeCell ref="AO64:AO65"/>
    <mergeCell ref="AP64:AP69"/>
    <mergeCell ref="AF66:AF67"/>
    <mergeCell ref="AG66:AG67"/>
    <mergeCell ref="AK66:AK67"/>
    <mergeCell ref="AM66:AM67"/>
    <mergeCell ref="AO66:AO67"/>
    <mergeCell ref="AF68:AF69"/>
    <mergeCell ref="AG68:AG69"/>
    <mergeCell ref="AH64:AH69"/>
    <mergeCell ref="AI64:AI69"/>
    <mergeCell ref="AJ64:AJ69"/>
    <mergeCell ref="AK64:AK65"/>
    <mergeCell ref="AL64:AL69"/>
    <mergeCell ref="AM64:AM65"/>
    <mergeCell ref="AK68:AK69"/>
    <mergeCell ref="AM68:AM69"/>
    <mergeCell ref="B64:B69"/>
    <mergeCell ref="C64:C69"/>
    <mergeCell ref="D64:D69"/>
    <mergeCell ref="E64:E69"/>
    <mergeCell ref="AF64:AF65"/>
    <mergeCell ref="AG64:AG65"/>
    <mergeCell ref="AF60:AF61"/>
    <mergeCell ref="AG60:AG61"/>
    <mergeCell ref="AK60:AK61"/>
    <mergeCell ref="AM60:AM61"/>
    <mergeCell ref="AO60:AO61"/>
    <mergeCell ref="AF62:AF63"/>
    <mergeCell ref="AG62:AG63"/>
    <mergeCell ref="AK62:AK63"/>
    <mergeCell ref="AM62:AM63"/>
    <mergeCell ref="AO62:AO63"/>
    <mergeCell ref="AK58:AK59"/>
    <mergeCell ref="AL58:AL63"/>
    <mergeCell ref="AM58:AM59"/>
    <mergeCell ref="AN58:AN63"/>
    <mergeCell ref="AO58:AO59"/>
    <mergeCell ref="AP58:AP63"/>
    <mergeCell ref="AO56:AO57"/>
    <mergeCell ref="B58:B63"/>
    <mergeCell ref="C58:C63"/>
    <mergeCell ref="D58:D63"/>
    <mergeCell ref="E58:E63"/>
    <mergeCell ref="AF58:AF59"/>
    <mergeCell ref="AG58:AG59"/>
    <mergeCell ref="AH58:AH63"/>
    <mergeCell ref="AI58:AI63"/>
    <mergeCell ref="AJ58:AJ63"/>
    <mergeCell ref="AN52:AN57"/>
    <mergeCell ref="AO52:AO53"/>
    <mergeCell ref="AP52:AP57"/>
    <mergeCell ref="AF54:AF55"/>
    <mergeCell ref="AG54:AG55"/>
    <mergeCell ref="AK54:AK55"/>
    <mergeCell ref="AM54:AM55"/>
    <mergeCell ref="AO54:AO55"/>
    <mergeCell ref="AF56:AF57"/>
    <mergeCell ref="AG56:AG57"/>
    <mergeCell ref="AH52:AH57"/>
    <mergeCell ref="AI52:AI57"/>
    <mergeCell ref="AJ52:AJ57"/>
    <mergeCell ref="AK52:AK53"/>
    <mergeCell ref="AL52:AL57"/>
    <mergeCell ref="AM52:AM53"/>
    <mergeCell ref="AK56:AK57"/>
    <mergeCell ref="AM56:AM57"/>
    <mergeCell ref="B52:B57"/>
    <mergeCell ref="C52:C57"/>
    <mergeCell ref="D52:D57"/>
    <mergeCell ref="E52:E57"/>
    <mergeCell ref="AF52:AF53"/>
    <mergeCell ref="AG52:AG53"/>
    <mergeCell ref="AF48:AF49"/>
    <mergeCell ref="AG48:AG49"/>
    <mergeCell ref="AK48:AK49"/>
    <mergeCell ref="AM48:AM49"/>
    <mergeCell ref="AO48:AO49"/>
    <mergeCell ref="AF50:AF51"/>
    <mergeCell ref="AG50:AG51"/>
    <mergeCell ref="AK50:AK51"/>
    <mergeCell ref="AM50:AM51"/>
    <mergeCell ref="AO50:AO51"/>
    <mergeCell ref="AK46:AK47"/>
    <mergeCell ref="AL46:AL51"/>
    <mergeCell ref="AM46:AM47"/>
    <mergeCell ref="AN46:AN51"/>
    <mergeCell ref="AO46:AO47"/>
    <mergeCell ref="AP46:AP51"/>
    <mergeCell ref="AO44:AO45"/>
    <mergeCell ref="B46:B51"/>
    <mergeCell ref="C46:C51"/>
    <mergeCell ref="D46:D51"/>
    <mergeCell ref="E46:E51"/>
    <mergeCell ref="AF46:AF47"/>
    <mergeCell ref="AG46:AG47"/>
    <mergeCell ref="AH46:AH51"/>
    <mergeCell ref="AI46:AI51"/>
    <mergeCell ref="AJ46:AJ51"/>
    <mergeCell ref="AN40:AN45"/>
    <mergeCell ref="AO40:AO41"/>
    <mergeCell ref="AP40:AP45"/>
    <mergeCell ref="AF42:AF43"/>
    <mergeCell ref="AG42:AG43"/>
    <mergeCell ref="AK42:AK43"/>
    <mergeCell ref="AM42:AM43"/>
    <mergeCell ref="AO42:AO43"/>
    <mergeCell ref="AF44:AF45"/>
    <mergeCell ref="AG44:AG45"/>
    <mergeCell ref="AH40:AH45"/>
    <mergeCell ref="AI40:AI45"/>
    <mergeCell ref="AJ40:AJ45"/>
    <mergeCell ref="AK40:AK41"/>
    <mergeCell ref="AL40:AL45"/>
    <mergeCell ref="AM40:AM41"/>
    <mergeCell ref="AK44:AK45"/>
    <mergeCell ref="AM44:AM45"/>
    <mergeCell ref="B40:B45"/>
    <mergeCell ref="C40:C45"/>
    <mergeCell ref="D40:D45"/>
    <mergeCell ref="E40:E45"/>
    <mergeCell ref="AF40:AF41"/>
    <mergeCell ref="AG40:AG41"/>
    <mergeCell ref="AF36:AF37"/>
    <mergeCell ref="AG36:AG37"/>
    <mergeCell ref="AK36:AK37"/>
    <mergeCell ref="AM36:AM37"/>
    <mergeCell ref="AO36:AO37"/>
    <mergeCell ref="AF38:AF39"/>
    <mergeCell ref="AG38:AG39"/>
    <mergeCell ref="AK38:AK39"/>
    <mergeCell ref="AM38:AM39"/>
    <mergeCell ref="AO38:AO39"/>
    <mergeCell ref="AK34:AK35"/>
    <mergeCell ref="AL34:AL39"/>
    <mergeCell ref="AM34:AM35"/>
    <mergeCell ref="AN34:AN39"/>
    <mergeCell ref="AO34:AO35"/>
    <mergeCell ref="AP34:AP39"/>
    <mergeCell ref="AO32:AO33"/>
    <mergeCell ref="B34:B39"/>
    <mergeCell ref="C34:C39"/>
    <mergeCell ref="D34:D39"/>
    <mergeCell ref="E34:E39"/>
    <mergeCell ref="AF34:AF35"/>
    <mergeCell ref="AG34:AG35"/>
    <mergeCell ref="AH34:AH39"/>
    <mergeCell ref="AI34:AI39"/>
    <mergeCell ref="AJ34:AJ39"/>
    <mergeCell ref="AN28:AN33"/>
    <mergeCell ref="AO28:AO29"/>
    <mergeCell ref="AP28:AP33"/>
    <mergeCell ref="AF30:AF31"/>
    <mergeCell ref="AG30:AG31"/>
    <mergeCell ref="AK30:AK31"/>
    <mergeCell ref="AM30:AM31"/>
    <mergeCell ref="AO30:AO31"/>
    <mergeCell ref="AF32:AF33"/>
    <mergeCell ref="AG32:AG33"/>
    <mergeCell ref="AH28:AH33"/>
    <mergeCell ref="AI28:AI33"/>
    <mergeCell ref="AJ28:AJ33"/>
    <mergeCell ref="AK28:AK29"/>
    <mergeCell ref="AL28:AL33"/>
    <mergeCell ref="AM28:AM29"/>
    <mergeCell ref="AK32:AK33"/>
    <mergeCell ref="AM32:AM33"/>
    <mergeCell ref="B28:B33"/>
    <mergeCell ref="C28:C33"/>
    <mergeCell ref="D28:D33"/>
    <mergeCell ref="E28:E33"/>
    <mergeCell ref="AF28:AF29"/>
    <mergeCell ref="AG28:AG29"/>
    <mergeCell ref="AP22:AP27"/>
    <mergeCell ref="AF24:AF25"/>
    <mergeCell ref="AG24:AG25"/>
    <mergeCell ref="AK24:AK25"/>
    <mergeCell ref="AM24:AM25"/>
    <mergeCell ref="AO24:AO25"/>
    <mergeCell ref="AF26:AF27"/>
    <mergeCell ref="AG26:AG27"/>
    <mergeCell ref="AK26:AK27"/>
    <mergeCell ref="AM26:AM27"/>
    <mergeCell ref="AJ22:AJ27"/>
    <mergeCell ref="AK22:AK23"/>
    <mergeCell ref="AL22:AL27"/>
    <mergeCell ref="AM22:AM23"/>
    <mergeCell ref="AN22:AN27"/>
    <mergeCell ref="AO22:AO23"/>
    <mergeCell ref="AO26:AO27"/>
    <mergeCell ref="AO14:AO15"/>
    <mergeCell ref="AM20:AM21"/>
    <mergeCell ref="AO20:AO21"/>
    <mergeCell ref="B22:B27"/>
    <mergeCell ref="C22:C27"/>
    <mergeCell ref="D22:D27"/>
    <mergeCell ref="E22:E27"/>
    <mergeCell ref="AF22:AF23"/>
    <mergeCell ref="AG22:AG23"/>
    <mergeCell ref="AH22:AH27"/>
    <mergeCell ref="AI22:AI27"/>
    <mergeCell ref="AL16:AL21"/>
    <mergeCell ref="AM16:AM17"/>
    <mergeCell ref="AN16:AN21"/>
    <mergeCell ref="AO16:AO17"/>
    <mergeCell ref="AP16:AP21"/>
    <mergeCell ref="AF18:AF19"/>
    <mergeCell ref="AG18:AG19"/>
    <mergeCell ref="AK18:AK19"/>
    <mergeCell ref="AM18:AM19"/>
    <mergeCell ref="AO18:AO19"/>
    <mergeCell ref="AF16:AF17"/>
    <mergeCell ref="AG16:AG17"/>
    <mergeCell ref="AH16:AH21"/>
    <mergeCell ref="AI16:AI21"/>
    <mergeCell ref="AJ16:AJ21"/>
    <mergeCell ref="AK16:AK17"/>
    <mergeCell ref="AF20:AF21"/>
    <mergeCell ref="AG20:AG21"/>
    <mergeCell ref="AK20:AK21"/>
    <mergeCell ref="AO4:AO5"/>
    <mergeCell ref="AP4:AP9"/>
    <mergeCell ref="AF6:AF7"/>
    <mergeCell ref="AG6:AG7"/>
    <mergeCell ref="AK6:AK7"/>
    <mergeCell ref="AM6:AM7"/>
    <mergeCell ref="AO6:AO7"/>
    <mergeCell ref="AF8:AF9"/>
    <mergeCell ref="AG4:AG5"/>
    <mergeCell ref="AH4:AH9"/>
    <mergeCell ref="AI4:AI9"/>
    <mergeCell ref="AJ4:AJ9"/>
    <mergeCell ref="AK4:AK5"/>
    <mergeCell ref="AL4:AL9"/>
    <mergeCell ref="AG8:AG9"/>
    <mergeCell ref="AK8:AK9"/>
    <mergeCell ref="AP10:AP15"/>
    <mergeCell ref="AF12:AF13"/>
    <mergeCell ref="AG12:AG13"/>
    <mergeCell ref="AK12:AK13"/>
    <mergeCell ref="AM12:AM13"/>
    <mergeCell ref="AO12:AO13"/>
    <mergeCell ref="AF14:AF15"/>
    <mergeCell ref="AG14:AG15"/>
    <mergeCell ref="AK14:AK15"/>
    <mergeCell ref="AM14:AM15"/>
    <mergeCell ref="AJ10:AJ15"/>
    <mergeCell ref="AK10:AK11"/>
    <mergeCell ref="AL10:AL15"/>
    <mergeCell ref="AM10:AM11"/>
    <mergeCell ref="AN10:AN15"/>
    <mergeCell ref="AO10:AO11"/>
    <mergeCell ref="A4:A117"/>
    <mergeCell ref="B4:B9"/>
    <mergeCell ref="C4:C9"/>
    <mergeCell ref="D4:D9"/>
    <mergeCell ref="E4:E9"/>
    <mergeCell ref="AF4:AF5"/>
    <mergeCell ref="B16:B21"/>
    <mergeCell ref="C16:C21"/>
    <mergeCell ref="D16:D21"/>
    <mergeCell ref="E16:E21"/>
    <mergeCell ref="AF3:AG3"/>
    <mergeCell ref="G1:P1"/>
    <mergeCell ref="R1:AA1"/>
    <mergeCell ref="AF1:AP1"/>
    <mergeCell ref="H2:J2"/>
    <mergeCell ref="S2:U2"/>
    <mergeCell ref="AF2:AJ2"/>
    <mergeCell ref="AK2:AL2"/>
    <mergeCell ref="AM2:AN2"/>
    <mergeCell ref="AO2:AP2"/>
    <mergeCell ref="AM8:AM9"/>
    <mergeCell ref="AO8:AO9"/>
    <mergeCell ref="B10:B15"/>
    <mergeCell ref="C10:C15"/>
    <mergeCell ref="D10:D15"/>
    <mergeCell ref="E10:E15"/>
    <mergeCell ref="AF10:AF11"/>
    <mergeCell ref="AG10:AG11"/>
    <mergeCell ref="AH10:AH15"/>
    <mergeCell ref="AI10:AI15"/>
    <mergeCell ref="AM4:AM5"/>
    <mergeCell ref="AN4:AN9"/>
  </mergeCells>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Summary</vt:lpstr>
      <vt:lpstr>Intra</vt:lpstr>
      <vt:lpstr>RA</vt:lpstr>
      <vt:lpstr>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Lei, Ryan</cp:lastModifiedBy>
  <dcterms:created xsi:type="dcterms:W3CDTF">2020-05-10T04:20:25Z</dcterms:created>
  <dcterms:modified xsi:type="dcterms:W3CDTF">2020-12-16T23:07:52Z</dcterms:modified>
</cp:coreProperties>
</file>